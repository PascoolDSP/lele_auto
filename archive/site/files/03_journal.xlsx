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Sais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2F4B7C"/>
      <sz val="16"/>
    </font>
    <font>
      <name val="Arial"/>
      <i val="1"/>
      <color rgb="00666666"/>
      <sz val="9"/>
    </font>
    <font>
      <name val="Arial"/>
      <b val="1"/>
      <color rgb="002F4B7C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i val="1"/>
      <color rgb="00666666"/>
      <sz val="8"/>
    </font>
    <font>
      <name val="Arial"/>
      <b val="1"/>
      <color rgb="00000000"/>
      <sz val="10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F4B7C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164" fontId="7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3 · Le journal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Au lieu d'un grand tableau, tu ajoutes simplement une ligne à chaque fois : la date, le produit (choisi dans une liste), et les quantités. Le fichier range tout et fait les totaux du mois tout seul. Le plus simple à remplir sur téléphone.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Onglet Saisies : une nouvelle ligne = une date + un produit. Choisis le produit dans la liste déroulante.</t>
        </is>
      </c>
    </row>
    <row r="8">
      <c r="A8" s="5" t="inlineStr"/>
      <c r="B8" s="4" t="inlineStr">
        <is>
          <t>3. Tu peux remplir Stock et Commandé le vendredi, puis compléter Reçu sur la même ligne à la livraison.</t>
        </is>
      </c>
    </row>
    <row r="9">
      <c r="A9" s="5" t="inlineStr"/>
      <c r="B9" s="4" t="inlineStr">
        <is>
          <t>4. Onglet Synthèse : tape le mois et l'année en haut, tous les totaux s'affichent. Rien à dupliquer, un seul fichier pour toute l'année.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Saisies — le journal, une ligne par produit et par comptage.</t>
        </is>
      </c>
    </row>
    <row r="13">
      <c r="A13" s="5" t="inlineStr"/>
      <c r="B13" s="4" t="inlineStr">
        <is>
          <t>Synthèse — choisis un mois, tout est calculé.</t>
        </is>
      </c>
    </row>
    <row r="14">
      <c r="A14" s="5" t="inlineStr"/>
      <c r="B14" s="4" t="inlineStr"/>
    </row>
    <row r="15">
      <c r="A15" s="5" t="inlineStr">
        <is>
          <t>Couleurs</t>
        </is>
      </c>
      <c r="B15" s="4" t="inlineStr">
        <is>
          <t>Cases jaunes = à remplir. Cases blanches = calculées toutes seules, ne pas y toucher.</t>
        </is>
      </c>
    </row>
    <row r="16">
      <c r="A16" s="5" t="inlineStr"/>
      <c r="B16" s="4" t="inlineStr">
        <is>
          <t>Chiffres en bleu = exemple pour montrer le fonctionnement, à effacer.</t>
        </is>
      </c>
    </row>
    <row r="17">
      <c r="A17" s="5" t="inlineStr"/>
      <c r="B17" s="4" t="inlineStr">
        <is>
          <t>Rouge = il manque quelque chose (livraison incomplète, stock trop bas).</t>
        </is>
      </c>
    </row>
    <row r="18">
      <c r="A18" s="5" t="inlineStr"/>
      <c r="B18" s="4" t="inlineStr"/>
    </row>
    <row r="19">
      <c r="A19" s="5" t="inlineStr">
        <is>
          <t>Google Sheets</t>
        </is>
      </c>
      <c r="B19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9" customWidth="1" min="9" max="9"/>
    <col width="12" customWidth="1" min="10" max="10"/>
    <col width="12" customWidth="1" min="11" max="11"/>
  </cols>
  <sheetData>
    <row r="1" ht="26" customHeight="1">
      <c r="A1" s="1" t="inlineStr">
        <is>
          <t>Synthèse du mois</t>
        </is>
      </c>
    </row>
    <row r="2">
      <c r="A2" s="2" t="inlineStr">
        <is>
          <t>Tape le mois et l'année dans les cases jaunes : tout le tableau se recalcule.</t>
        </is>
      </c>
    </row>
    <row r="3">
      <c r="A3" s="11" t="inlineStr">
        <is>
          <t>Mois (1 à 12)</t>
        </is>
      </c>
      <c r="B3" s="10" t="n">
        <v>10</v>
      </c>
      <c r="C3" s="11" t="inlineStr">
        <is>
          <t>Année</t>
        </is>
      </c>
      <c r="D3" s="10" t="n">
        <v>2026</v>
      </c>
    </row>
    <row r="5">
      <c r="A5" s="6" t="inlineStr">
        <is>
          <t>Produit</t>
        </is>
      </c>
      <c r="B5" s="6" t="inlineStr">
        <is>
          <t>Unité</t>
        </is>
      </c>
      <c r="C5" s="6" t="inlineStr">
        <is>
          <t>Commandé S1</t>
        </is>
      </c>
      <c r="D5" s="6" t="inlineStr">
        <is>
          <t>Commandé S2</t>
        </is>
      </c>
      <c r="E5" s="6" t="inlineStr">
        <is>
          <t>Commandé S3</t>
        </is>
      </c>
      <c r="F5" s="6" t="inlineStr">
        <is>
          <t>Commandé S4</t>
        </is>
      </c>
      <c r="G5" s="6" t="inlineStr">
        <is>
          <t>Total commandé</t>
        </is>
      </c>
      <c r="H5" s="6" t="inlineStr">
        <is>
          <t>Total reçu</t>
        </is>
      </c>
      <c r="I5" s="6" t="inlineStr">
        <is>
          <t>Manque</t>
        </is>
      </c>
      <c r="J5" s="6" t="inlineStr">
        <is>
          <t>Dernier stock</t>
        </is>
      </c>
      <c r="K5" s="6" t="inlineStr">
        <is>
          <t>Compté le</t>
        </is>
      </c>
    </row>
    <row r="6">
      <c r="A6" s="11">
        <f>IF(Produits!$A$5="","",Produits!$A$5)</f>
        <v/>
      </c>
      <c r="B6" s="12">
        <f>IF(Produits!$A$5="","",Produits!$C$5)</f>
        <v/>
      </c>
      <c r="C6" s="13">
        <f>IF($A6="","",IF(COUNTIFS(Saisies!$B$5:$B$304,$A6,Saisies!$J$5:$J$304,$B$3,Saisies!$K$5:$K$304,$D$3,Saisies!$I$5:$I$304,"S1",Saisies!$F$5:$F$304,"&gt;=0")=0,"",SUMIFS(Saisies!$F$5:$F$304,Saisies!$B$5:$B$304,$A6,Saisies!$J$5:$J$304,$B$3,Saisies!$K$5:$K$304,$D$3,Saisies!$I$5:$I$304,"S1")))</f>
        <v/>
      </c>
      <c r="D6" s="13">
        <f>IF($A6="","",IF(COUNTIFS(Saisies!$B$5:$B$304,$A6,Saisies!$J$5:$J$304,$B$3,Saisies!$K$5:$K$304,$D$3,Saisies!$I$5:$I$304,"S2",Saisies!$F$5:$F$304,"&gt;=0")=0,"",SUMIFS(Saisies!$F$5:$F$304,Saisies!$B$5:$B$304,$A6,Saisies!$J$5:$J$304,$B$3,Saisies!$K$5:$K$304,$D$3,Saisies!$I$5:$I$304,"S2")))</f>
        <v/>
      </c>
      <c r="E6" s="13">
        <f>IF($A6="","",IF(COUNTIFS(Saisies!$B$5:$B$304,$A6,Saisies!$J$5:$J$304,$B$3,Saisies!$K$5:$K$304,$D$3,Saisies!$I$5:$I$304,"S3",Saisies!$F$5:$F$304,"&gt;=0")=0,"",SUMIFS(Saisies!$F$5:$F$304,Saisies!$B$5:$B$304,$A6,Saisies!$J$5:$J$304,$B$3,Saisies!$K$5:$K$304,$D$3,Saisies!$I$5:$I$304,"S3")))</f>
        <v/>
      </c>
      <c r="F6" s="13">
        <f>IF($A6="","",IF(COUNTIFS(Saisies!$B$5:$B$304,$A6,Saisies!$J$5:$J$304,$B$3,Saisies!$K$5:$K$304,$D$3,Saisies!$I$5:$I$304,"S4",Saisies!$F$5:$F$304,"&gt;=0")=0,"",SUMIFS(Saisies!$F$5:$F$304,Saisies!$B$5:$B$304,$A6,Saisies!$J$5:$J$304,$B$3,Saisies!$K$5:$K$304,$D$3,Saisies!$I$5:$I$304,"S4")))</f>
        <v/>
      </c>
      <c r="G6" s="14">
        <f>IF($A6="","",IF(COUNTIFS(Saisies!$B$5:$B$304,$A6,Saisies!$J$5:$J$304,$B$3,Saisies!$K$5:$K$304,$D$3,Saisies!$F$5:$F$304,"&gt;=0")=0,"",SUMIFS(Saisies!$F$5:$F$304,Saisies!$B$5:$B$304,$A6,Saisies!$J$5:$J$304,$B$3,Saisies!$K$5:$K$304,$D$3)))</f>
        <v/>
      </c>
      <c r="H6" s="14">
        <f>IF($A6="","",IF(COUNTIFS(Saisies!$B$5:$B$304,$A6,Saisies!$J$5:$J$304,$B$3,Saisies!$K$5:$K$304,$D$3,Saisies!$G$5:$G$304,"&gt;=0")=0,"",SUMIFS(Saisies!$G$5:$G$304,Saisies!$B$5:$B$304,$A6,Saisies!$J$5:$J$304,$B$3,Saisies!$K$5:$K$304,$D$3)))</f>
        <v/>
      </c>
      <c r="I6" s="13">
        <f>IF(OR(G6="",H6=""),"",H6-G6)</f>
        <v/>
      </c>
      <c r="J6" s="14">
        <f>IF(K6="","",SUMIFS(Saisies!$E$5:$E$304,Saisies!$B$5:$B$304,$A6,Saisies!$A$5:$A$304,K6))</f>
        <v/>
      </c>
      <c r="K6" s="15">
        <f>IF($A6="","",IF(COUNTIFS(Saisies!$B$5:$B$304,$A6,Saisies!$J$5:$J$304,$B$3,Saisies!$K$5:$K$304,$D$3,Saisies!$E$5:$E$304,"&gt;=0")=0,"",_xlfn.MAXIFS(Saisies!$A$5:$A$304,Saisies!$B$5:$B$304,$A6,Saisies!$J$5:$J$304,$B$3,Saisies!$K$5:$K$304,$D$3,Saisies!$E$5:$E$304,"&gt;=0")))</f>
        <v/>
      </c>
    </row>
    <row r="7">
      <c r="A7" s="11">
        <f>IF(Produits!$A$6="","",Produits!$A$6)</f>
        <v/>
      </c>
      <c r="B7" s="12">
        <f>IF(Produits!$A$6="","",Produits!$C$6)</f>
        <v/>
      </c>
      <c r="C7" s="13">
        <f>IF($A7="","",IF(COUNTIFS(Saisies!$B$5:$B$304,$A7,Saisies!$J$5:$J$304,$B$3,Saisies!$K$5:$K$304,$D$3,Saisies!$I$5:$I$304,"S1",Saisies!$F$5:$F$304,"&gt;=0")=0,"",SUMIFS(Saisies!$F$5:$F$304,Saisies!$B$5:$B$304,$A7,Saisies!$J$5:$J$304,$B$3,Saisies!$K$5:$K$304,$D$3,Saisies!$I$5:$I$304,"S1")))</f>
        <v/>
      </c>
      <c r="D7" s="13">
        <f>IF($A7="","",IF(COUNTIFS(Saisies!$B$5:$B$304,$A7,Saisies!$J$5:$J$304,$B$3,Saisies!$K$5:$K$304,$D$3,Saisies!$I$5:$I$304,"S2",Saisies!$F$5:$F$304,"&gt;=0")=0,"",SUMIFS(Saisies!$F$5:$F$304,Saisies!$B$5:$B$304,$A7,Saisies!$J$5:$J$304,$B$3,Saisies!$K$5:$K$304,$D$3,Saisies!$I$5:$I$304,"S2")))</f>
        <v/>
      </c>
      <c r="E7" s="13">
        <f>IF($A7="","",IF(COUNTIFS(Saisies!$B$5:$B$304,$A7,Saisies!$J$5:$J$304,$B$3,Saisies!$K$5:$K$304,$D$3,Saisies!$I$5:$I$304,"S3",Saisies!$F$5:$F$304,"&gt;=0")=0,"",SUMIFS(Saisies!$F$5:$F$304,Saisies!$B$5:$B$304,$A7,Saisies!$J$5:$J$304,$B$3,Saisies!$K$5:$K$304,$D$3,Saisies!$I$5:$I$304,"S3")))</f>
        <v/>
      </c>
      <c r="F7" s="13">
        <f>IF($A7="","",IF(COUNTIFS(Saisies!$B$5:$B$304,$A7,Saisies!$J$5:$J$304,$B$3,Saisies!$K$5:$K$304,$D$3,Saisies!$I$5:$I$304,"S4",Saisies!$F$5:$F$304,"&gt;=0")=0,"",SUMIFS(Saisies!$F$5:$F$304,Saisies!$B$5:$B$304,$A7,Saisies!$J$5:$J$304,$B$3,Saisies!$K$5:$K$304,$D$3,Saisies!$I$5:$I$304,"S4")))</f>
        <v/>
      </c>
      <c r="G7" s="14">
        <f>IF($A7="","",IF(COUNTIFS(Saisies!$B$5:$B$304,$A7,Saisies!$J$5:$J$304,$B$3,Saisies!$K$5:$K$304,$D$3,Saisies!$F$5:$F$304,"&gt;=0")=0,"",SUMIFS(Saisies!$F$5:$F$304,Saisies!$B$5:$B$304,$A7,Saisies!$J$5:$J$304,$B$3,Saisies!$K$5:$K$304,$D$3)))</f>
        <v/>
      </c>
      <c r="H7" s="14">
        <f>IF($A7="","",IF(COUNTIFS(Saisies!$B$5:$B$304,$A7,Saisies!$J$5:$J$304,$B$3,Saisies!$K$5:$K$304,$D$3,Saisies!$G$5:$G$304,"&gt;=0")=0,"",SUMIFS(Saisies!$G$5:$G$304,Saisies!$B$5:$B$304,$A7,Saisies!$J$5:$J$304,$B$3,Saisies!$K$5:$K$304,$D$3)))</f>
        <v/>
      </c>
      <c r="I7" s="13">
        <f>IF(OR(G7="",H7=""),"",H7-G7)</f>
        <v/>
      </c>
      <c r="J7" s="14">
        <f>IF(K7="","",SUMIFS(Saisies!$E$5:$E$304,Saisies!$B$5:$B$304,$A7,Saisies!$A$5:$A$304,K7))</f>
        <v/>
      </c>
      <c r="K7" s="15">
        <f>IF($A7="","",IF(COUNTIFS(Saisies!$B$5:$B$304,$A7,Saisies!$J$5:$J$304,$B$3,Saisies!$K$5:$K$304,$D$3,Saisies!$E$5:$E$304,"&gt;=0")=0,"",_xlfn.MAXIFS(Saisies!$A$5:$A$304,Saisies!$B$5:$B$304,$A7,Saisies!$J$5:$J$304,$B$3,Saisies!$K$5:$K$304,$D$3,Saisies!$E$5:$E$304,"&gt;=0")))</f>
        <v/>
      </c>
    </row>
    <row r="8">
      <c r="A8" s="11">
        <f>IF(Produits!$A$7="","",Produits!$A$7)</f>
        <v/>
      </c>
      <c r="B8" s="12">
        <f>IF(Produits!$A$7="","",Produits!$C$7)</f>
        <v/>
      </c>
      <c r="C8" s="13">
        <f>IF($A8="","",IF(COUNTIFS(Saisies!$B$5:$B$304,$A8,Saisies!$J$5:$J$304,$B$3,Saisies!$K$5:$K$304,$D$3,Saisies!$I$5:$I$304,"S1",Saisies!$F$5:$F$304,"&gt;=0")=0,"",SUMIFS(Saisies!$F$5:$F$304,Saisies!$B$5:$B$304,$A8,Saisies!$J$5:$J$304,$B$3,Saisies!$K$5:$K$304,$D$3,Saisies!$I$5:$I$304,"S1")))</f>
        <v/>
      </c>
      <c r="D8" s="13">
        <f>IF($A8="","",IF(COUNTIFS(Saisies!$B$5:$B$304,$A8,Saisies!$J$5:$J$304,$B$3,Saisies!$K$5:$K$304,$D$3,Saisies!$I$5:$I$304,"S2",Saisies!$F$5:$F$304,"&gt;=0")=0,"",SUMIFS(Saisies!$F$5:$F$304,Saisies!$B$5:$B$304,$A8,Saisies!$J$5:$J$304,$B$3,Saisies!$K$5:$K$304,$D$3,Saisies!$I$5:$I$304,"S2")))</f>
        <v/>
      </c>
      <c r="E8" s="13">
        <f>IF($A8="","",IF(COUNTIFS(Saisies!$B$5:$B$304,$A8,Saisies!$J$5:$J$304,$B$3,Saisies!$K$5:$K$304,$D$3,Saisies!$I$5:$I$304,"S3",Saisies!$F$5:$F$304,"&gt;=0")=0,"",SUMIFS(Saisies!$F$5:$F$304,Saisies!$B$5:$B$304,$A8,Saisies!$J$5:$J$304,$B$3,Saisies!$K$5:$K$304,$D$3,Saisies!$I$5:$I$304,"S3")))</f>
        <v/>
      </c>
      <c r="F8" s="13">
        <f>IF($A8="","",IF(COUNTIFS(Saisies!$B$5:$B$304,$A8,Saisies!$J$5:$J$304,$B$3,Saisies!$K$5:$K$304,$D$3,Saisies!$I$5:$I$304,"S4",Saisies!$F$5:$F$304,"&gt;=0")=0,"",SUMIFS(Saisies!$F$5:$F$304,Saisies!$B$5:$B$304,$A8,Saisies!$J$5:$J$304,$B$3,Saisies!$K$5:$K$304,$D$3,Saisies!$I$5:$I$304,"S4")))</f>
        <v/>
      </c>
      <c r="G8" s="14">
        <f>IF($A8="","",IF(COUNTIFS(Saisies!$B$5:$B$304,$A8,Saisies!$J$5:$J$304,$B$3,Saisies!$K$5:$K$304,$D$3,Saisies!$F$5:$F$304,"&gt;=0")=0,"",SUMIFS(Saisies!$F$5:$F$304,Saisies!$B$5:$B$304,$A8,Saisies!$J$5:$J$304,$B$3,Saisies!$K$5:$K$304,$D$3)))</f>
        <v/>
      </c>
      <c r="H8" s="14">
        <f>IF($A8="","",IF(COUNTIFS(Saisies!$B$5:$B$304,$A8,Saisies!$J$5:$J$304,$B$3,Saisies!$K$5:$K$304,$D$3,Saisies!$G$5:$G$304,"&gt;=0")=0,"",SUMIFS(Saisies!$G$5:$G$304,Saisies!$B$5:$B$304,$A8,Saisies!$J$5:$J$304,$B$3,Saisies!$K$5:$K$304,$D$3)))</f>
        <v/>
      </c>
      <c r="I8" s="13">
        <f>IF(OR(G8="",H8=""),"",H8-G8)</f>
        <v/>
      </c>
      <c r="J8" s="14">
        <f>IF(K8="","",SUMIFS(Saisies!$E$5:$E$304,Saisies!$B$5:$B$304,$A8,Saisies!$A$5:$A$304,K8))</f>
        <v/>
      </c>
      <c r="K8" s="15">
        <f>IF($A8="","",IF(COUNTIFS(Saisies!$B$5:$B$304,$A8,Saisies!$J$5:$J$304,$B$3,Saisies!$K$5:$K$304,$D$3,Saisies!$E$5:$E$304,"&gt;=0")=0,"",_xlfn.MAXIFS(Saisies!$A$5:$A$304,Saisies!$B$5:$B$304,$A8,Saisies!$J$5:$J$304,$B$3,Saisies!$K$5:$K$304,$D$3,Saisies!$E$5:$E$304,"&gt;=0")))</f>
        <v/>
      </c>
    </row>
    <row r="9">
      <c r="A9" s="11">
        <f>IF(Produits!$A$8="","",Produits!$A$8)</f>
        <v/>
      </c>
      <c r="B9" s="12">
        <f>IF(Produits!$A$8="","",Produits!$C$8)</f>
        <v/>
      </c>
      <c r="C9" s="13">
        <f>IF($A9="","",IF(COUNTIFS(Saisies!$B$5:$B$304,$A9,Saisies!$J$5:$J$304,$B$3,Saisies!$K$5:$K$304,$D$3,Saisies!$I$5:$I$304,"S1",Saisies!$F$5:$F$304,"&gt;=0")=0,"",SUMIFS(Saisies!$F$5:$F$304,Saisies!$B$5:$B$304,$A9,Saisies!$J$5:$J$304,$B$3,Saisies!$K$5:$K$304,$D$3,Saisies!$I$5:$I$304,"S1")))</f>
        <v/>
      </c>
      <c r="D9" s="13">
        <f>IF($A9="","",IF(COUNTIFS(Saisies!$B$5:$B$304,$A9,Saisies!$J$5:$J$304,$B$3,Saisies!$K$5:$K$304,$D$3,Saisies!$I$5:$I$304,"S2",Saisies!$F$5:$F$304,"&gt;=0")=0,"",SUMIFS(Saisies!$F$5:$F$304,Saisies!$B$5:$B$304,$A9,Saisies!$J$5:$J$304,$B$3,Saisies!$K$5:$K$304,$D$3,Saisies!$I$5:$I$304,"S2")))</f>
        <v/>
      </c>
      <c r="E9" s="13">
        <f>IF($A9="","",IF(COUNTIFS(Saisies!$B$5:$B$304,$A9,Saisies!$J$5:$J$304,$B$3,Saisies!$K$5:$K$304,$D$3,Saisies!$I$5:$I$304,"S3",Saisies!$F$5:$F$304,"&gt;=0")=0,"",SUMIFS(Saisies!$F$5:$F$304,Saisies!$B$5:$B$304,$A9,Saisies!$J$5:$J$304,$B$3,Saisies!$K$5:$K$304,$D$3,Saisies!$I$5:$I$304,"S3")))</f>
        <v/>
      </c>
      <c r="F9" s="13">
        <f>IF($A9="","",IF(COUNTIFS(Saisies!$B$5:$B$304,$A9,Saisies!$J$5:$J$304,$B$3,Saisies!$K$5:$K$304,$D$3,Saisies!$I$5:$I$304,"S4",Saisies!$F$5:$F$304,"&gt;=0")=0,"",SUMIFS(Saisies!$F$5:$F$304,Saisies!$B$5:$B$304,$A9,Saisies!$J$5:$J$304,$B$3,Saisies!$K$5:$K$304,$D$3,Saisies!$I$5:$I$304,"S4")))</f>
        <v/>
      </c>
      <c r="G9" s="14">
        <f>IF($A9="","",IF(COUNTIFS(Saisies!$B$5:$B$304,$A9,Saisies!$J$5:$J$304,$B$3,Saisies!$K$5:$K$304,$D$3,Saisies!$F$5:$F$304,"&gt;=0")=0,"",SUMIFS(Saisies!$F$5:$F$304,Saisies!$B$5:$B$304,$A9,Saisies!$J$5:$J$304,$B$3,Saisies!$K$5:$K$304,$D$3)))</f>
        <v/>
      </c>
      <c r="H9" s="14">
        <f>IF($A9="","",IF(COUNTIFS(Saisies!$B$5:$B$304,$A9,Saisies!$J$5:$J$304,$B$3,Saisies!$K$5:$K$304,$D$3,Saisies!$G$5:$G$304,"&gt;=0")=0,"",SUMIFS(Saisies!$G$5:$G$304,Saisies!$B$5:$B$304,$A9,Saisies!$J$5:$J$304,$B$3,Saisies!$K$5:$K$304,$D$3)))</f>
        <v/>
      </c>
      <c r="I9" s="13">
        <f>IF(OR(G9="",H9=""),"",H9-G9)</f>
        <v/>
      </c>
      <c r="J9" s="14">
        <f>IF(K9="","",SUMIFS(Saisies!$E$5:$E$304,Saisies!$B$5:$B$304,$A9,Saisies!$A$5:$A$304,K9))</f>
        <v/>
      </c>
      <c r="K9" s="15">
        <f>IF($A9="","",IF(COUNTIFS(Saisies!$B$5:$B$304,$A9,Saisies!$J$5:$J$304,$B$3,Saisies!$K$5:$K$304,$D$3,Saisies!$E$5:$E$304,"&gt;=0")=0,"",_xlfn.MAXIFS(Saisies!$A$5:$A$304,Saisies!$B$5:$B$304,$A9,Saisies!$J$5:$J$304,$B$3,Saisies!$K$5:$K$304,$D$3,Saisies!$E$5:$E$304,"&gt;=0")))</f>
        <v/>
      </c>
    </row>
    <row r="10">
      <c r="A10" s="11">
        <f>IF(Produits!$A$9="","",Produits!$A$9)</f>
        <v/>
      </c>
      <c r="B10" s="12">
        <f>IF(Produits!$A$9="","",Produits!$C$9)</f>
        <v/>
      </c>
      <c r="C10" s="13">
        <f>IF($A10="","",IF(COUNTIFS(Saisies!$B$5:$B$304,$A10,Saisies!$J$5:$J$304,$B$3,Saisies!$K$5:$K$304,$D$3,Saisies!$I$5:$I$304,"S1",Saisies!$F$5:$F$304,"&gt;=0")=0,"",SUMIFS(Saisies!$F$5:$F$304,Saisies!$B$5:$B$304,$A10,Saisies!$J$5:$J$304,$B$3,Saisies!$K$5:$K$304,$D$3,Saisies!$I$5:$I$304,"S1")))</f>
        <v/>
      </c>
      <c r="D10" s="13">
        <f>IF($A10="","",IF(COUNTIFS(Saisies!$B$5:$B$304,$A10,Saisies!$J$5:$J$304,$B$3,Saisies!$K$5:$K$304,$D$3,Saisies!$I$5:$I$304,"S2",Saisies!$F$5:$F$304,"&gt;=0")=0,"",SUMIFS(Saisies!$F$5:$F$304,Saisies!$B$5:$B$304,$A10,Saisies!$J$5:$J$304,$B$3,Saisies!$K$5:$K$304,$D$3,Saisies!$I$5:$I$304,"S2")))</f>
        <v/>
      </c>
      <c r="E10" s="13">
        <f>IF($A10="","",IF(COUNTIFS(Saisies!$B$5:$B$304,$A10,Saisies!$J$5:$J$304,$B$3,Saisies!$K$5:$K$304,$D$3,Saisies!$I$5:$I$304,"S3",Saisies!$F$5:$F$304,"&gt;=0")=0,"",SUMIFS(Saisies!$F$5:$F$304,Saisies!$B$5:$B$304,$A10,Saisies!$J$5:$J$304,$B$3,Saisies!$K$5:$K$304,$D$3,Saisies!$I$5:$I$304,"S3")))</f>
        <v/>
      </c>
      <c r="F10" s="13">
        <f>IF($A10="","",IF(COUNTIFS(Saisies!$B$5:$B$304,$A10,Saisies!$J$5:$J$304,$B$3,Saisies!$K$5:$K$304,$D$3,Saisies!$I$5:$I$304,"S4",Saisies!$F$5:$F$304,"&gt;=0")=0,"",SUMIFS(Saisies!$F$5:$F$304,Saisies!$B$5:$B$304,$A10,Saisies!$J$5:$J$304,$B$3,Saisies!$K$5:$K$304,$D$3,Saisies!$I$5:$I$304,"S4")))</f>
        <v/>
      </c>
      <c r="G10" s="14">
        <f>IF($A10="","",IF(COUNTIFS(Saisies!$B$5:$B$304,$A10,Saisies!$J$5:$J$304,$B$3,Saisies!$K$5:$K$304,$D$3,Saisies!$F$5:$F$304,"&gt;=0")=0,"",SUMIFS(Saisies!$F$5:$F$304,Saisies!$B$5:$B$304,$A10,Saisies!$J$5:$J$304,$B$3,Saisies!$K$5:$K$304,$D$3)))</f>
        <v/>
      </c>
      <c r="H10" s="14">
        <f>IF($A10="","",IF(COUNTIFS(Saisies!$B$5:$B$304,$A10,Saisies!$J$5:$J$304,$B$3,Saisies!$K$5:$K$304,$D$3,Saisies!$G$5:$G$304,"&gt;=0")=0,"",SUMIFS(Saisies!$G$5:$G$304,Saisies!$B$5:$B$304,$A10,Saisies!$J$5:$J$304,$B$3,Saisies!$K$5:$K$304,$D$3)))</f>
        <v/>
      </c>
      <c r="I10" s="13">
        <f>IF(OR(G10="",H10=""),"",H10-G10)</f>
        <v/>
      </c>
      <c r="J10" s="14">
        <f>IF(K10="","",SUMIFS(Saisies!$E$5:$E$304,Saisies!$B$5:$B$304,$A10,Saisies!$A$5:$A$304,K10))</f>
        <v/>
      </c>
      <c r="K10" s="15">
        <f>IF($A10="","",IF(COUNTIFS(Saisies!$B$5:$B$304,$A10,Saisies!$J$5:$J$304,$B$3,Saisies!$K$5:$K$304,$D$3,Saisies!$E$5:$E$304,"&gt;=0")=0,"",_xlfn.MAXIFS(Saisies!$A$5:$A$304,Saisies!$B$5:$B$304,$A10,Saisies!$J$5:$J$304,$B$3,Saisies!$K$5:$K$304,$D$3,Saisies!$E$5:$E$304,"&gt;=0")))</f>
        <v/>
      </c>
    </row>
    <row r="11">
      <c r="A11" s="11">
        <f>IF(Produits!$A$10="","",Produits!$A$10)</f>
        <v/>
      </c>
      <c r="B11" s="12">
        <f>IF(Produits!$A$10="","",Produits!$C$10)</f>
        <v/>
      </c>
      <c r="C11" s="13">
        <f>IF($A11="","",IF(COUNTIFS(Saisies!$B$5:$B$304,$A11,Saisies!$J$5:$J$304,$B$3,Saisies!$K$5:$K$304,$D$3,Saisies!$I$5:$I$304,"S1",Saisies!$F$5:$F$304,"&gt;=0")=0,"",SUMIFS(Saisies!$F$5:$F$304,Saisies!$B$5:$B$304,$A11,Saisies!$J$5:$J$304,$B$3,Saisies!$K$5:$K$304,$D$3,Saisies!$I$5:$I$304,"S1")))</f>
        <v/>
      </c>
      <c r="D11" s="13">
        <f>IF($A11="","",IF(COUNTIFS(Saisies!$B$5:$B$304,$A11,Saisies!$J$5:$J$304,$B$3,Saisies!$K$5:$K$304,$D$3,Saisies!$I$5:$I$304,"S2",Saisies!$F$5:$F$304,"&gt;=0")=0,"",SUMIFS(Saisies!$F$5:$F$304,Saisies!$B$5:$B$304,$A11,Saisies!$J$5:$J$304,$B$3,Saisies!$K$5:$K$304,$D$3,Saisies!$I$5:$I$304,"S2")))</f>
        <v/>
      </c>
      <c r="E11" s="13">
        <f>IF($A11="","",IF(COUNTIFS(Saisies!$B$5:$B$304,$A11,Saisies!$J$5:$J$304,$B$3,Saisies!$K$5:$K$304,$D$3,Saisies!$I$5:$I$304,"S3",Saisies!$F$5:$F$304,"&gt;=0")=0,"",SUMIFS(Saisies!$F$5:$F$304,Saisies!$B$5:$B$304,$A11,Saisies!$J$5:$J$304,$B$3,Saisies!$K$5:$K$304,$D$3,Saisies!$I$5:$I$304,"S3")))</f>
        <v/>
      </c>
      <c r="F11" s="13">
        <f>IF($A11="","",IF(COUNTIFS(Saisies!$B$5:$B$304,$A11,Saisies!$J$5:$J$304,$B$3,Saisies!$K$5:$K$304,$D$3,Saisies!$I$5:$I$304,"S4",Saisies!$F$5:$F$304,"&gt;=0")=0,"",SUMIFS(Saisies!$F$5:$F$304,Saisies!$B$5:$B$304,$A11,Saisies!$J$5:$J$304,$B$3,Saisies!$K$5:$K$304,$D$3,Saisies!$I$5:$I$304,"S4")))</f>
        <v/>
      </c>
      <c r="G11" s="14">
        <f>IF($A11="","",IF(COUNTIFS(Saisies!$B$5:$B$304,$A11,Saisies!$J$5:$J$304,$B$3,Saisies!$K$5:$K$304,$D$3,Saisies!$F$5:$F$304,"&gt;=0")=0,"",SUMIFS(Saisies!$F$5:$F$304,Saisies!$B$5:$B$304,$A11,Saisies!$J$5:$J$304,$B$3,Saisies!$K$5:$K$304,$D$3)))</f>
        <v/>
      </c>
      <c r="H11" s="14">
        <f>IF($A11="","",IF(COUNTIFS(Saisies!$B$5:$B$304,$A11,Saisies!$J$5:$J$304,$B$3,Saisies!$K$5:$K$304,$D$3,Saisies!$G$5:$G$304,"&gt;=0")=0,"",SUMIFS(Saisies!$G$5:$G$304,Saisies!$B$5:$B$304,$A11,Saisies!$J$5:$J$304,$B$3,Saisies!$K$5:$K$304,$D$3)))</f>
        <v/>
      </c>
      <c r="I11" s="13">
        <f>IF(OR(G11="",H11=""),"",H11-G11)</f>
        <v/>
      </c>
      <c r="J11" s="14">
        <f>IF(K11="","",SUMIFS(Saisies!$E$5:$E$304,Saisies!$B$5:$B$304,$A11,Saisies!$A$5:$A$304,K11))</f>
        <v/>
      </c>
      <c r="K11" s="15">
        <f>IF($A11="","",IF(COUNTIFS(Saisies!$B$5:$B$304,$A11,Saisies!$J$5:$J$304,$B$3,Saisies!$K$5:$K$304,$D$3,Saisies!$E$5:$E$304,"&gt;=0")=0,"",_xlfn.MAXIFS(Saisies!$A$5:$A$304,Saisies!$B$5:$B$304,$A11,Saisies!$J$5:$J$304,$B$3,Saisies!$K$5:$K$304,$D$3,Saisies!$E$5:$E$304,"&gt;=0")))</f>
        <v/>
      </c>
    </row>
    <row r="12">
      <c r="A12" s="11">
        <f>IF(Produits!$A$11="","",Produits!$A$11)</f>
        <v/>
      </c>
      <c r="B12" s="12">
        <f>IF(Produits!$A$11="","",Produits!$C$11)</f>
        <v/>
      </c>
      <c r="C12" s="13">
        <f>IF($A12="","",IF(COUNTIFS(Saisies!$B$5:$B$304,$A12,Saisies!$J$5:$J$304,$B$3,Saisies!$K$5:$K$304,$D$3,Saisies!$I$5:$I$304,"S1",Saisies!$F$5:$F$304,"&gt;=0")=0,"",SUMIFS(Saisies!$F$5:$F$304,Saisies!$B$5:$B$304,$A12,Saisies!$J$5:$J$304,$B$3,Saisies!$K$5:$K$304,$D$3,Saisies!$I$5:$I$304,"S1")))</f>
        <v/>
      </c>
      <c r="D12" s="13">
        <f>IF($A12="","",IF(COUNTIFS(Saisies!$B$5:$B$304,$A12,Saisies!$J$5:$J$304,$B$3,Saisies!$K$5:$K$304,$D$3,Saisies!$I$5:$I$304,"S2",Saisies!$F$5:$F$304,"&gt;=0")=0,"",SUMIFS(Saisies!$F$5:$F$304,Saisies!$B$5:$B$304,$A12,Saisies!$J$5:$J$304,$B$3,Saisies!$K$5:$K$304,$D$3,Saisies!$I$5:$I$304,"S2")))</f>
        <v/>
      </c>
      <c r="E12" s="13">
        <f>IF($A12="","",IF(COUNTIFS(Saisies!$B$5:$B$304,$A12,Saisies!$J$5:$J$304,$B$3,Saisies!$K$5:$K$304,$D$3,Saisies!$I$5:$I$304,"S3",Saisies!$F$5:$F$304,"&gt;=0")=0,"",SUMIFS(Saisies!$F$5:$F$304,Saisies!$B$5:$B$304,$A12,Saisies!$J$5:$J$304,$B$3,Saisies!$K$5:$K$304,$D$3,Saisies!$I$5:$I$304,"S3")))</f>
        <v/>
      </c>
      <c r="F12" s="13">
        <f>IF($A12="","",IF(COUNTIFS(Saisies!$B$5:$B$304,$A12,Saisies!$J$5:$J$304,$B$3,Saisies!$K$5:$K$304,$D$3,Saisies!$I$5:$I$304,"S4",Saisies!$F$5:$F$304,"&gt;=0")=0,"",SUMIFS(Saisies!$F$5:$F$304,Saisies!$B$5:$B$304,$A12,Saisies!$J$5:$J$304,$B$3,Saisies!$K$5:$K$304,$D$3,Saisies!$I$5:$I$304,"S4")))</f>
        <v/>
      </c>
      <c r="G12" s="14">
        <f>IF($A12="","",IF(COUNTIFS(Saisies!$B$5:$B$304,$A12,Saisies!$J$5:$J$304,$B$3,Saisies!$K$5:$K$304,$D$3,Saisies!$F$5:$F$304,"&gt;=0")=0,"",SUMIFS(Saisies!$F$5:$F$304,Saisies!$B$5:$B$304,$A12,Saisies!$J$5:$J$304,$B$3,Saisies!$K$5:$K$304,$D$3)))</f>
        <v/>
      </c>
      <c r="H12" s="14">
        <f>IF($A12="","",IF(COUNTIFS(Saisies!$B$5:$B$304,$A12,Saisies!$J$5:$J$304,$B$3,Saisies!$K$5:$K$304,$D$3,Saisies!$G$5:$G$304,"&gt;=0")=0,"",SUMIFS(Saisies!$G$5:$G$304,Saisies!$B$5:$B$304,$A12,Saisies!$J$5:$J$304,$B$3,Saisies!$K$5:$K$304,$D$3)))</f>
        <v/>
      </c>
      <c r="I12" s="13">
        <f>IF(OR(G12="",H12=""),"",H12-G12)</f>
        <v/>
      </c>
      <c r="J12" s="14">
        <f>IF(K12="","",SUMIFS(Saisies!$E$5:$E$304,Saisies!$B$5:$B$304,$A12,Saisies!$A$5:$A$304,K12))</f>
        <v/>
      </c>
      <c r="K12" s="15">
        <f>IF($A12="","",IF(COUNTIFS(Saisies!$B$5:$B$304,$A12,Saisies!$J$5:$J$304,$B$3,Saisies!$K$5:$K$304,$D$3,Saisies!$E$5:$E$304,"&gt;=0")=0,"",_xlfn.MAXIFS(Saisies!$A$5:$A$304,Saisies!$B$5:$B$304,$A12,Saisies!$J$5:$J$304,$B$3,Saisies!$K$5:$K$304,$D$3,Saisies!$E$5:$E$304,"&gt;=0")))</f>
        <v/>
      </c>
    </row>
    <row r="13">
      <c r="A13" s="11">
        <f>IF(Produits!$A$12="","",Produits!$A$12)</f>
        <v/>
      </c>
      <c r="B13" s="12">
        <f>IF(Produits!$A$12="","",Produits!$C$12)</f>
        <v/>
      </c>
      <c r="C13" s="13">
        <f>IF($A13="","",IF(COUNTIFS(Saisies!$B$5:$B$304,$A13,Saisies!$J$5:$J$304,$B$3,Saisies!$K$5:$K$304,$D$3,Saisies!$I$5:$I$304,"S1",Saisies!$F$5:$F$304,"&gt;=0")=0,"",SUMIFS(Saisies!$F$5:$F$304,Saisies!$B$5:$B$304,$A13,Saisies!$J$5:$J$304,$B$3,Saisies!$K$5:$K$304,$D$3,Saisies!$I$5:$I$304,"S1")))</f>
        <v/>
      </c>
      <c r="D13" s="13">
        <f>IF($A13="","",IF(COUNTIFS(Saisies!$B$5:$B$304,$A13,Saisies!$J$5:$J$304,$B$3,Saisies!$K$5:$K$304,$D$3,Saisies!$I$5:$I$304,"S2",Saisies!$F$5:$F$304,"&gt;=0")=0,"",SUMIFS(Saisies!$F$5:$F$304,Saisies!$B$5:$B$304,$A13,Saisies!$J$5:$J$304,$B$3,Saisies!$K$5:$K$304,$D$3,Saisies!$I$5:$I$304,"S2")))</f>
        <v/>
      </c>
      <c r="E13" s="13">
        <f>IF($A13="","",IF(COUNTIFS(Saisies!$B$5:$B$304,$A13,Saisies!$J$5:$J$304,$B$3,Saisies!$K$5:$K$304,$D$3,Saisies!$I$5:$I$304,"S3",Saisies!$F$5:$F$304,"&gt;=0")=0,"",SUMIFS(Saisies!$F$5:$F$304,Saisies!$B$5:$B$304,$A13,Saisies!$J$5:$J$304,$B$3,Saisies!$K$5:$K$304,$D$3,Saisies!$I$5:$I$304,"S3")))</f>
        <v/>
      </c>
      <c r="F13" s="13">
        <f>IF($A13="","",IF(COUNTIFS(Saisies!$B$5:$B$304,$A13,Saisies!$J$5:$J$304,$B$3,Saisies!$K$5:$K$304,$D$3,Saisies!$I$5:$I$304,"S4",Saisies!$F$5:$F$304,"&gt;=0")=0,"",SUMIFS(Saisies!$F$5:$F$304,Saisies!$B$5:$B$304,$A13,Saisies!$J$5:$J$304,$B$3,Saisies!$K$5:$K$304,$D$3,Saisies!$I$5:$I$304,"S4")))</f>
        <v/>
      </c>
      <c r="G13" s="14">
        <f>IF($A13="","",IF(COUNTIFS(Saisies!$B$5:$B$304,$A13,Saisies!$J$5:$J$304,$B$3,Saisies!$K$5:$K$304,$D$3,Saisies!$F$5:$F$304,"&gt;=0")=0,"",SUMIFS(Saisies!$F$5:$F$304,Saisies!$B$5:$B$304,$A13,Saisies!$J$5:$J$304,$B$3,Saisies!$K$5:$K$304,$D$3)))</f>
        <v/>
      </c>
      <c r="H13" s="14">
        <f>IF($A13="","",IF(COUNTIFS(Saisies!$B$5:$B$304,$A13,Saisies!$J$5:$J$304,$B$3,Saisies!$K$5:$K$304,$D$3,Saisies!$G$5:$G$304,"&gt;=0")=0,"",SUMIFS(Saisies!$G$5:$G$304,Saisies!$B$5:$B$304,$A13,Saisies!$J$5:$J$304,$B$3,Saisies!$K$5:$K$304,$D$3)))</f>
        <v/>
      </c>
      <c r="I13" s="13">
        <f>IF(OR(G13="",H13=""),"",H13-G13)</f>
        <v/>
      </c>
      <c r="J13" s="14">
        <f>IF(K13="","",SUMIFS(Saisies!$E$5:$E$304,Saisies!$B$5:$B$304,$A13,Saisies!$A$5:$A$304,K13))</f>
        <v/>
      </c>
      <c r="K13" s="15">
        <f>IF($A13="","",IF(COUNTIFS(Saisies!$B$5:$B$304,$A13,Saisies!$J$5:$J$304,$B$3,Saisies!$K$5:$K$304,$D$3,Saisies!$E$5:$E$304,"&gt;=0")=0,"",_xlfn.MAXIFS(Saisies!$A$5:$A$304,Saisies!$B$5:$B$304,$A13,Saisies!$J$5:$J$304,$B$3,Saisies!$K$5:$K$304,$D$3,Saisies!$E$5:$E$304,"&gt;=0")))</f>
        <v/>
      </c>
    </row>
    <row r="14">
      <c r="A14" s="11">
        <f>IF(Produits!$A$13="","",Produits!$A$13)</f>
        <v/>
      </c>
      <c r="B14" s="12">
        <f>IF(Produits!$A$13="","",Produits!$C$13)</f>
        <v/>
      </c>
      <c r="C14" s="13">
        <f>IF($A14="","",IF(COUNTIFS(Saisies!$B$5:$B$304,$A14,Saisies!$J$5:$J$304,$B$3,Saisies!$K$5:$K$304,$D$3,Saisies!$I$5:$I$304,"S1",Saisies!$F$5:$F$304,"&gt;=0")=0,"",SUMIFS(Saisies!$F$5:$F$304,Saisies!$B$5:$B$304,$A14,Saisies!$J$5:$J$304,$B$3,Saisies!$K$5:$K$304,$D$3,Saisies!$I$5:$I$304,"S1")))</f>
        <v/>
      </c>
      <c r="D14" s="13">
        <f>IF($A14="","",IF(COUNTIFS(Saisies!$B$5:$B$304,$A14,Saisies!$J$5:$J$304,$B$3,Saisies!$K$5:$K$304,$D$3,Saisies!$I$5:$I$304,"S2",Saisies!$F$5:$F$304,"&gt;=0")=0,"",SUMIFS(Saisies!$F$5:$F$304,Saisies!$B$5:$B$304,$A14,Saisies!$J$5:$J$304,$B$3,Saisies!$K$5:$K$304,$D$3,Saisies!$I$5:$I$304,"S2")))</f>
        <v/>
      </c>
      <c r="E14" s="13">
        <f>IF($A14="","",IF(COUNTIFS(Saisies!$B$5:$B$304,$A14,Saisies!$J$5:$J$304,$B$3,Saisies!$K$5:$K$304,$D$3,Saisies!$I$5:$I$304,"S3",Saisies!$F$5:$F$304,"&gt;=0")=0,"",SUMIFS(Saisies!$F$5:$F$304,Saisies!$B$5:$B$304,$A14,Saisies!$J$5:$J$304,$B$3,Saisies!$K$5:$K$304,$D$3,Saisies!$I$5:$I$304,"S3")))</f>
        <v/>
      </c>
      <c r="F14" s="13">
        <f>IF($A14="","",IF(COUNTIFS(Saisies!$B$5:$B$304,$A14,Saisies!$J$5:$J$304,$B$3,Saisies!$K$5:$K$304,$D$3,Saisies!$I$5:$I$304,"S4",Saisies!$F$5:$F$304,"&gt;=0")=0,"",SUMIFS(Saisies!$F$5:$F$304,Saisies!$B$5:$B$304,$A14,Saisies!$J$5:$J$304,$B$3,Saisies!$K$5:$K$304,$D$3,Saisies!$I$5:$I$304,"S4")))</f>
        <v/>
      </c>
      <c r="G14" s="14">
        <f>IF($A14="","",IF(COUNTIFS(Saisies!$B$5:$B$304,$A14,Saisies!$J$5:$J$304,$B$3,Saisies!$K$5:$K$304,$D$3,Saisies!$F$5:$F$304,"&gt;=0")=0,"",SUMIFS(Saisies!$F$5:$F$304,Saisies!$B$5:$B$304,$A14,Saisies!$J$5:$J$304,$B$3,Saisies!$K$5:$K$304,$D$3)))</f>
        <v/>
      </c>
      <c r="H14" s="14">
        <f>IF($A14="","",IF(COUNTIFS(Saisies!$B$5:$B$304,$A14,Saisies!$J$5:$J$304,$B$3,Saisies!$K$5:$K$304,$D$3,Saisies!$G$5:$G$304,"&gt;=0")=0,"",SUMIFS(Saisies!$G$5:$G$304,Saisies!$B$5:$B$304,$A14,Saisies!$J$5:$J$304,$B$3,Saisies!$K$5:$K$304,$D$3)))</f>
        <v/>
      </c>
      <c r="I14" s="13">
        <f>IF(OR(G14="",H14=""),"",H14-G14)</f>
        <v/>
      </c>
      <c r="J14" s="14">
        <f>IF(K14="","",SUMIFS(Saisies!$E$5:$E$304,Saisies!$B$5:$B$304,$A14,Saisies!$A$5:$A$304,K14))</f>
        <v/>
      </c>
      <c r="K14" s="15">
        <f>IF($A14="","",IF(COUNTIFS(Saisies!$B$5:$B$304,$A14,Saisies!$J$5:$J$304,$B$3,Saisies!$K$5:$K$304,$D$3,Saisies!$E$5:$E$304,"&gt;=0")=0,"",_xlfn.MAXIFS(Saisies!$A$5:$A$304,Saisies!$B$5:$B$304,$A14,Saisies!$J$5:$J$304,$B$3,Saisies!$K$5:$K$304,$D$3,Saisies!$E$5:$E$304,"&gt;=0")))</f>
        <v/>
      </c>
    </row>
    <row r="15">
      <c r="A15" s="11">
        <f>IF(Produits!$A$14="","",Produits!$A$14)</f>
        <v/>
      </c>
      <c r="B15" s="12">
        <f>IF(Produits!$A$14="","",Produits!$C$14)</f>
        <v/>
      </c>
      <c r="C15" s="13">
        <f>IF($A15="","",IF(COUNTIFS(Saisies!$B$5:$B$304,$A15,Saisies!$J$5:$J$304,$B$3,Saisies!$K$5:$K$304,$D$3,Saisies!$I$5:$I$304,"S1",Saisies!$F$5:$F$304,"&gt;=0")=0,"",SUMIFS(Saisies!$F$5:$F$304,Saisies!$B$5:$B$304,$A15,Saisies!$J$5:$J$304,$B$3,Saisies!$K$5:$K$304,$D$3,Saisies!$I$5:$I$304,"S1")))</f>
        <v/>
      </c>
      <c r="D15" s="13">
        <f>IF($A15="","",IF(COUNTIFS(Saisies!$B$5:$B$304,$A15,Saisies!$J$5:$J$304,$B$3,Saisies!$K$5:$K$304,$D$3,Saisies!$I$5:$I$304,"S2",Saisies!$F$5:$F$304,"&gt;=0")=0,"",SUMIFS(Saisies!$F$5:$F$304,Saisies!$B$5:$B$304,$A15,Saisies!$J$5:$J$304,$B$3,Saisies!$K$5:$K$304,$D$3,Saisies!$I$5:$I$304,"S2")))</f>
        <v/>
      </c>
      <c r="E15" s="13">
        <f>IF($A15="","",IF(COUNTIFS(Saisies!$B$5:$B$304,$A15,Saisies!$J$5:$J$304,$B$3,Saisies!$K$5:$K$304,$D$3,Saisies!$I$5:$I$304,"S3",Saisies!$F$5:$F$304,"&gt;=0")=0,"",SUMIFS(Saisies!$F$5:$F$304,Saisies!$B$5:$B$304,$A15,Saisies!$J$5:$J$304,$B$3,Saisies!$K$5:$K$304,$D$3,Saisies!$I$5:$I$304,"S3")))</f>
        <v/>
      </c>
      <c r="F15" s="13">
        <f>IF($A15="","",IF(COUNTIFS(Saisies!$B$5:$B$304,$A15,Saisies!$J$5:$J$304,$B$3,Saisies!$K$5:$K$304,$D$3,Saisies!$I$5:$I$304,"S4",Saisies!$F$5:$F$304,"&gt;=0")=0,"",SUMIFS(Saisies!$F$5:$F$304,Saisies!$B$5:$B$304,$A15,Saisies!$J$5:$J$304,$B$3,Saisies!$K$5:$K$304,$D$3,Saisies!$I$5:$I$304,"S4")))</f>
        <v/>
      </c>
      <c r="G15" s="14">
        <f>IF($A15="","",IF(COUNTIFS(Saisies!$B$5:$B$304,$A15,Saisies!$J$5:$J$304,$B$3,Saisies!$K$5:$K$304,$D$3,Saisies!$F$5:$F$304,"&gt;=0")=0,"",SUMIFS(Saisies!$F$5:$F$304,Saisies!$B$5:$B$304,$A15,Saisies!$J$5:$J$304,$B$3,Saisies!$K$5:$K$304,$D$3)))</f>
        <v/>
      </c>
      <c r="H15" s="14">
        <f>IF($A15="","",IF(COUNTIFS(Saisies!$B$5:$B$304,$A15,Saisies!$J$5:$J$304,$B$3,Saisies!$K$5:$K$304,$D$3,Saisies!$G$5:$G$304,"&gt;=0")=0,"",SUMIFS(Saisies!$G$5:$G$304,Saisies!$B$5:$B$304,$A15,Saisies!$J$5:$J$304,$B$3,Saisies!$K$5:$K$304,$D$3)))</f>
        <v/>
      </c>
      <c r="I15" s="13">
        <f>IF(OR(G15="",H15=""),"",H15-G15)</f>
        <v/>
      </c>
      <c r="J15" s="14">
        <f>IF(K15="","",SUMIFS(Saisies!$E$5:$E$304,Saisies!$B$5:$B$304,$A15,Saisies!$A$5:$A$304,K15))</f>
        <v/>
      </c>
      <c r="K15" s="15">
        <f>IF($A15="","",IF(COUNTIFS(Saisies!$B$5:$B$304,$A15,Saisies!$J$5:$J$304,$B$3,Saisies!$K$5:$K$304,$D$3,Saisies!$E$5:$E$304,"&gt;=0")=0,"",_xlfn.MAXIFS(Saisies!$A$5:$A$304,Saisies!$B$5:$B$304,$A15,Saisies!$J$5:$J$304,$B$3,Saisies!$K$5:$K$304,$D$3,Saisies!$E$5:$E$304,"&gt;=0")))</f>
        <v/>
      </c>
    </row>
    <row r="16">
      <c r="A16" s="11">
        <f>IF(Produits!$A$15="","",Produits!$A$15)</f>
        <v/>
      </c>
      <c r="B16" s="12">
        <f>IF(Produits!$A$15="","",Produits!$C$15)</f>
        <v/>
      </c>
      <c r="C16" s="13">
        <f>IF($A16="","",IF(COUNTIFS(Saisies!$B$5:$B$304,$A16,Saisies!$J$5:$J$304,$B$3,Saisies!$K$5:$K$304,$D$3,Saisies!$I$5:$I$304,"S1",Saisies!$F$5:$F$304,"&gt;=0")=0,"",SUMIFS(Saisies!$F$5:$F$304,Saisies!$B$5:$B$304,$A16,Saisies!$J$5:$J$304,$B$3,Saisies!$K$5:$K$304,$D$3,Saisies!$I$5:$I$304,"S1")))</f>
        <v/>
      </c>
      <c r="D16" s="13">
        <f>IF($A16="","",IF(COUNTIFS(Saisies!$B$5:$B$304,$A16,Saisies!$J$5:$J$304,$B$3,Saisies!$K$5:$K$304,$D$3,Saisies!$I$5:$I$304,"S2",Saisies!$F$5:$F$304,"&gt;=0")=0,"",SUMIFS(Saisies!$F$5:$F$304,Saisies!$B$5:$B$304,$A16,Saisies!$J$5:$J$304,$B$3,Saisies!$K$5:$K$304,$D$3,Saisies!$I$5:$I$304,"S2")))</f>
        <v/>
      </c>
      <c r="E16" s="13">
        <f>IF($A16="","",IF(COUNTIFS(Saisies!$B$5:$B$304,$A16,Saisies!$J$5:$J$304,$B$3,Saisies!$K$5:$K$304,$D$3,Saisies!$I$5:$I$304,"S3",Saisies!$F$5:$F$304,"&gt;=0")=0,"",SUMIFS(Saisies!$F$5:$F$304,Saisies!$B$5:$B$304,$A16,Saisies!$J$5:$J$304,$B$3,Saisies!$K$5:$K$304,$D$3,Saisies!$I$5:$I$304,"S3")))</f>
        <v/>
      </c>
      <c r="F16" s="13">
        <f>IF($A16="","",IF(COUNTIFS(Saisies!$B$5:$B$304,$A16,Saisies!$J$5:$J$304,$B$3,Saisies!$K$5:$K$304,$D$3,Saisies!$I$5:$I$304,"S4",Saisies!$F$5:$F$304,"&gt;=0")=0,"",SUMIFS(Saisies!$F$5:$F$304,Saisies!$B$5:$B$304,$A16,Saisies!$J$5:$J$304,$B$3,Saisies!$K$5:$K$304,$D$3,Saisies!$I$5:$I$304,"S4")))</f>
        <v/>
      </c>
      <c r="G16" s="14">
        <f>IF($A16="","",IF(COUNTIFS(Saisies!$B$5:$B$304,$A16,Saisies!$J$5:$J$304,$B$3,Saisies!$K$5:$K$304,$D$3,Saisies!$F$5:$F$304,"&gt;=0")=0,"",SUMIFS(Saisies!$F$5:$F$304,Saisies!$B$5:$B$304,$A16,Saisies!$J$5:$J$304,$B$3,Saisies!$K$5:$K$304,$D$3)))</f>
        <v/>
      </c>
      <c r="H16" s="14">
        <f>IF($A16="","",IF(COUNTIFS(Saisies!$B$5:$B$304,$A16,Saisies!$J$5:$J$304,$B$3,Saisies!$K$5:$K$304,$D$3,Saisies!$G$5:$G$304,"&gt;=0")=0,"",SUMIFS(Saisies!$G$5:$G$304,Saisies!$B$5:$B$304,$A16,Saisies!$J$5:$J$304,$B$3,Saisies!$K$5:$K$304,$D$3)))</f>
        <v/>
      </c>
      <c r="I16" s="13">
        <f>IF(OR(G16="",H16=""),"",H16-G16)</f>
        <v/>
      </c>
      <c r="J16" s="14">
        <f>IF(K16="","",SUMIFS(Saisies!$E$5:$E$304,Saisies!$B$5:$B$304,$A16,Saisies!$A$5:$A$304,K16))</f>
        <v/>
      </c>
      <c r="K16" s="15">
        <f>IF($A16="","",IF(COUNTIFS(Saisies!$B$5:$B$304,$A16,Saisies!$J$5:$J$304,$B$3,Saisies!$K$5:$K$304,$D$3,Saisies!$E$5:$E$304,"&gt;=0")=0,"",_xlfn.MAXIFS(Saisies!$A$5:$A$304,Saisies!$B$5:$B$304,$A16,Saisies!$J$5:$J$304,$B$3,Saisies!$K$5:$K$304,$D$3,Saisies!$E$5:$E$304,"&gt;=0")))</f>
        <v/>
      </c>
    </row>
    <row r="17">
      <c r="A17" s="11">
        <f>IF(Produits!$A$16="","",Produits!$A$16)</f>
        <v/>
      </c>
      <c r="B17" s="12">
        <f>IF(Produits!$A$16="","",Produits!$C$16)</f>
        <v/>
      </c>
      <c r="C17" s="13">
        <f>IF($A17="","",IF(COUNTIFS(Saisies!$B$5:$B$304,$A17,Saisies!$J$5:$J$304,$B$3,Saisies!$K$5:$K$304,$D$3,Saisies!$I$5:$I$304,"S1",Saisies!$F$5:$F$304,"&gt;=0")=0,"",SUMIFS(Saisies!$F$5:$F$304,Saisies!$B$5:$B$304,$A17,Saisies!$J$5:$J$304,$B$3,Saisies!$K$5:$K$304,$D$3,Saisies!$I$5:$I$304,"S1")))</f>
        <v/>
      </c>
      <c r="D17" s="13">
        <f>IF($A17="","",IF(COUNTIFS(Saisies!$B$5:$B$304,$A17,Saisies!$J$5:$J$304,$B$3,Saisies!$K$5:$K$304,$D$3,Saisies!$I$5:$I$304,"S2",Saisies!$F$5:$F$304,"&gt;=0")=0,"",SUMIFS(Saisies!$F$5:$F$304,Saisies!$B$5:$B$304,$A17,Saisies!$J$5:$J$304,$B$3,Saisies!$K$5:$K$304,$D$3,Saisies!$I$5:$I$304,"S2")))</f>
        <v/>
      </c>
      <c r="E17" s="13">
        <f>IF($A17="","",IF(COUNTIFS(Saisies!$B$5:$B$304,$A17,Saisies!$J$5:$J$304,$B$3,Saisies!$K$5:$K$304,$D$3,Saisies!$I$5:$I$304,"S3",Saisies!$F$5:$F$304,"&gt;=0")=0,"",SUMIFS(Saisies!$F$5:$F$304,Saisies!$B$5:$B$304,$A17,Saisies!$J$5:$J$304,$B$3,Saisies!$K$5:$K$304,$D$3,Saisies!$I$5:$I$304,"S3")))</f>
        <v/>
      </c>
      <c r="F17" s="13">
        <f>IF($A17="","",IF(COUNTIFS(Saisies!$B$5:$B$304,$A17,Saisies!$J$5:$J$304,$B$3,Saisies!$K$5:$K$304,$D$3,Saisies!$I$5:$I$304,"S4",Saisies!$F$5:$F$304,"&gt;=0")=0,"",SUMIFS(Saisies!$F$5:$F$304,Saisies!$B$5:$B$304,$A17,Saisies!$J$5:$J$304,$B$3,Saisies!$K$5:$K$304,$D$3,Saisies!$I$5:$I$304,"S4")))</f>
        <v/>
      </c>
      <c r="G17" s="14">
        <f>IF($A17="","",IF(COUNTIFS(Saisies!$B$5:$B$304,$A17,Saisies!$J$5:$J$304,$B$3,Saisies!$K$5:$K$304,$D$3,Saisies!$F$5:$F$304,"&gt;=0")=0,"",SUMIFS(Saisies!$F$5:$F$304,Saisies!$B$5:$B$304,$A17,Saisies!$J$5:$J$304,$B$3,Saisies!$K$5:$K$304,$D$3)))</f>
        <v/>
      </c>
      <c r="H17" s="14">
        <f>IF($A17="","",IF(COUNTIFS(Saisies!$B$5:$B$304,$A17,Saisies!$J$5:$J$304,$B$3,Saisies!$K$5:$K$304,$D$3,Saisies!$G$5:$G$304,"&gt;=0")=0,"",SUMIFS(Saisies!$G$5:$G$304,Saisies!$B$5:$B$304,$A17,Saisies!$J$5:$J$304,$B$3,Saisies!$K$5:$K$304,$D$3)))</f>
        <v/>
      </c>
      <c r="I17" s="13">
        <f>IF(OR(G17="",H17=""),"",H17-G17)</f>
        <v/>
      </c>
      <c r="J17" s="14">
        <f>IF(K17="","",SUMIFS(Saisies!$E$5:$E$304,Saisies!$B$5:$B$304,$A17,Saisies!$A$5:$A$304,K17))</f>
        <v/>
      </c>
      <c r="K17" s="15">
        <f>IF($A17="","",IF(COUNTIFS(Saisies!$B$5:$B$304,$A17,Saisies!$J$5:$J$304,$B$3,Saisies!$K$5:$K$304,$D$3,Saisies!$E$5:$E$304,"&gt;=0")=0,"",_xlfn.MAXIFS(Saisies!$A$5:$A$304,Saisies!$B$5:$B$304,$A17,Saisies!$J$5:$J$304,$B$3,Saisies!$K$5:$K$304,$D$3,Saisies!$E$5:$E$304,"&gt;=0")))</f>
        <v/>
      </c>
    </row>
    <row r="18">
      <c r="A18" s="11">
        <f>IF(Produits!$A$17="","",Produits!$A$17)</f>
        <v/>
      </c>
      <c r="B18" s="12">
        <f>IF(Produits!$A$17="","",Produits!$C$17)</f>
        <v/>
      </c>
      <c r="C18" s="13">
        <f>IF($A18="","",IF(COUNTIFS(Saisies!$B$5:$B$304,$A18,Saisies!$J$5:$J$304,$B$3,Saisies!$K$5:$K$304,$D$3,Saisies!$I$5:$I$304,"S1",Saisies!$F$5:$F$304,"&gt;=0")=0,"",SUMIFS(Saisies!$F$5:$F$304,Saisies!$B$5:$B$304,$A18,Saisies!$J$5:$J$304,$B$3,Saisies!$K$5:$K$304,$D$3,Saisies!$I$5:$I$304,"S1")))</f>
        <v/>
      </c>
      <c r="D18" s="13">
        <f>IF($A18="","",IF(COUNTIFS(Saisies!$B$5:$B$304,$A18,Saisies!$J$5:$J$304,$B$3,Saisies!$K$5:$K$304,$D$3,Saisies!$I$5:$I$304,"S2",Saisies!$F$5:$F$304,"&gt;=0")=0,"",SUMIFS(Saisies!$F$5:$F$304,Saisies!$B$5:$B$304,$A18,Saisies!$J$5:$J$304,$B$3,Saisies!$K$5:$K$304,$D$3,Saisies!$I$5:$I$304,"S2")))</f>
        <v/>
      </c>
      <c r="E18" s="13">
        <f>IF($A18="","",IF(COUNTIFS(Saisies!$B$5:$B$304,$A18,Saisies!$J$5:$J$304,$B$3,Saisies!$K$5:$K$304,$D$3,Saisies!$I$5:$I$304,"S3",Saisies!$F$5:$F$304,"&gt;=0")=0,"",SUMIFS(Saisies!$F$5:$F$304,Saisies!$B$5:$B$304,$A18,Saisies!$J$5:$J$304,$B$3,Saisies!$K$5:$K$304,$D$3,Saisies!$I$5:$I$304,"S3")))</f>
        <v/>
      </c>
      <c r="F18" s="13">
        <f>IF($A18="","",IF(COUNTIFS(Saisies!$B$5:$B$304,$A18,Saisies!$J$5:$J$304,$B$3,Saisies!$K$5:$K$304,$D$3,Saisies!$I$5:$I$304,"S4",Saisies!$F$5:$F$304,"&gt;=0")=0,"",SUMIFS(Saisies!$F$5:$F$304,Saisies!$B$5:$B$304,$A18,Saisies!$J$5:$J$304,$B$3,Saisies!$K$5:$K$304,$D$3,Saisies!$I$5:$I$304,"S4")))</f>
        <v/>
      </c>
      <c r="G18" s="14">
        <f>IF($A18="","",IF(COUNTIFS(Saisies!$B$5:$B$304,$A18,Saisies!$J$5:$J$304,$B$3,Saisies!$K$5:$K$304,$D$3,Saisies!$F$5:$F$304,"&gt;=0")=0,"",SUMIFS(Saisies!$F$5:$F$304,Saisies!$B$5:$B$304,$A18,Saisies!$J$5:$J$304,$B$3,Saisies!$K$5:$K$304,$D$3)))</f>
        <v/>
      </c>
      <c r="H18" s="14">
        <f>IF($A18="","",IF(COUNTIFS(Saisies!$B$5:$B$304,$A18,Saisies!$J$5:$J$304,$B$3,Saisies!$K$5:$K$304,$D$3,Saisies!$G$5:$G$304,"&gt;=0")=0,"",SUMIFS(Saisies!$G$5:$G$304,Saisies!$B$5:$B$304,$A18,Saisies!$J$5:$J$304,$B$3,Saisies!$K$5:$K$304,$D$3)))</f>
        <v/>
      </c>
      <c r="I18" s="13">
        <f>IF(OR(G18="",H18=""),"",H18-G18)</f>
        <v/>
      </c>
      <c r="J18" s="14">
        <f>IF(K18="","",SUMIFS(Saisies!$E$5:$E$304,Saisies!$B$5:$B$304,$A18,Saisies!$A$5:$A$304,K18))</f>
        <v/>
      </c>
      <c r="K18" s="15">
        <f>IF($A18="","",IF(COUNTIFS(Saisies!$B$5:$B$304,$A18,Saisies!$J$5:$J$304,$B$3,Saisies!$K$5:$K$304,$D$3,Saisies!$E$5:$E$304,"&gt;=0")=0,"",_xlfn.MAXIFS(Saisies!$A$5:$A$304,Saisies!$B$5:$B$304,$A18,Saisies!$J$5:$J$304,$B$3,Saisies!$K$5:$K$304,$D$3,Saisies!$E$5:$E$304,"&gt;=0")))</f>
        <v/>
      </c>
    </row>
    <row r="19">
      <c r="A19" s="11">
        <f>IF(Produits!$A$18="","",Produits!$A$18)</f>
        <v/>
      </c>
      <c r="B19" s="12">
        <f>IF(Produits!$A$18="","",Produits!$C$18)</f>
        <v/>
      </c>
      <c r="C19" s="13">
        <f>IF($A19="","",IF(COUNTIFS(Saisies!$B$5:$B$304,$A19,Saisies!$J$5:$J$304,$B$3,Saisies!$K$5:$K$304,$D$3,Saisies!$I$5:$I$304,"S1",Saisies!$F$5:$F$304,"&gt;=0")=0,"",SUMIFS(Saisies!$F$5:$F$304,Saisies!$B$5:$B$304,$A19,Saisies!$J$5:$J$304,$B$3,Saisies!$K$5:$K$304,$D$3,Saisies!$I$5:$I$304,"S1")))</f>
        <v/>
      </c>
      <c r="D19" s="13">
        <f>IF($A19="","",IF(COUNTIFS(Saisies!$B$5:$B$304,$A19,Saisies!$J$5:$J$304,$B$3,Saisies!$K$5:$K$304,$D$3,Saisies!$I$5:$I$304,"S2",Saisies!$F$5:$F$304,"&gt;=0")=0,"",SUMIFS(Saisies!$F$5:$F$304,Saisies!$B$5:$B$304,$A19,Saisies!$J$5:$J$304,$B$3,Saisies!$K$5:$K$304,$D$3,Saisies!$I$5:$I$304,"S2")))</f>
        <v/>
      </c>
      <c r="E19" s="13">
        <f>IF($A19="","",IF(COUNTIFS(Saisies!$B$5:$B$304,$A19,Saisies!$J$5:$J$304,$B$3,Saisies!$K$5:$K$304,$D$3,Saisies!$I$5:$I$304,"S3",Saisies!$F$5:$F$304,"&gt;=0")=0,"",SUMIFS(Saisies!$F$5:$F$304,Saisies!$B$5:$B$304,$A19,Saisies!$J$5:$J$304,$B$3,Saisies!$K$5:$K$304,$D$3,Saisies!$I$5:$I$304,"S3")))</f>
        <v/>
      </c>
      <c r="F19" s="13">
        <f>IF($A19="","",IF(COUNTIFS(Saisies!$B$5:$B$304,$A19,Saisies!$J$5:$J$304,$B$3,Saisies!$K$5:$K$304,$D$3,Saisies!$I$5:$I$304,"S4",Saisies!$F$5:$F$304,"&gt;=0")=0,"",SUMIFS(Saisies!$F$5:$F$304,Saisies!$B$5:$B$304,$A19,Saisies!$J$5:$J$304,$B$3,Saisies!$K$5:$K$304,$D$3,Saisies!$I$5:$I$304,"S4")))</f>
        <v/>
      </c>
      <c r="G19" s="14">
        <f>IF($A19="","",IF(COUNTIFS(Saisies!$B$5:$B$304,$A19,Saisies!$J$5:$J$304,$B$3,Saisies!$K$5:$K$304,$D$3,Saisies!$F$5:$F$304,"&gt;=0")=0,"",SUMIFS(Saisies!$F$5:$F$304,Saisies!$B$5:$B$304,$A19,Saisies!$J$5:$J$304,$B$3,Saisies!$K$5:$K$304,$D$3)))</f>
        <v/>
      </c>
      <c r="H19" s="14">
        <f>IF($A19="","",IF(COUNTIFS(Saisies!$B$5:$B$304,$A19,Saisies!$J$5:$J$304,$B$3,Saisies!$K$5:$K$304,$D$3,Saisies!$G$5:$G$304,"&gt;=0")=0,"",SUMIFS(Saisies!$G$5:$G$304,Saisies!$B$5:$B$304,$A19,Saisies!$J$5:$J$304,$B$3,Saisies!$K$5:$K$304,$D$3)))</f>
        <v/>
      </c>
      <c r="I19" s="13">
        <f>IF(OR(G19="",H19=""),"",H19-G19)</f>
        <v/>
      </c>
      <c r="J19" s="14">
        <f>IF(K19="","",SUMIFS(Saisies!$E$5:$E$304,Saisies!$B$5:$B$304,$A19,Saisies!$A$5:$A$304,K19))</f>
        <v/>
      </c>
      <c r="K19" s="15">
        <f>IF($A19="","",IF(COUNTIFS(Saisies!$B$5:$B$304,$A19,Saisies!$J$5:$J$304,$B$3,Saisies!$K$5:$K$304,$D$3,Saisies!$E$5:$E$304,"&gt;=0")=0,"",_xlfn.MAXIFS(Saisies!$A$5:$A$304,Saisies!$B$5:$B$304,$A19,Saisies!$J$5:$J$304,$B$3,Saisies!$K$5:$K$304,$D$3,Saisies!$E$5:$E$304,"&gt;=0")))</f>
        <v/>
      </c>
    </row>
    <row r="20">
      <c r="A20" s="11">
        <f>IF(Produits!$A$19="","",Produits!$A$19)</f>
        <v/>
      </c>
      <c r="B20" s="12">
        <f>IF(Produits!$A$19="","",Produits!$C$19)</f>
        <v/>
      </c>
      <c r="C20" s="13">
        <f>IF($A20="","",IF(COUNTIFS(Saisies!$B$5:$B$304,$A20,Saisies!$J$5:$J$304,$B$3,Saisies!$K$5:$K$304,$D$3,Saisies!$I$5:$I$304,"S1",Saisies!$F$5:$F$304,"&gt;=0")=0,"",SUMIFS(Saisies!$F$5:$F$304,Saisies!$B$5:$B$304,$A20,Saisies!$J$5:$J$304,$B$3,Saisies!$K$5:$K$304,$D$3,Saisies!$I$5:$I$304,"S1")))</f>
        <v/>
      </c>
      <c r="D20" s="13">
        <f>IF($A20="","",IF(COUNTIFS(Saisies!$B$5:$B$304,$A20,Saisies!$J$5:$J$304,$B$3,Saisies!$K$5:$K$304,$D$3,Saisies!$I$5:$I$304,"S2",Saisies!$F$5:$F$304,"&gt;=0")=0,"",SUMIFS(Saisies!$F$5:$F$304,Saisies!$B$5:$B$304,$A20,Saisies!$J$5:$J$304,$B$3,Saisies!$K$5:$K$304,$D$3,Saisies!$I$5:$I$304,"S2")))</f>
        <v/>
      </c>
      <c r="E20" s="13">
        <f>IF($A20="","",IF(COUNTIFS(Saisies!$B$5:$B$304,$A20,Saisies!$J$5:$J$304,$B$3,Saisies!$K$5:$K$304,$D$3,Saisies!$I$5:$I$304,"S3",Saisies!$F$5:$F$304,"&gt;=0")=0,"",SUMIFS(Saisies!$F$5:$F$304,Saisies!$B$5:$B$304,$A20,Saisies!$J$5:$J$304,$B$3,Saisies!$K$5:$K$304,$D$3,Saisies!$I$5:$I$304,"S3")))</f>
        <v/>
      </c>
      <c r="F20" s="13">
        <f>IF($A20="","",IF(COUNTIFS(Saisies!$B$5:$B$304,$A20,Saisies!$J$5:$J$304,$B$3,Saisies!$K$5:$K$304,$D$3,Saisies!$I$5:$I$304,"S4",Saisies!$F$5:$F$304,"&gt;=0")=0,"",SUMIFS(Saisies!$F$5:$F$304,Saisies!$B$5:$B$304,$A20,Saisies!$J$5:$J$304,$B$3,Saisies!$K$5:$K$304,$D$3,Saisies!$I$5:$I$304,"S4")))</f>
        <v/>
      </c>
      <c r="G20" s="14">
        <f>IF($A20="","",IF(COUNTIFS(Saisies!$B$5:$B$304,$A20,Saisies!$J$5:$J$304,$B$3,Saisies!$K$5:$K$304,$D$3,Saisies!$F$5:$F$304,"&gt;=0")=0,"",SUMIFS(Saisies!$F$5:$F$304,Saisies!$B$5:$B$304,$A20,Saisies!$J$5:$J$304,$B$3,Saisies!$K$5:$K$304,$D$3)))</f>
        <v/>
      </c>
      <c r="H20" s="14">
        <f>IF($A20="","",IF(COUNTIFS(Saisies!$B$5:$B$304,$A20,Saisies!$J$5:$J$304,$B$3,Saisies!$K$5:$K$304,$D$3,Saisies!$G$5:$G$304,"&gt;=0")=0,"",SUMIFS(Saisies!$G$5:$G$304,Saisies!$B$5:$B$304,$A20,Saisies!$J$5:$J$304,$B$3,Saisies!$K$5:$K$304,$D$3)))</f>
        <v/>
      </c>
      <c r="I20" s="13">
        <f>IF(OR(G20="",H20=""),"",H20-G20)</f>
        <v/>
      </c>
      <c r="J20" s="14">
        <f>IF(K20="","",SUMIFS(Saisies!$E$5:$E$304,Saisies!$B$5:$B$304,$A20,Saisies!$A$5:$A$304,K20))</f>
        <v/>
      </c>
      <c r="K20" s="15">
        <f>IF($A20="","",IF(COUNTIFS(Saisies!$B$5:$B$304,$A20,Saisies!$J$5:$J$304,$B$3,Saisies!$K$5:$K$304,$D$3,Saisies!$E$5:$E$304,"&gt;=0")=0,"",_xlfn.MAXIFS(Saisies!$A$5:$A$304,Saisies!$B$5:$B$304,$A20,Saisies!$J$5:$J$304,$B$3,Saisies!$K$5:$K$304,$D$3,Saisies!$E$5:$E$304,"&gt;=0")))</f>
        <v/>
      </c>
    </row>
    <row r="21">
      <c r="A21" s="11">
        <f>IF(Produits!$A$20="","",Produits!$A$20)</f>
        <v/>
      </c>
      <c r="B21" s="12">
        <f>IF(Produits!$A$20="","",Produits!$C$20)</f>
        <v/>
      </c>
      <c r="C21" s="13">
        <f>IF($A21="","",IF(COUNTIFS(Saisies!$B$5:$B$304,$A21,Saisies!$J$5:$J$304,$B$3,Saisies!$K$5:$K$304,$D$3,Saisies!$I$5:$I$304,"S1",Saisies!$F$5:$F$304,"&gt;=0")=0,"",SUMIFS(Saisies!$F$5:$F$304,Saisies!$B$5:$B$304,$A21,Saisies!$J$5:$J$304,$B$3,Saisies!$K$5:$K$304,$D$3,Saisies!$I$5:$I$304,"S1")))</f>
        <v/>
      </c>
      <c r="D21" s="13">
        <f>IF($A21="","",IF(COUNTIFS(Saisies!$B$5:$B$304,$A21,Saisies!$J$5:$J$304,$B$3,Saisies!$K$5:$K$304,$D$3,Saisies!$I$5:$I$304,"S2",Saisies!$F$5:$F$304,"&gt;=0")=0,"",SUMIFS(Saisies!$F$5:$F$304,Saisies!$B$5:$B$304,$A21,Saisies!$J$5:$J$304,$B$3,Saisies!$K$5:$K$304,$D$3,Saisies!$I$5:$I$304,"S2")))</f>
        <v/>
      </c>
      <c r="E21" s="13">
        <f>IF($A21="","",IF(COUNTIFS(Saisies!$B$5:$B$304,$A21,Saisies!$J$5:$J$304,$B$3,Saisies!$K$5:$K$304,$D$3,Saisies!$I$5:$I$304,"S3",Saisies!$F$5:$F$304,"&gt;=0")=0,"",SUMIFS(Saisies!$F$5:$F$304,Saisies!$B$5:$B$304,$A21,Saisies!$J$5:$J$304,$B$3,Saisies!$K$5:$K$304,$D$3,Saisies!$I$5:$I$304,"S3")))</f>
        <v/>
      </c>
      <c r="F21" s="13">
        <f>IF($A21="","",IF(COUNTIFS(Saisies!$B$5:$B$304,$A21,Saisies!$J$5:$J$304,$B$3,Saisies!$K$5:$K$304,$D$3,Saisies!$I$5:$I$304,"S4",Saisies!$F$5:$F$304,"&gt;=0")=0,"",SUMIFS(Saisies!$F$5:$F$304,Saisies!$B$5:$B$304,$A21,Saisies!$J$5:$J$304,$B$3,Saisies!$K$5:$K$304,$D$3,Saisies!$I$5:$I$304,"S4")))</f>
        <v/>
      </c>
      <c r="G21" s="14">
        <f>IF($A21="","",IF(COUNTIFS(Saisies!$B$5:$B$304,$A21,Saisies!$J$5:$J$304,$B$3,Saisies!$K$5:$K$304,$D$3,Saisies!$F$5:$F$304,"&gt;=0")=0,"",SUMIFS(Saisies!$F$5:$F$304,Saisies!$B$5:$B$304,$A21,Saisies!$J$5:$J$304,$B$3,Saisies!$K$5:$K$304,$D$3)))</f>
        <v/>
      </c>
      <c r="H21" s="14">
        <f>IF($A21="","",IF(COUNTIFS(Saisies!$B$5:$B$304,$A21,Saisies!$J$5:$J$304,$B$3,Saisies!$K$5:$K$304,$D$3,Saisies!$G$5:$G$304,"&gt;=0")=0,"",SUMIFS(Saisies!$G$5:$G$304,Saisies!$B$5:$B$304,$A21,Saisies!$J$5:$J$304,$B$3,Saisies!$K$5:$K$304,$D$3)))</f>
        <v/>
      </c>
      <c r="I21" s="13">
        <f>IF(OR(G21="",H21=""),"",H21-G21)</f>
        <v/>
      </c>
      <c r="J21" s="14">
        <f>IF(K21="","",SUMIFS(Saisies!$E$5:$E$304,Saisies!$B$5:$B$304,$A21,Saisies!$A$5:$A$304,K21))</f>
        <v/>
      </c>
      <c r="K21" s="15">
        <f>IF($A21="","",IF(COUNTIFS(Saisies!$B$5:$B$304,$A21,Saisies!$J$5:$J$304,$B$3,Saisies!$K$5:$K$304,$D$3,Saisies!$E$5:$E$304,"&gt;=0")=0,"",_xlfn.MAXIFS(Saisies!$A$5:$A$304,Saisies!$B$5:$B$304,$A21,Saisies!$J$5:$J$304,$B$3,Saisies!$K$5:$K$304,$D$3,Saisies!$E$5:$E$304,"&gt;=0")))</f>
        <v/>
      </c>
    </row>
    <row r="22">
      <c r="A22" s="11">
        <f>IF(Produits!$A$21="","",Produits!$A$21)</f>
        <v/>
      </c>
      <c r="B22" s="12">
        <f>IF(Produits!$A$21="","",Produits!$C$21)</f>
        <v/>
      </c>
      <c r="C22" s="13">
        <f>IF($A22="","",IF(COUNTIFS(Saisies!$B$5:$B$304,$A22,Saisies!$J$5:$J$304,$B$3,Saisies!$K$5:$K$304,$D$3,Saisies!$I$5:$I$304,"S1",Saisies!$F$5:$F$304,"&gt;=0")=0,"",SUMIFS(Saisies!$F$5:$F$304,Saisies!$B$5:$B$304,$A22,Saisies!$J$5:$J$304,$B$3,Saisies!$K$5:$K$304,$D$3,Saisies!$I$5:$I$304,"S1")))</f>
        <v/>
      </c>
      <c r="D22" s="13">
        <f>IF($A22="","",IF(COUNTIFS(Saisies!$B$5:$B$304,$A22,Saisies!$J$5:$J$304,$B$3,Saisies!$K$5:$K$304,$D$3,Saisies!$I$5:$I$304,"S2",Saisies!$F$5:$F$304,"&gt;=0")=0,"",SUMIFS(Saisies!$F$5:$F$304,Saisies!$B$5:$B$304,$A22,Saisies!$J$5:$J$304,$B$3,Saisies!$K$5:$K$304,$D$3,Saisies!$I$5:$I$304,"S2")))</f>
        <v/>
      </c>
      <c r="E22" s="13">
        <f>IF($A22="","",IF(COUNTIFS(Saisies!$B$5:$B$304,$A22,Saisies!$J$5:$J$304,$B$3,Saisies!$K$5:$K$304,$D$3,Saisies!$I$5:$I$304,"S3",Saisies!$F$5:$F$304,"&gt;=0")=0,"",SUMIFS(Saisies!$F$5:$F$304,Saisies!$B$5:$B$304,$A22,Saisies!$J$5:$J$304,$B$3,Saisies!$K$5:$K$304,$D$3,Saisies!$I$5:$I$304,"S3")))</f>
        <v/>
      </c>
      <c r="F22" s="13">
        <f>IF($A22="","",IF(COUNTIFS(Saisies!$B$5:$B$304,$A22,Saisies!$J$5:$J$304,$B$3,Saisies!$K$5:$K$304,$D$3,Saisies!$I$5:$I$304,"S4",Saisies!$F$5:$F$304,"&gt;=0")=0,"",SUMIFS(Saisies!$F$5:$F$304,Saisies!$B$5:$B$304,$A22,Saisies!$J$5:$J$304,$B$3,Saisies!$K$5:$K$304,$D$3,Saisies!$I$5:$I$304,"S4")))</f>
        <v/>
      </c>
      <c r="G22" s="14">
        <f>IF($A22="","",IF(COUNTIFS(Saisies!$B$5:$B$304,$A22,Saisies!$J$5:$J$304,$B$3,Saisies!$K$5:$K$304,$D$3,Saisies!$F$5:$F$304,"&gt;=0")=0,"",SUMIFS(Saisies!$F$5:$F$304,Saisies!$B$5:$B$304,$A22,Saisies!$J$5:$J$304,$B$3,Saisies!$K$5:$K$304,$D$3)))</f>
        <v/>
      </c>
      <c r="H22" s="14">
        <f>IF($A22="","",IF(COUNTIFS(Saisies!$B$5:$B$304,$A22,Saisies!$J$5:$J$304,$B$3,Saisies!$K$5:$K$304,$D$3,Saisies!$G$5:$G$304,"&gt;=0")=0,"",SUMIFS(Saisies!$G$5:$G$304,Saisies!$B$5:$B$304,$A22,Saisies!$J$5:$J$304,$B$3,Saisies!$K$5:$K$304,$D$3)))</f>
        <v/>
      </c>
      <c r="I22" s="13">
        <f>IF(OR(G22="",H22=""),"",H22-G22)</f>
        <v/>
      </c>
      <c r="J22" s="14">
        <f>IF(K22="","",SUMIFS(Saisies!$E$5:$E$304,Saisies!$B$5:$B$304,$A22,Saisies!$A$5:$A$304,K22))</f>
        <v/>
      </c>
      <c r="K22" s="15">
        <f>IF($A22="","",IF(COUNTIFS(Saisies!$B$5:$B$304,$A22,Saisies!$J$5:$J$304,$B$3,Saisies!$K$5:$K$304,$D$3,Saisies!$E$5:$E$304,"&gt;=0")=0,"",_xlfn.MAXIFS(Saisies!$A$5:$A$304,Saisies!$B$5:$B$304,$A22,Saisies!$J$5:$J$304,$B$3,Saisies!$K$5:$K$304,$D$3,Saisies!$E$5:$E$304,"&gt;=0")))</f>
        <v/>
      </c>
    </row>
    <row r="23">
      <c r="A23" s="11">
        <f>IF(Produits!$A$22="","",Produits!$A$22)</f>
        <v/>
      </c>
      <c r="B23" s="12">
        <f>IF(Produits!$A$22="","",Produits!$C$22)</f>
        <v/>
      </c>
      <c r="C23" s="13">
        <f>IF($A23="","",IF(COUNTIFS(Saisies!$B$5:$B$304,$A23,Saisies!$J$5:$J$304,$B$3,Saisies!$K$5:$K$304,$D$3,Saisies!$I$5:$I$304,"S1",Saisies!$F$5:$F$304,"&gt;=0")=0,"",SUMIFS(Saisies!$F$5:$F$304,Saisies!$B$5:$B$304,$A23,Saisies!$J$5:$J$304,$B$3,Saisies!$K$5:$K$304,$D$3,Saisies!$I$5:$I$304,"S1")))</f>
        <v/>
      </c>
      <c r="D23" s="13">
        <f>IF($A23="","",IF(COUNTIFS(Saisies!$B$5:$B$304,$A23,Saisies!$J$5:$J$304,$B$3,Saisies!$K$5:$K$304,$D$3,Saisies!$I$5:$I$304,"S2",Saisies!$F$5:$F$304,"&gt;=0")=0,"",SUMIFS(Saisies!$F$5:$F$304,Saisies!$B$5:$B$304,$A23,Saisies!$J$5:$J$304,$B$3,Saisies!$K$5:$K$304,$D$3,Saisies!$I$5:$I$304,"S2")))</f>
        <v/>
      </c>
      <c r="E23" s="13">
        <f>IF($A23="","",IF(COUNTIFS(Saisies!$B$5:$B$304,$A23,Saisies!$J$5:$J$304,$B$3,Saisies!$K$5:$K$304,$D$3,Saisies!$I$5:$I$304,"S3",Saisies!$F$5:$F$304,"&gt;=0")=0,"",SUMIFS(Saisies!$F$5:$F$304,Saisies!$B$5:$B$304,$A23,Saisies!$J$5:$J$304,$B$3,Saisies!$K$5:$K$304,$D$3,Saisies!$I$5:$I$304,"S3")))</f>
        <v/>
      </c>
      <c r="F23" s="13">
        <f>IF($A23="","",IF(COUNTIFS(Saisies!$B$5:$B$304,$A23,Saisies!$J$5:$J$304,$B$3,Saisies!$K$5:$K$304,$D$3,Saisies!$I$5:$I$304,"S4",Saisies!$F$5:$F$304,"&gt;=0")=0,"",SUMIFS(Saisies!$F$5:$F$304,Saisies!$B$5:$B$304,$A23,Saisies!$J$5:$J$304,$B$3,Saisies!$K$5:$K$304,$D$3,Saisies!$I$5:$I$304,"S4")))</f>
        <v/>
      </c>
      <c r="G23" s="14">
        <f>IF($A23="","",IF(COUNTIFS(Saisies!$B$5:$B$304,$A23,Saisies!$J$5:$J$304,$B$3,Saisies!$K$5:$K$304,$D$3,Saisies!$F$5:$F$304,"&gt;=0")=0,"",SUMIFS(Saisies!$F$5:$F$304,Saisies!$B$5:$B$304,$A23,Saisies!$J$5:$J$304,$B$3,Saisies!$K$5:$K$304,$D$3)))</f>
        <v/>
      </c>
      <c r="H23" s="14">
        <f>IF($A23="","",IF(COUNTIFS(Saisies!$B$5:$B$304,$A23,Saisies!$J$5:$J$304,$B$3,Saisies!$K$5:$K$304,$D$3,Saisies!$G$5:$G$304,"&gt;=0")=0,"",SUMIFS(Saisies!$G$5:$G$304,Saisies!$B$5:$B$304,$A23,Saisies!$J$5:$J$304,$B$3,Saisies!$K$5:$K$304,$D$3)))</f>
        <v/>
      </c>
      <c r="I23" s="13">
        <f>IF(OR(G23="",H23=""),"",H23-G23)</f>
        <v/>
      </c>
      <c r="J23" s="14">
        <f>IF(K23="","",SUMIFS(Saisies!$E$5:$E$304,Saisies!$B$5:$B$304,$A23,Saisies!$A$5:$A$304,K23))</f>
        <v/>
      </c>
      <c r="K23" s="15">
        <f>IF($A23="","",IF(COUNTIFS(Saisies!$B$5:$B$304,$A23,Saisies!$J$5:$J$304,$B$3,Saisies!$K$5:$K$304,$D$3,Saisies!$E$5:$E$304,"&gt;=0")=0,"",_xlfn.MAXIFS(Saisies!$A$5:$A$304,Saisies!$B$5:$B$304,$A23,Saisies!$J$5:$J$304,$B$3,Saisies!$K$5:$K$304,$D$3,Saisies!$E$5:$E$304,"&gt;=0")))</f>
        <v/>
      </c>
    </row>
    <row r="24">
      <c r="A24" s="11">
        <f>IF(Produits!$A$23="","",Produits!$A$23)</f>
        <v/>
      </c>
      <c r="B24" s="12">
        <f>IF(Produits!$A$23="","",Produits!$C$23)</f>
        <v/>
      </c>
      <c r="C24" s="13">
        <f>IF($A24="","",IF(COUNTIFS(Saisies!$B$5:$B$304,$A24,Saisies!$J$5:$J$304,$B$3,Saisies!$K$5:$K$304,$D$3,Saisies!$I$5:$I$304,"S1",Saisies!$F$5:$F$304,"&gt;=0")=0,"",SUMIFS(Saisies!$F$5:$F$304,Saisies!$B$5:$B$304,$A24,Saisies!$J$5:$J$304,$B$3,Saisies!$K$5:$K$304,$D$3,Saisies!$I$5:$I$304,"S1")))</f>
        <v/>
      </c>
      <c r="D24" s="13">
        <f>IF($A24="","",IF(COUNTIFS(Saisies!$B$5:$B$304,$A24,Saisies!$J$5:$J$304,$B$3,Saisies!$K$5:$K$304,$D$3,Saisies!$I$5:$I$304,"S2",Saisies!$F$5:$F$304,"&gt;=0")=0,"",SUMIFS(Saisies!$F$5:$F$304,Saisies!$B$5:$B$304,$A24,Saisies!$J$5:$J$304,$B$3,Saisies!$K$5:$K$304,$D$3,Saisies!$I$5:$I$304,"S2")))</f>
        <v/>
      </c>
      <c r="E24" s="13">
        <f>IF($A24="","",IF(COUNTIFS(Saisies!$B$5:$B$304,$A24,Saisies!$J$5:$J$304,$B$3,Saisies!$K$5:$K$304,$D$3,Saisies!$I$5:$I$304,"S3",Saisies!$F$5:$F$304,"&gt;=0")=0,"",SUMIFS(Saisies!$F$5:$F$304,Saisies!$B$5:$B$304,$A24,Saisies!$J$5:$J$304,$B$3,Saisies!$K$5:$K$304,$D$3,Saisies!$I$5:$I$304,"S3")))</f>
        <v/>
      </c>
      <c r="F24" s="13">
        <f>IF($A24="","",IF(COUNTIFS(Saisies!$B$5:$B$304,$A24,Saisies!$J$5:$J$304,$B$3,Saisies!$K$5:$K$304,$D$3,Saisies!$I$5:$I$304,"S4",Saisies!$F$5:$F$304,"&gt;=0")=0,"",SUMIFS(Saisies!$F$5:$F$304,Saisies!$B$5:$B$304,$A24,Saisies!$J$5:$J$304,$B$3,Saisies!$K$5:$K$304,$D$3,Saisies!$I$5:$I$304,"S4")))</f>
        <v/>
      </c>
      <c r="G24" s="14">
        <f>IF($A24="","",IF(COUNTIFS(Saisies!$B$5:$B$304,$A24,Saisies!$J$5:$J$304,$B$3,Saisies!$K$5:$K$304,$D$3,Saisies!$F$5:$F$304,"&gt;=0")=0,"",SUMIFS(Saisies!$F$5:$F$304,Saisies!$B$5:$B$304,$A24,Saisies!$J$5:$J$304,$B$3,Saisies!$K$5:$K$304,$D$3)))</f>
        <v/>
      </c>
      <c r="H24" s="14">
        <f>IF($A24="","",IF(COUNTIFS(Saisies!$B$5:$B$304,$A24,Saisies!$J$5:$J$304,$B$3,Saisies!$K$5:$K$304,$D$3,Saisies!$G$5:$G$304,"&gt;=0")=0,"",SUMIFS(Saisies!$G$5:$G$304,Saisies!$B$5:$B$304,$A24,Saisies!$J$5:$J$304,$B$3,Saisies!$K$5:$K$304,$D$3)))</f>
        <v/>
      </c>
      <c r="I24" s="13">
        <f>IF(OR(G24="",H24=""),"",H24-G24)</f>
        <v/>
      </c>
      <c r="J24" s="14">
        <f>IF(K24="","",SUMIFS(Saisies!$E$5:$E$304,Saisies!$B$5:$B$304,$A24,Saisies!$A$5:$A$304,K24))</f>
        <v/>
      </c>
      <c r="K24" s="15">
        <f>IF($A24="","",IF(COUNTIFS(Saisies!$B$5:$B$304,$A24,Saisies!$J$5:$J$304,$B$3,Saisies!$K$5:$K$304,$D$3,Saisies!$E$5:$E$304,"&gt;=0")=0,"",_xlfn.MAXIFS(Saisies!$A$5:$A$304,Saisies!$B$5:$B$304,$A24,Saisies!$J$5:$J$304,$B$3,Saisies!$K$5:$K$304,$D$3,Saisies!$E$5:$E$304,"&gt;=0")))</f>
        <v/>
      </c>
    </row>
    <row r="25">
      <c r="A25" s="11">
        <f>IF(Produits!$A$24="","",Produits!$A$24)</f>
        <v/>
      </c>
      <c r="B25" s="12">
        <f>IF(Produits!$A$24="","",Produits!$C$24)</f>
        <v/>
      </c>
      <c r="C25" s="13">
        <f>IF($A25="","",IF(COUNTIFS(Saisies!$B$5:$B$304,$A25,Saisies!$J$5:$J$304,$B$3,Saisies!$K$5:$K$304,$D$3,Saisies!$I$5:$I$304,"S1",Saisies!$F$5:$F$304,"&gt;=0")=0,"",SUMIFS(Saisies!$F$5:$F$304,Saisies!$B$5:$B$304,$A25,Saisies!$J$5:$J$304,$B$3,Saisies!$K$5:$K$304,$D$3,Saisies!$I$5:$I$304,"S1")))</f>
        <v/>
      </c>
      <c r="D25" s="13">
        <f>IF($A25="","",IF(COUNTIFS(Saisies!$B$5:$B$304,$A25,Saisies!$J$5:$J$304,$B$3,Saisies!$K$5:$K$304,$D$3,Saisies!$I$5:$I$304,"S2",Saisies!$F$5:$F$304,"&gt;=0")=0,"",SUMIFS(Saisies!$F$5:$F$304,Saisies!$B$5:$B$304,$A25,Saisies!$J$5:$J$304,$B$3,Saisies!$K$5:$K$304,$D$3,Saisies!$I$5:$I$304,"S2")))</f>
        <v/>
      </c>
      <c r="E25" s="13">
        <f>IF($A25="","",IF(COUNTIFS(Saisies!$B$5:$B$304,$A25,Saisies!$J$5:$J$304,$B$3,Saisies!$K$5:$K$304,$D$3,Saisies!$I$5:$I$304,"S3",Saisies!$F$5:$F$304,"&gt;=0")=0,"",SUMIFS(Saisies!$F$5:$F$304,Saisies!$B$5:$B$304,$A25,Saisies!$J$5:$J$304,$B$3,Saisies!$K$5:$K$304,$D$3,Saisies!$I$5:$I$304,"S3")))</f>
        <v/>
      </c>
      <c r="F25" s="13">
        <f>IF($A25="","",IF(COUNTIFS(Saisies!$B$5:$B$304,$A25,Saisies!$J$5:$J$304,$B$3,Saisies!$K$5:$K$304,$D$3,Saisies!$I$5:$I$304,"S4",Saisies!$F$5:$F$304,"&gt;=0")=0,"",SUMIFS(Saisies!$F$5:$F$304,Saisies!$B$5:$B$304,$A25,Saisies!$J$5:$J$304,$B$3,Saisies!$K$5:$K$304,$D$3,Saisies!$I$5:$I$304,"S4")))</f>
        <v/>
      </c>
      <c r="G25" s="14">
        <f>IF($A25="","",IF(COUNTIFS(Saisies!$B$5:$B$304,$A25,Saisies!$J$5:$J$304,$B$3,Saisies!$K$5:$K$304,$D$3,Saisies!$F$5:$F$304,"&gt;=0")=0,"",SUMIFS(Saisies!$F$5:$F$304,Saisies!$B$5:$B$304,$A25,Saisies!$J$5:$J$304,$B$3,Saisies!$K$5:$K$304,$D$3)))</f>
        <v/>
      </c>
      <c r="H25" s="14">
        <f>IF($A25="","",IF(COUNTIFS(Saisies!$B$5:$B$304,$A25,Saisies!$J$5:$J$304,$B$3,Saisies!$K$5:$K$304,$D$3,Saisies!$G$5:$G$304,"&gt;=0")=0,"",SUMIFS(Saisies!$G$5:$G$304,Saisies!$B$5:$B$304,$A25,Saisies!$J$5:$J$304,$B$3,Saisies!$K$5:$K$304,$D$3)))</f>
        <v/>
      </c>
      <c r="I25" s="13">
        <f>IF(OR(G25="",H25=""),"",H25-G25)</f>
        <v/>
      </c>
      <c r="J25" s="14">
        <f>IF(K25="","",SUMIFS(Saisies!$E$5:$E$304,Saisies!$B$5:$B$304,$A25,Saisies!$A$5:$A$304,K25))</f>
        <v/>
      </c>
      <c r="K25" s="15">
        <f>IF($A25="","",IF(COUNTIFS(Saisies!$B$5:$B$304,$A25,Saisies!$J$5:$J$304,$B$3,Saisies!$K$5:$K$304,$D$3,Saisies!$E$5:$E$304,"&gt;=0")=0,"",_xlfn.MAXIFS(Saisies!$A$5:$A$304,Saisies!$B$5:$B$304,$A25,Saisies!$J$5:$J$304,$B$3,Saisies!$K$5:$K$304,$D$3,Saisies!$E$5:$E$304,"&gt;=0")))</f>
        <v/>
      </c>
    </row>
    <row r="26">
      <c r="A26" s="11">
        <f>IF(Produits!$A$25="","",Produits!$A$25)</f>
        <v/>
      </c>
      <c r="B26" s="12">
        <f>IF(Produits!$A$25="","",Produits!$C$25)</f>
        <v/>
      </c>
      <c r="C26" s="13">
        <f>IF($A26="","",IF(COUNTIFS(Saisies!$B$5:$B$304,$A26,Saisies!$J$5:$J$304,$B$3,Saisies!$K$5:$K$304,$D$3,Saisies!$I$5:$I$304,"S1",Saisies!$F$5:$F$304,"&gt;=0")=0,"",SUMIFS(Saisies!$F$5:$F$304,Saisies!$B$5:$B$304,$A26,Saisies!$J$5:$J$304,$B$3,Saisies!$K$5:$K$304,$D$3,Saisies!$I$5:$I$304,"S1")))</f>
        <v/>
      </c>
      <c r="D26" s="13">
        <f>IF($A26="","",IF(COUNTIFS(Saisies!$B$5:$B$304,$A26,Saisies!$J$5:$J$304,$B$3,Saisies!$K$5:$K$304,$D$3,Saisies!$I$5:$I$304,"S2",Saisies!$F$5:$F$304,"&gt;=0")=0,"",SUMIFS(Saisies!$F$5:$F$304,Saisies!$B$5:$B$304,$A26,Saisies!$J$5:$J$304,$B$3,Saisies!$K$5:$K$304,$D$3,Saisies!$I$5:$I$304,"S2")))</f>
        <v/>
      </c>
      <c r="E26" s="13">
        <f>IF($A26="","",IF(COUNTIFS(Saisies!$B$5:$B$304,$A26,Saisies!$J$5:$J$304,$B$3,Saisies!$K$5:$K$304,$D$3,Saisies!$I$5:$I$304,"S3",Saisies!$F$5:$F$304,"&gt;=0")=0,"",SUMIFS(Saisies!$F$5:$F$304,Saisies!$B$5:$B$304,$A26,Saisies!$J$5:$J$304,$B$3,Saisies!$K$5:$K$304,$D$3,Saisies!$I$5:$I$304,"S3")))</f>
        <v/>
      </c>
      <c r="F26" s="13">
        <f>IF($A26="","",IF(COUNTIFS(Saisies!$B$5:$B$304,$A26,Saisies!$J$5:$J$304,$B$3,Saisies!$K$5:$K$304,$D$3,Saisies!$I$5:$I$304,"S4",Saisies!$F$5:$F$304,"&gt;=0")=0,"",SUMIFS(Saisies!$F$5:$F$304,Saisies!$B$5:$B$304,$A26,Saisies!$J$5:$J$304,$B$3,Saisies!$K$5:$K$304,$D$3,Saisies!$I$5:$I$304,"S4")))</f>
        <v/>
      </c>
      <c r="G26" s="14">
        <f>IF($A26="","",IF(COUNTIFS(Saisies!$B$5:$B$304,$A26,Saisies!$J$5:$J$304,$B$3,Saisies!$K$5:$K$304,$D$3,Saisies!$F$5:$F$304,"&gt;=0")=0,"",SUMIFS(Saisies!$F$5:$F$304,Saisies!$B$5:$B$304,$A26,Saisies!$J$5:$J$304,$B$3,Saisies!$K$5:$K$304,$D$3)))</f>
        <v/>
      </c>
      <c r="H26" s="14">
        <f>IF($A26="","",IF(COUNTIFS(Saisies!$B$5:$B$304,$A26,Saisies!$J$5:$J$304,$B$3,Saisies!$K$5:$K$304,$D$3,Saisies!$G$5:$G$304,"&gt;=0")=0,"",SUMIFS(Saisies!$G$5:$G$304,Saisies!$B$5:$B$304,$A26,Saisies!$J$5:$J$304,$B$3,Saisies!$K$5:$K$304,$D$3)))</f>
        <v/>
      </c>
      <c r="I26" s="13">
        <f>IF(OR(G26="",H26=""),"",H26-G26)</f>
        <v/>
      </c>
      <c r="J26" s="14">
        <f>IF(K26="","",SUMIFS(Saisies!$E$5:$E$304,Saisies!$B$5:$B$304,$A26,Saisies!$A$5:$A$304,K26))</f>
        <v/>
      </c>
      <c r="K26" s="15">
        <f>IF($A26="","",IF(COUNTIFS(Saisies!$B$5:$B$304,$A26,Saisies!$J$5:$J$304,$B$3,Saisies!$K$5:$K$304,$D$3,Saisies!$E$5:$E$304,"&gt;=0")=0,"",_xlfn.MAXIFS(Saisies!$A$5:$A$304,Saisies!$B$5:$B$304,$A26,Saisies!$J$5:$J$304,$B$3,Saisies!$K$5:$K$304,$D$3,Saisies!$E$5:$E$304,"&gt;=0")))</f>
        <v/>
      </c>
    </row>
    <row r="27">
      <c r="A27" s="11">
        <f>IF(Produits!$A$26="","",Produits!$A$26)</f>
        <v/>
      </c>
      <c r="B27" s="12">
        <f>IF(Produits!$A$26="","",Produits!$C$26)</f>
        <v/>
      </c>
      <c r="C27" s="13">
        <f>IF($A27="","",IF(COUNTIFS(Saisies!$B$5:$B$304,$A27,Saisies!$J$5:$J$304,$B$3,Saisies!$K$5:$K$304,$D$3,Saisies!$I$5:$I$304,"S1",Saisies!$F$5:$F$304,"&gt;=0")=0,"",SUMIFS(Saisies!$F$5:$F$304,Saisies!$B$5:$B$304,$A27,Saisies!$J$5:$J$304,$B$3,Saisies!$K$5:$K$304,$D$3,Saisies!$I$5:$I$304,"S1")))</f>
        <v/>
      </c>
      <c r="D27" s="13">
        <f>IF($A27="","",IF(COUNTIFS(Saisies!$B$5:$B$304,$A27,Saisies!$J$5:$J$304,$B$3,Saisies!$K$5:$K$304,$D$3,Saisies!$I$5:$I$304,"S2",Saisies!$F$5:$F$304,"&gt;=0")=0,"",SUMIFS(Saisies!$F$5:$F$304,Saisies!$B$5:$B$304,$A27,Saisies!$J$5:$J$304,$B$3,Saisies!$K$5:$K$304,$D$3,Saisies!$I$5:$I$304,"S2")))</f>
        <v/>
      </c>
      <c r="E27" s="13">
        <f>IF($A27="","",IF(COUNTIFS(Saisies!$B$5:$B$304,$A27,Saisies!$J$5:$J$304,$B$3,Saisies!$K$5:$K$304,$D$3,Saisies!$I$5:$I$304,"S3",Saisies!$F$5:$F$304,"&gt;=0")=0,"",SUMIFS(Saisies!$F$5:$F$304,Saisies!$B$5:$B$304,$A27,Saisies!$J$5:$J$304,$B$3,Saisies!$K$5:$K$304,$D$3,Saisies!$I$5:$I$304,"S3")))</f>
        <v/>
      </c>
      <c r="F27" s="13">
        <f>IF($A27="","",IF(COUNTIFS(Saisies!$B$5:$B$304,$A27,Saisies!$J$5:$J$304,$B$3,Saisies!$K$5:$K$304,$D$3,Saisies!$I$5:$I$304,"S4",Saisies!$F$5:$F$304,"&gt;=0")=0,"",SUMIFS(Saisies!$F$5:$F$304,Saisies!$B$5:$B$304,$A27,Saisies!$J$5:$J$304,$B$3,Saisies!$K$5:$K$304,$D$3,Saisies!$I$5:$I$304,"S4")))</f>
        <v/>
      </c>
      <c r="G27" s="14">
        <f>IF($A27="","",IF(COUNTIFS(Saisies!$B$5:$B$304,$A27,Saisies!$J$5:$J$304,$B$3,Saisies!$K$5:$K$304,$D$3,Saisies!$F$5:$F$304,"&gt;=0")=0,"",SUMIFS(Saisies!$F$5:$F$304,Saisies!$B$5:$B$304,$A27,Saisies!$J$5:$J$304,$B$3,Saisies!$K$5:$K$304,$D$3)))</f>
        <v/>
      </c>
      <c r="H27" s="14">
        <f>IF($A27="","",IF(COUNTIFS(Saisies!$B$5:$B$304,$A27,Saisies!$J$5:$J$304,$B$3,Saisies!$K$5:$K$304,$D$3,Saisies!$G$5:$G$304,"&gt;=0")=0,"",SUMIFS(Saisies!$G$5:$G$304,Saisies!$B$5:$B$304,$A27,Saisies!$J$5:$J$304,$B$3,Saisies!$K$5:$K$304,$D$3)))</f>
        <v/>
      </c>
      <c r="I27" s="13">
        <f>IF(OR(G27="",H27=""),"",H27-G27)</f>
        <v/>
      </c>
      <c r="J27" s="14">
        <f>IF(K27="","",SUMIFS(Saisies!$E$5:$E$304,Saisies!$B$5:$B$304,$A27,Saisies!$A$5:$A$304,K27))</f>
        <v/>
      </c>
      <c r="K27" s="15">
        <f>IF($A27="","",IF(COUNTIFS(Saisies!$B$5:$B$304,$A27,Saisies!$J$5:$J$304,$B$3,Saisies!$K$5:$K$304,$D$3,Saisies!$E$5:$E$304,"&gt;=0")=0,"",_xlfn.MAXIFS(Saisies!$A$5:$A$304,Saisies!$B$5:$B$304,$A27,Saisies!$J$5:$J$304,$B$3,Saisies!$K$5:$K$304,$D$3,Saisies!$E$5:$E$304,"&gt;=0")))</f>
        <v/>
      </c>
    </row>
    <row r="28">
      <c r="A28" s="11">
        <f>IF(Produits!$A$27="","",Produits!$A$27)</f>
        <v/>
      </c>
      <c r="B28" s="12">
        <f>IF(Produits!$A$27="","",Produits!$C$27)</f>
        <v/>
      </c>
      <c r="C28" s="13">
        <f>IF($A28="","",IF(COUNTIFS(Saisies!$B$5:$B$304,$A28,Saisies!$J$5:$J$304,$B$3,Saisies!$K$5:$K$304,$D$3,Saisies!$I$5:$I$304,"S1",Saisies!$F$5:$F$304,"&gt;=0")=0,"",SUMIFS(Saisies!$F$5:$F$304,Saisies!$B$5:$B$304,$A28,Saisies!$J$5:$J$304,$B$3,Saisies!$K$5:$K$304,$D$3,Saisies!$I$5:$I$304,"S1")))</f>
        <v/>
      </c>
      <c r="D28" s="13">
        <f>IF($A28="","",IF(COUNTIFS(Saisies!$B$5:$B$304,$A28,Saisies!$J$5:$J$304,$B$3,Saisies!$K$5:$K$304,$D$3,Saisies!$I$5:$I$304,"S2",Saisies!$F$5:$F$304,"&gt;=0")=0,"",SUMIFS(Saisies!$F$5:$F$304,Saisies!$B$5:$B$304,$A28,Saisies!$J$5:$J$304,$B$3,Saisies!$K$5:$K$304,$D$3,Saisies!$I$5:$I$304,"S2")))</f>
        <v/>
      </c>
      <c r="E28" s="13">
        <f>IF($A28="","",IF(COUNTIFS(Saisies!$B$5:$B$304,$A28,Saisies!$J$5:$J$304,$B$3,Saisies!$K$5:$K$304,$D$3,Saisies!$I$5:$I$304,"S3",Saisies!$F$5:$F$304,"&gt;=0")=0,"",SUMIFS(Saisies!$F$5:$F$304,Saisies!$B$5:$B$304,$A28,Saisies!$J$5:$J$304,$B$3,Saisies!$K$5:$K$304,$D$3,Saisies!$I$5:$I$304,"S3")))</f>
        <v/>
      </c>
      <c r="F28" s="13">
        <f>IF($A28="","",IF(COUNTIFS(Saisies!$B$5:$B$304,$A28,Saisies!$J$5:$J$304,$B$3,Saisies!$K$5:$K$304,$D$3,Saisies!$I$5:$I$304,"S4",Saisies!$F$5:$F$304,"&gt;=0")=0,"",SUMIFS(Saisies!$F$5:$F$304,Saisies!$B$5:$B$304,$A28,Saisies!$J$5:$J$304,$B$3,Saisies!$K$5:$K$304,$D$3,Saisies!$I$5:$I$304,"S4")))</f>
        <v/>
      </c>
      <c r="G28" s="14">
        <f>IF($A28="","",IF(COUNTIFS(Saisies!$B$5:$B$304,$A28,Saisies!$J$5:$J$304,$B$3,Saisies!$K$5:$K$304,$D$3,Saisies!$F$5:$F$304,"&gt;=0")=0,"",SUMIFS(Saisies!$F$5:$F$304,Saisies!$B$5:$B$304,$A28,Saisies!$J$5:$J$304,$B$3,Saisies!$K$5:$K$304,$D$3)))</f>
        <v/>
      </c>
      <c r="H28" s="14">
        <f>IF($A28="","",IF(COUNTIFS(Saisies!$B$5:$B$304,$A28,Saisies!$J$5:$J$304,$B$3,Saisies!$K$5:$K$304,$D$3,Saisies!$G$5:$G$304,"&gt;=0")=0,"",SUMIFS(Saisies!$G$5:$G$304,Saisies!$B$5:$B$304,$A28,Saisies!$J$5:$J$304,$B$3,Saisies!$K$5:$K$304,$D$3)))</f>
        <v/>
      </c>
      <c r="I28" s="13">
        <f>IF(OR(G28="",H28=""),"",H28-G28)</f>
        <v/>
      </c>
      <c r="J28" s="14">
        <f>IF(K28="","",SUMIFS(Saisies!$E$5:$E$304,Saisies!$B$5:$B$304,$A28,Saisies!$A$5:$A$304,K28))</f>
        <v/>
      </c>
      <c r="K28" s="15">
        <f>IF($A28="","",IF(COUNTIFS(Saisies!$B$5:$B$304,$A28,Saisies!$J$5:$J$304,$B$3,Saisies!$K$5:$K$304,$D$3,Saisies!$E$5:$E$304,"&gt;=0")=0,"",_xlfn.MAXIFS(Saisies!$A$5:$A$304,Saisies!$B$5:$B$304,$A28,Saisies!$J$5:$J$304,$B$3,Saisies!$K$5:$K$304,$D$3,Saisies!$E$5:$E$304,"&gt;=0")))</f>
        <v/>
      </c>
    </row>
    <row r="29">
      <c r="A29" s="11">
        <f>IF(Produits!$A$28="","",Produits!$A$28)</f>
        <v/>
      </c>
      <c r="B29" s="12">
        <f>IF(Produits!$A$28="","",Produits!$C$28)</f>
        <v/>
      </c>
      <c r="C29" s="13">
        <f>IF($A29="","",IF(COUNTIFS(Saisies!$B$5:$B$304,$A29,Saisies!$J$5:$J$304,$B$3,Saisies!$K$5:$K$304,$D$3,Saisies!$I$5:$I$304,"S1",Saisies!$F$5:$F$304,"&gt;=0")=0,"",SUMIFS(Saisies!$F$5:$F$304,Saisies!$B$5:$B$304,$A29,Saisies!$J$5:$J$304,$B$3,Saisies!$K$5:$K$304,$D$3,Saisies!$I$5:$I$304,"S1")))</f>
        <v/>
      </c>
      <c r="D29" s="13">
        <f>IF($A29="","",IF(COUNTIFS(Saisies!$B$5:$B$304,$A29,Saisies!$J$5:$J$304,$B$3,Saisies!$K$5:$K$304,$D$3,Saisies!$I$5:$I$304,"S2",Saisies!$F$5:$F$304,"&gt;=0")=0,"",SUMIFS(Saisies!$F$5:$F$304,Saisies!$B$5:$B$304,$A29,Saisies!$J$5:$J$304,$B$3,Saisies!$K$5:$K$304,$D$3,Saisies!$I$5:$I$304,"S2")))</f>
        <v/>
      </c>
      <c r="E29" s="13">
        <f>IF($A29="","",IF(COUNTIFS(Saisies!$B$5:$B$304,$A29,Saisies!$J$5:$J$304,$B$3,Saisies!$K$5:$K$304,$D$3,Saisies!$I$5:$I$304,"S3",Saisies!$F$5:$F$304,"&gt;=0")=0,"",SUMIFS(Saisies!$F$5:$F$304,Saisies!$B$5:$B$304,$A29,Saisies!$J$5:$J$304,$B$3,Saisies!$K$5:$K$304,$D$3,Saisies!$I$5:$I$304,"S3")))</f>
        <v/>
      </c>
      <c r="F29" s="13">
        <f>IF($A29="","",IF(COUNTIFS(Saisies!$B$5:$B$304,$A29,Saisies!$J$5:$J$304,$B$3,Saisies!$K$5:$K$304,$D$3,Saisies!$I$5:$I$304,"S4",Saisies!$F$5:$F$304,"&gt;=0")=0,"",SUMIFS(Saisies!$F$5:$F$304,Saisies!$B$5:$B$304,$A29,Saisies!$J$5:$J$304,$B$3,Saisies!$K$5:$K$304,$D$3,Saisies!$I$5:$I$304,"S4")))</f>
        <v/>
      </c>
      <c r="G29" s="14">
        <f>IF($A29="","",IF(COUNTIFS(Saisies!$B$5:$B$304,$A29,Saisies!$J$5:$J$304,$B$3,Saisies!$K$5:$K$304,$D$3,Saisies!$F$5:$F$304,"&gt;=0")=0,"",SUMIFS(Saisies!$F$5:$F$304,Saisies!$B$5:$B$304,$A29,Saisies!$J$5:$J$304,$B$3,Saisies!$K$5:$K$304,$D$3)))</f>
        <v/>
      </c>
      <c r="H29" s="14">
        <f>IF($A29="","",IF(COUNTIFS(Saisies!$B$5:$B$304,$A29,Saisies!$J$5:$J$304,$B$3,Saisies!$K$5:$K$304,$D$3,Saisies!$G$5:$G$304,"&gt;=0")=0,"",SUMIFS(Saisies!$G$5:$G$304,Saisies!$B$5:$B$304,$A29,Saisies!$J$5:$J$304,$B$3,Saisies!$K$5:$K$304,$D$3)))</f>
        <v/>
      </c>
      <c r="I29" s="13">
        <f>IF(OR(G29="",H29=""),"",H29-G29)</f>
        <v/>
      </c>
      <c r="J29" s="14">
        <f>IF(K29="","",SUMIFS(Saisies!$E$5:$E$304,Saisies!$B$5:$B$304,$A29,Saisies!$A$5:$A$304,K29))</f>
        <v/>
      </c>
      <c r="K29" s="15">
        <f>IF($A29="","",IF(COUNTIFS(Saisies!$B$5:$B$304,$A29,Saisies!$J$5:$J$304,$B$3,Saisies!$K$5:$K$304,$D$3,Saisies!$E$5:$E$304,"&gt;=0")=0,"",_xlfn.MAXIFS(Saisies!$A$5:$A$304,Saisies!$B$5:$B$304,$A29,Saisies!$J$5:$J$304,$B$3,Saisies!$K$5:$K$304,$D$3,Saisies!$E$5:$E$304,"&gt;=0")))</f>
        <v/>
      </c>
    </row>
    <row r="30">
      <c r="A30" s="11">
        <f>IF(Produits!$A$29="","",Produits!$A$29)</f>
        <v/>
      </c>
      <c r="B30" s="12">
        <f>IF(Produits!$A$29="","",Produits!$C$29)</f>
        <v/>
      </c>
      <c r="C30" s="13">
        <f>IF($A30="","",IF(COUNTIFS(Saisies!$B$5:$B$304,$A30,Saisies!$J$5:$J$304,$B$3,Saisies!$K$5:$K$304,$D$3,Saisies!$I$5:$I$304,"S1",Saisies!$F$5:$F$304,"&gt;=0")=0,"",SUMIFS(Saisies!$F$5:$F$304,Saisies!$B$5:$B$304,$A30,Saisies!$J$5:$J$304,$B$3,Saisies!$K$5:$K$304,$D$3,Saisies!$I$5:$I$304,"S1")))</f>
        <v/>
      </c>
      <c r="D30" s="13">
        <f>IF($A30="","",IF(COUNTIFS(Saisies!$B$5:$B$304,$A30,Saisies!$J$5:$J$304,$B$3,Saisies!$K$5:$K$304,$D$3,Saisies!$I$5:$I$304,"S2",Saisies!$F$5:$F$304,"&gt;=0")=0,"",SUMIFS(Saisies!$F$5:$F$304,Saisies!$B$5:$B$304,$A30,Saisies!$J$5:$J$304,$B$3,Saisies!$K$5:$K$304,$D$3,Saisies!$I$5:$I$304,"S2")))</f>
        <v/>
      </c>
      <c r="E30" s="13">
        <f>IF($A30="","",IF(COUNTIFS(Saisies!$B$5:$B$304,$A30,Saisies!$J$5:$J$304,$B$3,Saisies!$K$5:$K$304,$D$3,Saisies!$I$5:$I$304,"S3",Saisies!$F$5:$F$304,"&gt;=0")=0,"",SUMIFS(Saisies!$F$5:$F$304,Saisies!$B$5:$B$304,$A30,Saisies!$J$5:$J$304,$B$3,Saisies!$K$5:$K$304,$D$3,Saisies!$I$5:$I$304,"S3")))</f>
        <v/>
      </c>
      <c r="F30" s="13">
        <f>IF($A30="","",IF(COUNTIFS(Saisies!$B$5:$B$304,$A30,Saisies!$J$5:$J$304,$B$3,Saisies!$K$5:$K$304,$D$3,Saisies!$I$5:$I$304,"S4",Saisies!$F$5:$F$304,"&gt;=0")=0,"",SUMIFS(Saisies!$F$5:$F$304,Saisies!$B$5:$B$304,$A30,Saisies!$J$5:$J$304,$B$3,Saisies!$K$5:$K$304,$D$3,Saisies!$I$5:$I$304,"S4")))</f>
        <v/>
      </c>
      <c r="G30" s="14">
        <f>IF($A30="","",IF(COUNTIFS(Saisies!$B$5:$B$304,$A30,Saisies!$J$5:$J$304,$B$3,Saisies!$K$5:$K$304,$D$3,Saisies!$F$5:$F$304,"&gt;=0")=0,"",SUMIFS(Saisies!$F$5:$F$304,Saisies!$B$5:$B$304,$A30,Saisies!$J$5:$J$304,$B$3,Saisies!$K$5:$K$304,$D$3)))</f>
        <v/>
      </c>
      <c r="H30" s="14">
        <f>IF($A30="","",IF(COUNTIFS(Saisies!$B$5:$B$304,$A30,Saisies!$J$5:$J$304,$B$3,Saisies!$K$5:$K$304,$D$3,Saisies!$G$5:$G$304,"&gt;=0")=0,"",SUMIFS(Saisies!$G$5:$G$304,Saisies!$B$5:$B$304,$A30,Saisies!$J$5:$J$304,$B$3,Saisies!$K$5:$K$304,$D$3)))</f>
        <v/>
      </c>
      <c r="I30" s="13">
        <f>IF(OR(G30="",H30=""),"",H30-G30)</f>
        <v/>
      </c>
      <c r="J30" s="14">
        <f>IF(K30="","",SUMIFS(Saisies!$E$5:$E$304,Saisies!$B$5:$B$304,$A30,Saisies!$A$5:$A$304,K30))</f>
        <v/>
      </c>
      <c r="K30" s="15">
        <f>IF($A30="","",IF(COUNTIFS(Saisies!$B$5:$B$304,$A30,Saisies!$J$5:$J$304,$B$3,Saisies!$K$5:$K$304,$D$3,Saisies!$E$5:$E$304,"&gt;=0")=0,"",_xlfn.MAXIFS(Saisies!$A$5:$A$304,Saisies!$B$5:$B$304,$A30,Saisies!$J$5:$J$304,$B$3,Saisies!$K$5:$K$304,$D$3,Saisies!$E$5:$E$304,"&gt;=0")))</f>
        <v/>
      </c>
    </row>
    <row r="31">
      <c r="A31" s="11">
        <f>IF(Produits!$A$30="","",Produits!$A$30)</f>
        <v/>
      </c>
      <c r="B31" s="12">
        <f>IF(Produits!$A$30="","",Produits!$C$30)</f>
        <v/>
      </c>
      <c r="C31" s="13">
        <f>IF($A31="","",IF(COUNTIFS(Saisies!$B$5:$B$304,$A31,Saisies!$J$5:$J$304,$B$3,Saisies!$K$5:$K$304,$D$3,Saisies!$I$5:$I$304,"S1",Saisies!$F$5:$F$304,"&gt;=0")=0,"",SUMIFS(Saisies!$F$5:$F$304,Saisies!$B$5:$B$304,$A31,Saisies!$J$5:$J$304,$B$3,Saisies!$K$5:$K$304,$D$3,Saisies!$I$5:$I$304,"S1")))</f>
        <v/>
      </c>
      <c r="D31" s="13">
        <f>IF($A31="","",IF(COUNTIFS(Saisies!$B$5:$B$304,$A31,Saisies!$J$5:$J$304,$B$3,Saisies!$K$5:$K$304,$D$3,Saisies!$I$5:$I$304,"S2",Saisies!$F$5:$F$304,"&gt;=0")=0,"",SUMIFS(Saisies!$F$5:$F$304,Saisies!$B$5:$B$304,$A31,Saisies!$J$5:$J$304,$B$3,Saisies!$K$5:$K$304,$D$3,Saisies!$I$5:$I$304,"S2")))</f>
        <v/>
      </c>
      <c r="E31" s="13">
        <f>IF($A31="","",IF(COUNTIFS(Saisies!$B$5:$B$304,$A31,Saisies!$J$5:$J$304,$B$3,Saisies!$K$5:$K$304,$D$3,Saisies!$I$5:$I$304,"S3",Saisies!$F$5:$F$304,"&gt;=0")=0,"",SUMIFS(Saisies!$F$5:$F$304,Saisies!$B$5:$B$304,$A31,Saisies!$J$5:$J$304,$B$3,Saisies!$K$5:$K$304,$D$3,Saisies!$I$5:$I$304,"S3")))</f>
        <v/>
      </c>
      <c r="F31" s="13">
        <f>IF($A31="","",IF(COUNTIFS(Saisies!$B$5:$B$304,$A31,Saisies!$J$5:$J$304,$B$3,Saisies!$K$5:$K$304,$D$3,Saisies!$I$5:$I$304,"S4",Saisies!$F$5:$F$304,"&gt;=0")=0,"",SUMIFS(Saisies!$F$5:$F$304,Saisies!$B$5:$B$304,$A31,Saisies!$J$5:$J$304,$B$3,Saisies!$K$5:$K$304,$D$3,Saisies!$I$5:$I$304,"S4")))</f>
        <v/>
      </c>
      <c r="G31" s="14">
        <f>IF($A31="","",IF(COUNTIFS(Saisies!$B$5:$B$304,$A31,Saisies!$J$5:$J$304,$B$3,Saisies!$K$5:$K$304,$D$3,Saisies!$F$5:$F$304,"&gt;=0")=0,"",SUMIFS(Saisies!$F$5:$F$304,Saisies!$B$5:$B$304,$A31,Saisies!$J$5:$J$304,$B$3,Saisies!$K$5:$K$304,$D$3)))</f>
        <v/>
      </c>
      <c r="H31" s="14">
        <f>IF($A31="","",IF(COUNTIFS(Saisies!$B$5:$B$304,$A31,Saisies!$J$5:$J$304,$B$3,Saisies!$K$5:$K$304,$D$3,Saisies!$G$5:$G$304,"&gt;=0")=0,"",SUMIFS(Saisies!$G$5:$G$304,Saisies!$B$5:$B$304,$A31,Saisies!$J$5:$J$304,$B$3,Saisies!$K$5:$K$304,$D$3)))</f>
        <v/>
      </c>
      <c r="I31" s="13">
        <f>IF(OR(G31="",H31=""),"",H31-G31)</f>
        <v/>
      </c>
      <c r="J31" s="14">
        <f>IF(K31="","",SUMIFS(Saisies!$E$5:$E$304,Saisies!$B$5:$B$304,$A31,Saisies!$A$5:$A$304,K31))</f>
        <v/>
      </c>
      <c r="K31" s="15">
        <f>IF($A31="","",IF(COUNTIFS(Saisies!$B$5:$B$304,$A31,Saisies!$J$5:$J$304,$B$3,Saisies!$K$5:$K$304,$D$3,Saisies!$E$5:$E$304,"&gt;=0")=0,"",_xlfn.MAXIFS(Saisies!$A$5:$A$304,Saisies!$B$5:$B$304,$A31,Saisies!$J$5:$J$304,$B$3,Saisies!$K$5:$K$304,$D$3,Saisies!$E$5:$E$304,"&gt;=0")))</f>
        <v/>
      </c>
    </row>
    <row r="32">
      <c r="A32" s="11">
        <f>IF(Produits!$A$31="","",Produits!$A$31)</f>
        <v/>
      </c>
      <c r="B32" s="12">
        <f>IF(Produits!$A$31="","",Produits!$C$31)</f>
        <v/>
      </c>
      <c r="C32" s="13">
        <f>IF($A32="","",IF(COUNTIFS(Saisies!$B$5:$B$304,$A32,Saisies!$J$5:$J$304,$B$3,Saisies!$K$5:$K$304,$D$3,Saisies!$I$5:$I$304,"S1",Saisies!$F$5:$F$304,"&gt;=0")=0,"",SUMIFS(Saisies!$F$5:$F$304,Saisies!$B$5:$B$304,$A32,Saisies!$J$5:$J$304,$B$3,Saisies!$K$5:$K$304,$D$3,Saisies!$I$5:$I$304,"S1")))</f>
        <v/>
      </c>
      <c r="D32" s="13">
        <f>IF($A32="","",IF(COUNTIFS(Saisies!$B$5:$B$304,$A32,Saisies!$J$5:$J$304,$B$3,Saisies!$K$5:$K$304,$D$3,Saisies!$I$5:$I$304,"S2",Saisies!$F$5:$F$304,"&gt;=0")=0,"",SUMIFS(Saisies!$F$5:$F$304,Saisies!$B$5:$B$304,$A32,Saisies!$J$5:$J$304,$B$3,Saisies!$K$5:$K$304,$D$3,Saisies!$I$5:$I$304,"S2")))</f>
        <v/>
      </c>
      <c r="E32" s="13">
        <f>IF($A32="","",IF(COUNTIFS(Saisies!$B$5:$B$304,$A32,Saisies!$J$5:$J$304,$B$3,Saisies!$K$5:$K$304,$D$3,Saisies!$I$5:$I$304,"S3",Saisies!$F$5:$F$304,"&gt;=0")=0,"",SUMIFS(Saisies!$F$5:$F$304,Saisies!$B$5:$B$304,$A32,Saisies!$J$5:$J$304,$B$3,Saisies!$K$5:$K$304,$D$3,Saisies!$I$5:$I$304,"S3")))</f>
        <v/>
      </c>
      <c r="F32" s="13">
        <f>IF($A32="","",IF(COUNTIFS(Saisies!$B$5:$B$304,$A32,Saisies!$J$5:$J$304,$B$3,Saisies!$K$5:$K$304,$D$3,Saisies!$I$5:$I$304,"S4",Saisies!$F$5:$F$304,"&gt;=0")=0,"",SUMIFS(Saisies!$F$5:$F$304,Saisies!$B$5:$B$304,$A32,Saisies!$J$5:$J$304,$B$3,Saisies!$K$5:$K$304,$D$3,Saisies!$I$5:$I$304,"S4")))</f>
        <v/>
      </c>
      <c r="G32" s="14">
        <f>IF($A32="","",IF(COUNTIFS(Saisies!$B$5:$B$304,$A32,Saisies!$J$5:$J$304,$B$3,Saisies!$K$5:$K$304,$D$3,Saisies!$F$5:$F$304,"&gt;=0")=0,"",SUMIFS(Saisies!$F$5:$F$304,Saisies!$B$5:$B$304,$A32,Saisies!$J$5:$J$304,$B$3,Saisies!$K$5:$K$304,$D$3)))</f>
        <v/>
      </c>
      <c r="H32" s="14">
        <f>IF($A32="","",IF(COUNTIFS(Saisies!$B$5:$B$304,$A32,Saisies!$J$5:$J$304,$B$3,Saisies!$K$5:$K$304,$D$3,Saisies!$G$5:$G$304,"&gt;=0")=0,"",SUMIFS(Saisies!$G$5:$G$304,Saisies!$B$5:$B$304,$A32,Saisies!$J$5:$J$304,$B$3,Saisies!$K$5:$K$304,$D$3)))</f>
        <v/>
      </c>
      <c r="I32" s="13">
        <f>IF(OR(G32="",H32=""),"",H32-G32)</f>
        <v/>
      </c>
      <c r="J32" s="14">
        <f>IF(K32="","",SUMIFS(Saisies!$E$5:$E$304,Saisies!$B$5:$B$304,$A32,Saisies!$A$5:$A$304,K32))</f>
        <v/>
      </c>
      <c r="K32" s="15">
        <f>IF($A32="","",IF(COUNTIFS(Saisies!$B$5:$B$304,$A32,Saisies!$J$5:$J$304,$B$3,Saisies!$K$5:$K$304,$D$3,Saisies!$E$5:$E$304,"&gt;=0")=0,"",_xlfn.MAXIFS(Saisies!$A$5:$A$304,Saisies!$B$5:$B$304,$A32,Saisies!$J$5:$J$304,$B$3,Saisies!$K$5:$K$304,$D$3,Saisies!$E$5:$E$304,"&gt;=0")))</f>
        <v/>
      </c>
    </row>
    <row r="33">
      <c r="A33" s="11">
        <f>IF(Produits!$A$32="","",Produits!$A$32)</f>
        <v/>
      </c>
      <c r="B33" s="12">
        <f>IF(Produits!$A$32="","",Produits!$C$32)</f>
        <v/>
      </c>
      <c r="C33" s="13">
        <f>IF($A33="","",IF(COUNTIFS(Saisies!$B$5:$B$304,$A33,Saisies!$J$5:$J$304,$B$3,Saisies!$K$5:$K$304,$D$3,Saisies!$I$5:$I$304,"S1",Saisies!$F$5:$F$304,"&gt;=0")=0,"",SUMIFS(Saisies!$F$5:$F$304,Saisies!$B$5:$B$304,$A33,Saisies!$J$5:$J$304,$B$3,Saisies!$K$5:$K$304,$D$3,Saisies!$I$5:$I$304,"S1")))</f>
        <v/>
      </c>
      <c r="D33" s="13">
        <f>IF($A33="","",IF(COUNTIFS(Saisies!$B$5:$B$304,$A33,Saisies!$J$5:$J$304,$B$3,Saisies!$K$5:$K$304,$D$3,Saisies!$I$5:$I$304,"S2",Saisies!$F$5:$F$304,"&gt;=0")=0,"",SUMIFS(Saisies!$F$5:$F$304,Saisies!$B$5:$B$304,$A33,Saisies!$J$5:$J$304,$B$3,Saisies!$K$5:$K$304,$D$3,Saisies!$I$5:$I$304,"S2")))</f>
        <v/>
      </c>
      <c r="E33" s="13">
        <f>IF($A33="","",IF(COUNTIFS(Saisies!$B$5:$B$304,$A33,Saisies!$J$5:$J$304,$B$3,Saisies!$K$5:$K$304,$D$3,Saisies!$I$5:$I$304,"S3",Saisies!$F$5:$F$304,"&gt;=0")=0,"",SUMIFS(Saisies!$F$5:$F$304,Saisies!$B$5:$B$304,$A33,Saisies!$J$5:$J$304,$B$3,Saisies!$K$5:$K$304,$D$3,Saisies!$I$5:$I$304,"S3")))</f>
        <v/>
      </c>
      <c r="F33" s="13">
        <f>IF($A33="","",IF(COUNTIFS(Saisies!$B$5:$B$304,$A33,Saisies!$J$5:$J$304,$B$3,Saisies!$K$5:$K$304,$D$3,Saisies!$I$5:$I$304,"S4",Saisies!$F$5:$F$304,"&gt;=0")=0,"",SUMIFS(Saisies!$F$5:$F$304,Saisies!$B$5:$B$304,$A33,Saisies!$J$5:$J$304,$B$3,Saisies!$K$5:$K$304,$D$3,Saisies!$I$5:$I$304,"S4")))</f>
        <v/>
      </c>
      <c r="G33" s="14">
        <f>IF($A33="","",IF(COUNTIFS(Saisies!$B$5:$B$304,$A33,Saisies!$J$5:$J$304,$B$3,Saisies!$K$5:$K$304,$D$3,Saisies!$F$5:$F$304,"&gt;=0")=0,"",SUMIFS(Saisies!$F$5:$F$304,Saisies!$B$5:$B$304,$A33,Saisies!$J$5:$J$304,$B$3,Saisies!$K$5:$K$304,$D$3)))</f>
        <v/>
      </c>
      <c r="H33" s="14">
        <f>IF($A33="","",IF(COUNTIFS(Saisies!$B$5:$B$304,$A33,Saisies!$J$5:$J$304,$B$3,Saisies!$K$5:$K$304,$D$3,Saisies!$G$5:$G$304,"&gt;=0")=0,"",SUMIFS(Saisies!$G$5:$G$304,Saisies!$B$5:$B$304,$A33,Saisies!$J$5:$J$304,$B$3,Saisies!$K$5:$K$304,$D$3)))</f>
        <v/>
      </c>
      <c r="I33" s="13">
        <f>IF(OR(G33="",H33=""),"",H33-G33)</f>
        <v/>
      </c>
      <c r="J33" s="14">
        <f>IF(K33="","",SUMIFS(Saisies!$E$5:$E$304,Saisies!$B$5:$B$304,$A33,Saisies!$A$5:$A$304,K33))</f>
        <v/>
      </c>
      <c r="K33" s="15">
        <f>IF($A33="","",IF(COUNTIFS(Saisies!$B$5:$B$304,$A33,Saisies!$J$5:$J$304,$B$3,Saisies!$K$5:$K$304,$D$3,Saisies!$E$5:$E$304,"&gt;=0")=0,"",_xlfn.MAXIFS(Saisies!$A$5:$A$304,Saisies!$B$5:$B$304,$A33,Saisies!$J$5:$J$304,$B$3,Saisies!$K$5:$K$304,$D$3,Saisies!$E$5:$E$304,"&gt;=0")))</f>
        <v/>
      </c>
    </row>
    <row r="34">
      <c r="A34" s="11">
        <f>IF(Produits!$A$33="","",Produits!$A$33)</f>
        <v/>
      </c>
      <c r="B34" s="12">
        <f>IF(Produits!$A$33="","",Produits!$C$33)</f>
        <v/>
      </c>
      <c r="C34" s="13">
        <f>IF($A34="","",IF(COUNTIFS(Saisies!$B$5:$B$304,$A34,Saisies!$J$5:$J$304,$B$3,Saisies!$K$5:$K$304,$D$3,Saisies!$I$5:$I$304,"S1",Saisies!$F$5:$F$304,"&gt;=0")=0,"",SUMIFS(Saisies!$F$5:$F$304,Saisies!$B$5:$B$304,$A34,Saisies!$J$5:$J$304,$B$3,Saisies!$K$5:$K$304,$D$3,Saisies!$I$5:$I$304,"S1")))</f>
        <v/>
      </c>
      <c r="D34" s="13">
        <f>IF($A34="","",IF(COUNTIFS(Saisies!$B$5:$B$304,$A34,Saisies!$J$5:$J$304,$B$3,Saisies!$K$5:$K$304,$D$3,Saisies!$I$5:$I$304,"S2",Saisies!$F$5:$F$304,"&gt;=0")=0,"",SUMIFS(Saisies!$F$5:$F$304,Saisies!$B$5:$B$304,$A34,Saisies!$J$5:$J$304,$B$3,Saisies!$K$5:$K$304,$D$3,Saisies!$I$5:$I$304,"S2")))</f>
        <v/>
      </c>
      <c r="E34" s="13">
        <f>IF($A34="","",IF(COUNTIFS(Saisies!$B$5:$B$304,$A34,Saisies!$J$5:$J$304,$B$3,Saisies!$K$5:$K$304,$D$3,Saisies!$I$5:$I$304,"S3",Saisies!$F$5:$F$304,"&gt;=0")=0,"",SUMIFS(Saisies!$F$5:$F$304,Saisies!$B$5:$B$304,$A34,Saisies!$J$5:$J$304,$B$3,Saisies!$K$5:$K$304,$D$3,Saisies!$I$5:$I$304,"S3")))</f>
        <v/>
      </c>
      <c r="F34" s="13">
        <f>IF($A34="","",IF(COUNTIFS(Saisies!$B$5:$B$304,$A34,Saisies!$J$5:$J$304,$B$3,Saisies!$K$5:$K$304,$D$3,Saisies!$I$5:$I$304,"S4",Saisies!$F$5:$F$304,"&gt;=0")=0,"",SUMIFS(Saisies!$F$5:$F$304,Saisies!$B$5:$B$304,$A34,Saisies!$J$5:$J$304,$B$3,Saisies!$K$5:$K$304,$D$3,Saisies!$I$5:$I$304,"S4")))</f>
        <v/>
      </c>
      <c r="G34" s="14">
        <f>IF($A34="","",IF(COUNTIFS(Saisies!$B$5:$B$304,$A34,Saisies!$J$5:$J$304,$B$3,Saisies!$K$5:$K$304,$D$3,Saisies!$F$5:$F$304,"&gt;=0")=0,"",SUMIFS(Saisies!$F$5:$F$304,Saisies!$B$5:$B$304,$A34,Saisies!$J$5:$J$304,$B$3,Saisies!$K$5:$K$304,$D$3)))</f>
        <v/>
      </c>
      <c r="H34" s="14">
        <f>IF($A34="","",IF(COUNTIFS(Saisies!$B$5:$B$304,$A34,Saisies!$J$5:$J$304,$B$3,Saisies!$K$5:$K$304,$D$3,Saisies!$G$5:$G$304,"&gt;=0")=0,"",SUMIFS(Saisies!$G$5:$G$304,Saisies!$B$5:$B$304,$A34,Saisies!$J$5:$J$304,$B$3,Saisies!$K$5:$K$304,$D$3)))</f>
        <v/>
      </c>
      <c r="I34" s="13">
        <f>IF(OR(G34="",H34=""),"",H34-G34)</f>
        <v/>
      </c>
      <c r="J34" s="14">
        <f>IF(K34="","",SUMIFS(Saisies!$E$5:$E$304,Saisies!$B$5:$B$304,$A34,Saisies!$A$5:$A$304,K34))</f>
        <v/>
      </c>
      <c r="K34" s="15">
        <f>IF($A34="","",IF(COUNTIFS(Saisies!$B$5:$B$304,$A34,Saisies!$J$5:$J$304,$B$3,Saisies!$K$5:$K$304,$D$3,Saisies!$E$5:$E$304,"&gt;=0")=0,"",_xlfn.MAXIFS(Saisies!$A$5:$A$304,Saisies!$B$5:$B$304,$A34,Saisies!$J$5:$J$304,$B$3,Saisies!$K$5:$K$304,$D$3,Saisies!$E$5:$E$304,"&gt;=0")))</f>
        <v/>
      </c>
    </row>
    <row r="35">
      <c r="A35" s="11">
        <f>IF(Produits!$A$34="","",Produits!$A$34)</f>
        <v/>
      </c>
      <c r="B35" s="12">
        <f>IF(Produits!$A$34="","",Produits!$C$34)</f>
        <v/>
      </c>
      <c r="C35" s="13">
        <f>IF($A35="","",IF(COUNTIFS(Saisies!$B$5:$B$304,$A35,Saisies!$J$5:$J$304,$B$3,Saisies!$K$5:$K$304,$D$3,Saisies!$I$5:$I$304,"S1",Saisies!$F$5:$F$304,"&gt;=0")=0,"",SUMIFS(Saisies!$F$5:$F$304,Saisies!$B$5:$B$304,$A35,Saisies!$J$5:$J$304,$B$3,Saisies!$K$5:$K$304,$D$3,Saisies!$I$5:$I$304,"S1")))</f>
        <v/>
      </c>
      <c r="D35" s="13">
        <f>IF($A35="","",IF(COUNTIFS(Saisies!$B$5:$B$304,$A35,Saisies!$J$5:$J$304,$B$3,Saisies!$K$5:$K$304,$D$3,Saisies!$I$5:$I$304,"S2",Saisies!$F$5:$F$304,"&gt;=0")=0,"",SUMIFS(Saisies!$F$5:$F$304,Saisies!$B$5:$B$304,$A35,Saisies!$J$5:$J$304,$B$3,Saisies!$K$5:$K$304,$D$3,Saisies!$I$5:$I$304,"S2")))</f>
        <v/>
      </c>
      <c r="E35" s="13">
        <f>IF($A35="","",IF(COUNTIFS(Saisies!$B$5:$B$304,$A35,Saisies!$J$5:$J$304,$B$3,Saisies!$K$5:$K$304,$D$3,Saisies!$I$5:$I$304,"S3",Saisies!$F$5:$F$304,"&gt;=0")=0,"",SUMIFS(Saisies!$F$5:$F$304,Saisies!$B$5:$B$304,$A35,Saisies!$J$5:$J$304,$B$3,Saisies!$K$5:$K$304,$D$3,Saisies!$I$5:$I$304,"S3")))</f>
        <v/>
      </c>
      <c r="F35" s="13">
        <f>IF($A35="","",IF(COUNTIFS(Saisies!$B$5:$B$304,$A35,Saisies!$J$5:$J$304,$B$3,Saisies!$K$5:$K$304,$D$3,Saisies!$I$5:$I$304,"S4",Saisies!$F$5:$F$304,"&gt;=0")=0,"",SUMIFS(Saisies!$F$5:$F$304,Saisies!$B$5:$B$304,$A35,Saisies!$J$5:$J$304,$B$3,Saisies!$K$5:$K$304,$D$3,Saisies!$I$5:$I$304,"S4")))</f>
        <v/>
      </c>
      <c r="G35" s="14">
        <f>IF($A35="","",IF(COUNTIFS(Saisies!$B$5:$B$304,$A35,Saisies!$J$5:$J$304,$B$3,Saisies!$K$5:$K$304,$D$3,Saisies!$F$5:$F$304,"&gt;=0")=0,"",SUMIFS(Saisies!$F$5:$F$304,Saisies!$B$5:$B$304,$A35,Saisies!$J$5:$J$304,$B$3,Saisies!$K$5:$K$304,$D$3)))</f>
        <v/>
      </c>
      <c r="H35" s="14">
        <f>IF($A35="","",IF(COUNTIFS(Saisies!$B$5:$B$304,$A35,Saisies!$J$5:$J$304,$B$3,Saisies!$K$5:$K$304,$D$3,Saisies!$G$5:$G$304,"&gt;=0")=0,"",SUMIFS(Saisies!$G$5:$G$304,Saisies!$B$5:$B$304,$A35,Saisies!$J$5:$J$304,$B$3,Saisies!$K$5:$K$304,$D$3)))</f>
        <v/>
      </c>
      <c r="I35" s="13">
        <f>IF(OR(G35="",H35=""),"",H35-G35)</f>
        <v/>
      </c>
      <c r="J35" s="14">
        <f>IF(K35="","",SUMIFS(Saisies!$E$5:$E$304,Saisies!$B$5:$B$304,$A35,Saisies!$A$5:$A$304,K35))</f>
        <v/>
      </c>
      <c r="K35" s="15">
        <f>IF($A35="","",IF(COUNTIFS(Saisies!$B$5:$B$304,$A35,Saisies!$J$5:$J$304,$B$3,Saisies!$K$5:$K$304,$D$3,Saisies!$E$5:$E$304,"&gt;=0")=0,"",_xlfn.MAXIFS(Saisies!$A$5:$A$304,Saisies!$B$5:$B$304,$A35,Saisies!$J$5:$J$304,$B$3,Saisies!$K$5:$K$304,$D$3,Saisies!$E$5:$E$304,"&gt;=0")))</f>
        <v/>
      </c>
    </row>
    <row r="36">
      <c r="A36" s="11">
        <f>IF(Produits!$A$35="","",Produits!$A$35)</f>
        <v/>
      </c>
      <c r="B36" s="12">
        <f>IF(Produits!$A$35="","",Produits!$C$35)</f>
        <v/>
      </c>
      <c r="C36" s="13">
        <f>IF($A36="","",IF(COUNTIFS(Saisies!$B$5:$B$304,$A36,Saisies!$J$5:$J$304,$B$3,Saisies!$K$5:$K$304,$D$3,Saisies!$I$5:$I$304,"S1",Saisies!$F$5:$F$304,"&gt;=0")=0,"",SUMIFS(Saisies!$F$5:$F$304,Saisies!$B$5:$B$304,$A36,Saisies!$J$5:$J$304,$B$3,Saisies!$K$5:$K$304,$D$3,Saisies!$I$5:$I$304,"S1")))</f>
        <v/>
      </c>
      <c r="D36" s="13">
        <f>IF($A36="","",IF(COUNTIFS(Saisies!$B$5:$B$304,$A36,Saisies!$J$5:$J$304,$B$3,Saisies!$K$5:$K$304,$D$3,Saisies!$I$5:$I$304,"S2",Saisies!$F$5:$F$304,"&gt;=0")=0,"",SUMIFS(Saisies!$F$5:$F$304,Saisies!$B$5:$B$304,$A36,Saisies!$J$5:$J$304,$B$3,Saisies!$K$5:$K$304,$D$3,Saisies!$I$5:$I$304,"S2")))</f>
        <v/>
      </c>
      <c r="E36" s="13">
        <f>IF($A36="","",IF(COUNTIFS(Saisies!$B$5:$B$304,$A36,Saisies!$J$5:$J$304,$B$3,Saisies!$K$5:$K$304,$D$3,Saisies!$I$5:$I$304,"S3",Saisies!$F$5:$F$304,"&gt;=0")=0,"",SUMIFS(Saisies!$F$5:$F$304,Saisies!$B$5:$B$304,$A36,Saisies!$J$5:$J$304,$B$3,Saisies!$K$5:$K$304,$D$3,Saisies!$I$5:$I$304,"S3")))</f>
        <v/>
      </c>
      <c r="F36" s="13">
        <f>IF($A36="","",IF(COUNTIFS(Saisies!$B$5:$B$304,$A36,Saisies!$J$5:$J$304,$B$3,Saisies!$K$5:$K$304,$D$3,Saisies!$I$5:$I$304,"S4",Saisies!$F$5:$F$304,"&gt;=0")=0,"",SUMIFS(Saisies!$F$5:$F$304,Saisies!$B$5:$B$304,$A36,Saisies!$J$5:$J$304,$B$3,Saisies!$K$5:$K$304,$D$3,Saisies!$I$5:$I$304,"S4")))</f>
        <v/>
      </c>
      <c r="G36" s="14">
        <f>IF($A36="","",IF(COUNTIFS(Saisies!$B$5:$B$304,$A36,Saisies!$J$5:$J$304,$B$3,Saisies!$K$5:$K$304,$D$3,Saisies!$F$5:$F$304,"&gt;=0")=0,"",SUMIFS(Saisies!$F$5:$F$304,Saisies!$B$5:$B$304,$A36,Saisies!$J$5:$J$304,$B$3,Saisies!$K$5:$K$304,$D$3)))</f>
        <v/>
      </c>
      <c r="H36" s="14">
        <f>IF($A36="","",IF(COUNTIFS(Saisies!$B$5:$B$304,$A36,Saisies!$J$5:$J$304,$B$3,Saisies!$K$5:$K$304,$D$3,Saisies!$G$5:$G$304,"&gt;=0")=0,"",SUMIFS(Saisies!$G$5:$G$304,Saisies!$B$5:$B$304,$A36,Saisies!$J$5:$J$304,$B$3,Saisies!$K$5:$K$304,$D$3)))</f>
        <v/>
      </c>
      <c r="I36" s="13">
        <f>IF(OR(G36="",H36=""),"",H36-G36)</f>
        <v/>
      </c>
      <c r="J36" s="14">
        <f>IF(K36="","",SUMIFS(Saisies!$E$5:$E$304,Saisies!$B$5:$B$304,$A36,Saisies!$A$5:$A$304,K36))</f>
        <v/>
      </c>
      <c r="K36" s="15">
        <f>IF($A36="","",IF(COUNTIFS(Saisies!$B$5:$B$304,$A36,Saisies!$J$5:$J$304,$B$3,Saisies!$K$5:$K$304,$D$3,Saisies!$E$5:$E$304,"&gt;=0")=0,"",_xlfn.MAXIFS(Saisies!$A$5:$A$304,Saisies!$B$5:$B$304,$A36,Saisies!$J$5:$J$304,$B$3,Saisies!$K$5:$K$304,$D$3,Saisies!$E$5:$E$304,"&gt;=0")))</f>
        <v/>
      </c>
    </row>
    <row r="37">
      <c r="A37" s="11">
        <f>IF(Produits!$A$36="","",Produits!$A$36)</f>
        <v/>
      </c>
      <c r="B37" s="12">
        <f>IF(Produits!$A$36="","",Produits!$C$36)</f>
        <v/>
      </c>
      <c r="C37" s="13">
        <f>IF($A37="","",IF(COUNTIFS(Saisies!$B$5:$B$304,$A37,Saisies!$J$5:$J$304,$B$3,Saisies!$K$5:$K$304,$D$3,Saisies!$I$5:$I$304,"S1",Saisies!$F$5:$F$304,"&gt;=0")=0,"",SUMIFS(Saisies!$F$5:$F$304,Saisies!$B$5:$B$304,$A37,Saisies!$J$5:$J$304,$B$3,Saisies!$K$5:$K$304,$D$3,Saisies!$I$5:$I$304,"S1")))</f>
        <v/>
      </c>
      <c r="D37" s="13">
        <f>IF($A37="","",IF(COUNTIFS(Saisies!$B$5:$B$304,$A37,Saisies!$J$5:$J$304,$B$3,Saisies!$K$5:$K$304,$D$3,Saisies!$I$5:$I$304,"S2",Saisies!$F$5:$F$304,"&gt;=0")=0,"",SUMIFS(Saisies!$F$5:$F$304,Saisies!$B$5:$B$304,$A37,Saisies!$J$5:$J$304,$B$3,Saisies!$K$5:$K$304,$D$3,Saisies!$I$5:$I$304,"S2")))</f>
        <v/>
      </c>
      <c r="E37" s="13">
        <f>IF($A37="","",IF(COUNTIFS(Saisies!$B$5:$B$304,$A37,Saisies!$J$5:$J$304,$B$3,Saisies!$K$5:$K$304,$D$3,Saisies!$I$5:$I$304,"S3",Saisies!$F$5:$F$304,"&gt;=0")=0,"",SUMIFS(Saisies!$F$5:$F$304,Saisies!$B$5:$B$304,$A37,Saisies!$J$5:$J$304,$B$3,Saisies!$K$5:$K$304,$D$3,Saisies!$I$5:$I$304,"S3")))</f>
        <v/>
      </c>
      <c r="F37" s="13">
        <f>IF($A37="","",IF(COUNTIFS(Saisies!$B$5:$B$304,$A37,Saisies!$J$5:$J$304,$B$3,Saisies!$K$5:$K$304,$D$3,Saisies!$I$5:$I$304,"S4",Saisies!$F$5:$F$304,"&gt;=0")=0,"",SUMIFS(Saisies!$F$5:$F$304,Saisies!$B$5:$B$304,$A37,Saisies!$J$5:$J$304,$B$3,Saisies!$K$5:$K$304,$D$3,Saisies!$I$5:$I$304,"S4")))</f>
        <v/>
      </c>
      <c r="G37" s="14">
        <f>IF($A37="","",IF(COUNTIFS(Saisies!$B$5:$B$304,$A37,Saisies!$J$5:$J$304,$B$3,Saisies!$K$5:$K$304,$D$3,Saisies!$F$5:$F$304,"&gt;=0")=0,"",SUMIFS(Saisies!$F$5:$F$304,Saisies!$B$5:$B$304,$A37,Saisies!$J$5:$J$304,$B$3,Saisies!$K$5:$K$304,$D$3)))</f>
        <v/>
      </c>
      <c r="H37" s="14">
        <f>IF($A37="","",IF(COUNTIFS(Saisies!$B$5:$B$304,$A37,Saisies!$J$5:$J$304,$B$3,Saisies!$K$5:$K$304,$D$3,Saisies!$G$5:$G$304,"&gt;=0")=0,"",SUMIFS(Saisies!$G$5:$G$304,Saisies!$B$5:$B$304,$A37,Saisies!$J$5:$J$304,$B$3,Saisies!$K$5:$K$304,$D$3)))</f>
        <v/>
      </c>
      <c r="I37" s="13">
        <f>IF(OR(G37="",H37=""),"",H37-G37)</f>
        <v/>
      </c>
      <c r="J37" s="14">
        <f>IF(K37="","",SUMIFS(Saisies!$E$5:$E$304,Saisies!$B$5:$B$304,$A37,Saisies!$A$5:$A$304,K37))</f>
        <v/>
      </c>
      <c r="K37" s="15">
        <f>IF($A37="","",IF(COUNTIFS(Saisies!$B$5:$B$304,$A37,Saisies!$J$5:$J$304,$B$3,Saisies!$K$5:$K$304,$D$3,Saisies!$E$5:$E$304,"&gt;=0")=0,"",_xlfn.MAXIFS(Saisies!$A$5:$A$304,Saisies!$B$5:$B$304,$A37,Saisies!$J$5:$J$304,$B$3,Saisies!$K$5:$K$304,$D$3,Saisies!$E$5:$E$304,"&gt;=0")))</f>
        <v/>
      </c>
    </row>
    <row r="38">
      <c r="A38" s="11">
        <f>IF(Produits!$A$37="","",Produits!$A$37)</f>
        <v/>
      </c>
      <c r="B38" s="12">
        <f>IF(Produits!$A$37="","",Produits!$C$37)</f>
        <v/>
      </c>
      <c r="C38" s="13">
        <f>IF($A38="","",IF(COUNTIFS(Saisies!$B$5:$B$304,$A38,Saisies!$J$5:$J$304,$B$3,Saisies!$K$5:$K$304,$D$3,Saisies!$I$5:$I$304,"S1",Saisies!$F$5:$F$304,"&gt;=0")=0,"",SUMIFS(Saisies!$F$5:$F$304,Saisies!$B$5:$B$304,$A38,Saisies!$J$5:$J$304,$B$3,Saisies!$K$5:$K$304,$D$3,Saisies!$I$5:$I$304,"S1")))</f>
        <v/>
      </c>
      <c r="D38" s="13">
        <f>IF($A38="","",IF(COUNTIFS(Saisies!$B$5:$B$304,$A38,Saisies!$J$5:$J$304,$B$3,Saisies!$K$5:$K$304,$D$3,Saisies!$I$5:$I$304,"S2",Saisies!$F$5:$F$304,"&gt;=0")=0,"",SUMIFS(Saisies!$F$5:$F$304,Saisies!$B$5:$B$304,$A38,Saisies!$J$5:$J$304,$B$3,Saisies!$K$5:$K$304,$D$3,Saisies!$I$5:$I$304,"S2")))</f>
        <v/>
      </c>
      <c r="E38" s="13">
        <f>IF($A38="","",IF(COUNTIFS(Saisies!$B$5:$B$304,$A38,Saisies!$J$5:$J$304,$B$3,Saisies!$K$5:$K$304,$D$3,Saisies!$I$5:$I$304,"S3",Saisies!$F$5:$F$304,"&gt;=0")=0,"",SUMIFS(Saisies!$F$5:$F$304,Saisies!$B$5:$B$304,$A38,Saisies!$J$5:$J$304,$B$3,Saisies!$K$5:$K$304,$D$3,Saisies!$I$5:$I$304,"S3")))</f>
        <v/>
      </c>
      <c r="F38" s="13">
        <f>IF($A38="","",IF(COUNTIFS(Saisies!$B$5:$B$304,$A38,Saisies!$J$5:$J$304,$B$3,Saisies!$K$5:$K$304,$D$3,Saisies!$I$5:$I$304,"S4",Saisies!$F$5:$F$304,"&gt;=0")=0,"",SUMIFS(Saisies!$F$5:$F$304,Saisies!$B$5:$B$304,$A38,Saisies!$J$5:$J$304,$B$3,Saisies!$K$5:$K$304,$D$3,Saisies!$I$5:$I$304,"S4")))</f>
        <v/>
      </c>
      <c r="G38" s="14">
        <f>IF($A38="","",IF(COUNTIFS(Saisies!$B$5:$B$304,$A38,Saisies!$J$5:$J$304,$B$3,Saisies!$K$5:$K$304,$D$3,Saisies!$F$5:$F$304,"&gt;=0")=0,"",SUMIFS(Saisies!$F$5:$F$304,Saisies!$B$5:$B$304,$A38,Saisies!$J$5:$J$304,$B$3,Saisies!$K$5:$K$304,$D$3)))</f>
        <v/>
      </c>
      <c r="H38" s="14">
        <f>IF($A38="","",IF(COUNTIFS(Saisies!$B$5:$B$304,$A38,Saisies!$J$5:$J$304,$B$3,Saisies!$K$5:$K$304,$D$3,Saisies!$G$5:$G$304,"&gt;=0")=0,"",SUMIFS(Saisies!$G$5:$G$304,Saisies!$B$5:$B$304,$A38,Saisies!$J$5:$J$304,$B$3,Saisies!$K$5:$K$304,$D$3)))</f>
        <v/>
      </c>
      <c r="I38" s="13">
        <f>IF(OR(G38="",H38=""),"",H38-G38)</f>
        <v/>
      </c>
      <c r="J38" s="14">
        <f>IF(K38="","",SUMIFS(Saisies!$E$5:$E$304,Saisies!$B$5:$B$304,$A38,Saisies!$A$5:$A$304,K38))</f>
        <v/>
      </c>
      <c r="K38" s="15">
        <f>IF($A38="","",IF(COUNTIFS(Saisies!$B$5:$B$304,$A38,Saisies!$J$5:$J$304,$B$3,Saisies!$K$5:$K$304,$D$3,Saisies!$E$5:$E$304,"&gt;=0")=0,"",_xlfn.MAXIFS(Saisies!$A$5:$A$304,Saisies!$B$5:$B$304,$A38,Saisies!$J$5:$J$304,$B$3,Saisies!$K$5:$K$304,$D$3,Saisies!$E$5:$E$304,"&gt;=0")))</f>
        <v/>
      </c>
    </row>
    <row r="39">
      <c r="A39" s="11">
        <f>IF(Produits!$A$38="","",Produits!$A$38)</f>
        <v/>
      </c>
      <c r="B39" s="12">
        <f>IF(Produits!$A$38="","",Produits!$C$38)</f>
        <v/>
      </c>
      <c r="C39" s="13">
        <f>IF($A39="","",IF(COUNTIFS(Saisies!$B$5:$B$304,$A39,Saisies!$J$5:$J$304,$B$3,Saisies!$K$5:$K$304,$D$3,Saisies!$I$5:$I$304,"S1",Saisies!$F$5:$F$304,"&gt;=0")=0,"",SUMIFS(Saisies!$F$5:$F$304,Saisies!$B$5:$B$304,$A39,Saisies!$J$5:$J$304,$B$3,Saisies!$K$5:$K$304,$D$3,Saisies!$I$5:$I$304,"S1")))</f>
        <v/>
      </c>
      <c r="D39" s="13">
        <f>IF($A39="","",IF(COUNTIFS(Saisies!$B$5:$B$304,$A39,Saisies!$J$5:$J$304,$B$3,Saisies!$K$5:$K$304,$D$3,Saisies!$I$5:$I$304,"S2",Saisies!$F$5:$F$304,"&gt;=0")=0,"",SUMIFS(Saisies!$F$5:$F$304,Saisies!$B$5:$B$304,$A39,Saisies!$J$5:$J$304,$B$3,Saisies!$K$5:$K$304,$D$3,Saisies!$I$5:$I$304,"S2")))</f>
        <v/>
      </c>
      <c r="E39" s="13">
        <f>IF($A39="","",IF(COUNTIFS(Saisies!$B$5:$B$304,$A39,Saisies!$J$5:$J$304,$B$3,Saisies!$K$5:$K$304,$D$3,Saisies!$I$5:$I$304,"S3",Saisies!$F$5:$F$304,"&gt;=0")=0,"",SUMIFS(Saisies!$F$5:$F$304,Saisies!$B$5:$B$304,$A39,Saisies!$J$5:$J$304,$B$3,Saisies!$K$5:$K$304,$D$3,Saisies!$I$5:$I$304,"S3")))</f>
        <v/>
      </c>
      <c r="F39" s="13">
        <f>IF($A39="","",IF(COUNTIFS(Saisies!$B$5:$B$304,$A39,Saisies!$J$5:$J$304,$B$3,Saisies!$K$5:$K$304,$D$3,Saisies!$I$5:$I$304,"S4",Saisies!$F$5:$F$304,"&gt;=0")=0,"",SUMIFS(Saisies!$F$5:$F$304,Saisies!$B$5:$B$304,$A39,Saisies!$J$5:$J$304,$B$3,Saisies!$K$5:$K$304,$D$3,Saisies!$I$5:$I$304,"S4")))</f>
        <v/>
      </c>
      <c r="G39" s="14">
        <f>IF($A39="","",IF(COUNTIFS(Saisies!$B$5:$B$304,$A39,Saisies!$J$5:$J$304,$B$3,Saisies!$K$5:$K$304,$D$3,Saisies!$F$5:$F$304,"&gt;=0")=0,"",SUMIFS(Saisies!$F$5:$F$304,Saisies!$B$5:$B$304,$A39,Saisies!$J$5:$J$304,$B$3,Saisies!$K$5:$K$304,$D$3)))</f>
        <v/>
      </c>
      <c r="H39" s="14">
        <f>IF($A39="","",IF(COUNTIFS(Saisies!$B$5:$B$304,$A39,Saisies!$J$5:$J$304,$B$3,Saisies!$K$5:$K$304,$D$3,Saisies!$G$5:$G$304,"&gt;=0")=0,"",SUMIFS(Saisies!$G$5:$G$304,Saisies!$B$5:$B$304,$A39,Saisies!$J$5:$J$304,$B$3,Saisies!$K$5:$K$304,$D$3)))</f>
        <v/>
      </c>
      <c r="I39" s="13">
        <f>IF(OR(G39="",H39=""),"",H39-G39)</f>
        <v/>
      </c>
      <c r="J39" s="14">
        <f>IF(K39="","",SUMIFS(Saisies!$E$5:$E$304,Saisies!$B$5:$B$304,$A39,Saisies!$A$5:$A$304,K39))</f>
        <v/>
      </c>
      <c r="K39" s="15">
        <f>IF($A39="","",IF(COUNTIFS(Saisies!$B$5:$B$304,$A39,Saisies!$J$5:$J$304,$B$3,Saisies!$K$5:$K$304,$D$3,Saisies!$E$5:$E$304,"&gt;=0")=0,"",_xlfn.MAXIFS(Saisies!$A$5:$A$304,Saisies!$B$5:$B$304,$A39,Saisies!$J$5:$J$304,$B$3,Saisies!$K$5:$K$304,$D$3,Saisies!$E$5:$E$304,"&gt;=0")))</f>
        <v/>
      </c>
    </row>
    <row r="40">
      <c r="A40" s="11">
        <f>IF(Produits!$A$39="","",Produits!$A$39)</f>
        <v/>
      </c>
      <c r="B40" s="12">
        <f>IF(Produits!$A$39="","",Produits!$C$39)</f>
        <v/>
      </c>
      <c r="C40" s="13">
        <f>IF($A40="","",IF(COUNTIFS(Saisies!$B$5:$B$304,$A40,Saisies!$J$5:$J$304,$B$3,Saisies!$K$5:$K$304,$D$3,Saisies!$I$5:$I$304,"S1",Saisies!$F$5:$F$304,"&gt;=0")=0,"",SUMIFS(Saisies!$F$5:$F$304,Saisies!$B$5:$B$304,$A40,Saisies!$J$5:$J$304,$B$3,Saisies!$K$5:$K$304,$D$3,Saisies!$I$5:$I$304,"S1")))</f>
        <v/>
      </c>
      <c r="D40" s="13">
        <f>IF($A40="","",IF(COUNTIFS(Saisies!$B$5:$B$304,$A40,Saisies!$J$5:$J$304,$B$3,Saisies!$K$5:$K$304,$D$3,Saisies!$I$5:$I$304,"S2",Saisies!$F$5:$F$304,"&gt;=0")=0,"",SUMIFS(Saisies!$F$5:$F$304,Saisies!$B$5:$B$304,$A40,Saisies!$J$5:$J$304,$B$3,Saisies!$K$5:$K$304,$D$3,Saisies!$I$5:$I$304,"S2")))</f>
        <v/>
      </c>
      <c r="E40" s="13">
        <f>IF($A40="","",IF(COUNTIFS(Saisies!$B$5:$B$304,$A40,Saisies!$J$5:$J$304,$B$3,Saisies!$K$5:$K$304,$D$3,Saisies!$I$5:$I$304,"S3",Saisies!$F$5:$F$304,"&gt;=0")=0,"",SUMIFS(Saisies!$F$5:$F$304,Saisies!$B$5:$B$304,$A40,Saisies!$J$5:$J$304,$B$3,Saisies!$K$5:$K$304,$D$3,Saisies!$I$5:$I$304,"S3")))</f>
        <v/>
      </c>
      <c r="F40" s="13">
        <f>IF($A40="","",IF(COUNTIFS(Saisies!$B$5:$B$304,$A40,Saisies!$J$5:$J$304,$B$3,Saisies!$K$5:$K$304,$D$3,Saisies!$I$5:$I$304,"S4",Saisies!$F$5:$F$304,"&gt;=0")=0,"",SUMIFS(Saisies!$F$5:$F$304,Saisies!$B$5:$B$304,$A40,Saisies!$J$5:$J$304,$B$3,Saisies!$K$5:$K$304,$D$3,Saisies!$I$5:$I$304,"S4")))</f>
        <v/>
      </c>
      <c r="G40" s="14">
        <f>IF($A40="","",IF(COUNTIFS(Saisies!$B$5:$B$304,$A40,Saisies!$J$5:$J$304,$B$3,Saisies!$K$5:$K$304,$D$3,Saisies!$F$5:$F$304,"&gt;=0")=0,"",SUMIFS(Saisies!$F$5:$F$304,Saisies!$B$5:$B$304,$A40,Saisies!$J$5:$J$304,$B$3,Saisies!$K$5:$K$304,$D$3)))</f>
        <v/>
      </c>
      <c r="H40" s="14">
        <f>IF($A40="","",IF(COUNTIFS(Saisies!$B$5:$B$304,$A40,Saisies!$J$5:$J$304,$B$3,Saisies!$K$5:$K$304,$D$3,Saisies!$G$5:$G$304,"&gt;=0")=0,"",SUMIFS(Saisies!$G$5:$G$304,Saisies!$B$5:$B$304,$A40,Saisies!$J$5:$J$304,$B$3,Saisies!$K$5:$K$304,$D$3)))</f>
        <v/>
      </c>
      <c r="I40" s="13">
        <f>IF(OR(G40="",H40=""),"",H40-G40)</f>
        <v/>
      </c>
      <c r="J40" s="14">
        <f>IF(K40="","",SUMIFS(Saisies!$E$5:$E$304,Saisies!$B$5:$B$304,$A40,Saisies!$A$5:$A$304,K40))</f>
        <v/>
      </c>
      <c r="K40" s="15">
        <f>IF($A40="","",IF(COUNTIFS(Saisies!$B$5:$B$304,$A40,Saisies!$J$5:$J$304,$B$3,Saisies!$K$5:$K$304,$D$3,Saisies!$E$5:$E$304,"&gt;=0")=0,"",_xlfn.MAXIFS(Saisies!$A$5:$A$304,Saisies!$B$5:$B$304,$A40,Saisies!$J$5:$J$304,$B$3,Saisies!$K$5:$K$304,$D$3,Saisies!$E$5:$E$304,"&gt;=0")))</f>
        <v/>
      </c>
    </row>
    <row r="41">
      <c r="A41" s="11">
        <f>IF(Produits!$A$40="","",Produits!$A$40)</f>
        <v/>
      </c>
      <c r="B41" s="12">
        <f>IF(Produits!$A$40="","",Produits!$C$40)</f>
        <v/>
      </c>
      <c r="C41" s="13">
        <f>IF($A41="","",IF(COUNTIFS(Saisies!$B$5:$B$304,$A41,Saisies!$J$5:$J$304,$B$3,Saisies!$K$5:$K$304,$D$3,Saisies!$I$5:$I$304,"S1",Saisies!$F$5:$F$304,"&gt;=0")=0,"",SUMIFS(Saisies!$F$5:$F$304,Saisies!$B$5:$B$304,$A41,Saisies!$J$5:$J$304,$B$3,Saisies!$K$5:$K$304,$D$3,Saisies!$I$5:$I$304,"S1")))</f>
        <v/>
      </c>
      <c r="D41" s="13">
        <f>IF($A41="","",IF(COUNTIFS(Saisies!$B$5:$B$304,$A41,Saisies!$J$5:$J$304,$B$3,Saisies!$K$5:$K$304,$D$3,Saisies!$I$5:$I$304,"S2",Saisies!$F$5:$F$304,"&gt;=0")=0,"",SUMIFS(Saisies!$F$5:$F$304,Saisies!$B$5:$B$304,$A41,Saisies!$J$5:$J$304,$B$3,Saisies!$K$5:$K$304,$D$3,Saisies!$I$5:$I$304,"S2")))</f>
        <v/>
      </c>
      <c r="E41" s="13">
        <f>IF($A41="","",IF(COUNTIFS(Saisies!$B$5:$B$304,$A41,Saisies!$J$5:$J$304,$B$3,Saisies!$K$5:$K$304,$D$3,Saisies!$I$5:$I$304,"S3",Saisies!$F$5:$F$304,"&gt;=0")=0,"",SUMIFS(Saisies!$F$5:$F$304,Saisies!$B$5:$B$304,$A41,Saisies!$J$5:$J$304,$B$3,Saisies!$K$5:$K$304,$D$3,Saisies!$I$5:$I$304,"S3")))</f>
        <v/>
      </c>
      <c r="F41" s="13">
        <f>IF($A41="","",IF(COUNTIFS(Saisies!$B$5:$B$304,$A41,Saisies!$J$5:$J$304,$B$3,Saisies!$K$5:$K$304,$D$3,Saisies!$I$5:$I$304,"S4",Saisies!$F$5:$F$304,"&gt;=0")=0,"",SUMIFS(Saisies!$F$5:$F$304,Saisies!$B$5:$B$304,$A41,Saisies!$J$5:$J$304,$B$3,Saisies!$K$5:$K$304,$D$3,Saisies!$I$5:$I$304,"S4")))</f>
        <v/>
      </c>
      <c r="G41" s="14">
        <f>IF($A41="","",IF(COUNTIFS(Saisies!$B$5:$B$304,$A41,Saisies!$J$5:$J$304,$B$3,Saisies!$K$5:$K$304,$D$3,Saisies!$F$5:$F$304,"&gt;=0")=0,"",SUMIFS(Saisies!$F$5:$F$304,Saisies!$B$5:$B$304,$A41,Saisies!$J$5:$J$304,$B$3,Saisies!$K$5:$K$304,$D$3)))</f>
        <v/>
      </c>
      <c r="H41" s="14">
        <f>IF($A41="","",IF(COUNTIFS(Saisies!$B$5:$B$304,$A41,Saisies!$J$5:$J$304,$B$3,Saisies!$K$5:$K$304,$D$3,Saisies!$G$5:$G$304,"&gt;=0")=0,"",SUMIFS(Saisies!$G$5:$G$304,Saisies!$B$5:$B$304,$A41,Saisies!$J$5:$J$304,$B$3,Saisies!$K$5:$K$304,$D$3)))</f>
        <v/>
      </c>
      <c r="I41" s="13">
        <f>IF(OR(G41="",H41=""),"",H41-G41)</f>
        <v/>
      </c>
      <c r="J41" s="14">
        <f>IF(K41="","",SUMIFS(Saisies!$E$5:$E$304,Saisies!$B$5:$B$304,$A41,Saisies!$A$5:$A$304,K41))</f>
        <v/>
      </c>
      <c r="K41" s="15">
        <f>IF($A41="","",IF(COUNTIFS(Saisies!$B$5:$B$304,$A41,Saisies!$J$5:$J$304,$B$3,Saisies!$K$5:$K$304,$D$3,Saisies!$E$5:$E$304,"&gt;=0")=0,"",_xlfn.MAXIFS(Saisies!$A$5:$A$304,Saisies!$B$5:$B$304,$A41,Saisies!$J$5:$J$304,$B$3,Saisies!$K$5:$K$304,$D$3,Saisies!$E$5:$E$304,"&gt;=0")))</f>
        <v/>
      </c>
    </row>
    <row r="42">
      <c r="A42" s="11">
        <f>IF(Produits!$A$41="","",Produits!$A$41)</f>
        <v/>
      </c>
      <c r="B42" s="12">
        <f>IF(Produits!$A$41="","",Produits!$C$41)</f>
        <v/>
      </c>
      <c r="C42" s="13">
        <f>IF($A42="","",IF(COUNTIFS(Saisies!$B$5:$B$304,$A42,Saisies!$J$5:$J$304,$B$3,Saisies!$K$5:$K$304,$D$3,Saisies!$I$5:$I$304,"S1",Saisies!$F$5:$F$304,"&gt;=0")=0,"",SUMIFS(Saisies!$F$5:$F$304,Saisies!$B$5:$B$304,$A42,Saisies!$J$5:$J$304,$B$3,Saisies!$K$5:$K$304,$D$3,Saisies!$I$5:$I$304,"S1")))</f>
        <v/>
      </c>
      <c r="D42" s="13">
        <f>IF($A42="","",IF(COUNTIFS(Saisies!$B$5:$B$304,$A42,Saisies!$J$5:$J$304,$B$3,Saisies!$K$5:$K$304,$D$3,Saisies!$I$5:$I$304,"S2",Saisies!$F$5:$F$304,"&gt;=0")=0,"",SUMIFS(Saisies!$F$5:$F$304,Saisies!$B$5:$B$304,$A42,Saisies!$J$5:$J$304,$B$3,Saisies!$K$5:$K$304,$D$3,Saisies!$I$5:$I$304,"S2")))</f>
        <v/>
      </c>
      <c r="E42" s="13">
        <f>IF($A42="","",IF(COUNTIFS(Saisies!$B$5:$B$304,$A42,Saisies!$J$5:$J$304,$B$3,Saisies!$K$5:$K$304,$D$3,Saisies!$I$5:$I$304,"S3",Saisies!$F$5:$F$304,"&gt;=0")=0,"",SUMIFS(Saisies!$F$5:$F$304,Saisies!$B$5:$B$304,$A42,Saisies!$J$5:$J$304,$B$3,Saisies!$K$5:$K$304,$D$3,Saisies!$I$5:$I$304,"S3")))</f>
        <v/>
      </c>
      <c r="F42" s="13">
        <f>IF($A42="","",IF(COUNTIFS(Saisies!$B$5:$B$304,$A42,Saisies!$J$5:$J$304,$B$3,Saisies!$K$5:$K$304,$D$3,Saisies!$I$5:$I$304,"S4",Saisies!$F$5:$F$304,"&gt;=0")=0,"",SUMIFS(Saisies!$F$5:$F$304,Saisies!$B$5:$B$304,$A42,Saisies!$J$5:$J$304,$B$3,Saisies!$K$5:$K$304,$D$3,Saisies!$I$5:$I$304,"S4")))</f>
        <v/>
      </c>
      <c r="G42" s="14">
        <f>IF($A42="","",IF(COUNTIFS(Saisies!$B$5:$B$304,$A42,Saisies!$J$5:$J$304,$B$3,Saisies!$K$5:$K$304,$D$3,Saisies!$F$5:$F$304,"&gt;=0")=0,"",SUMIFS(Saisies!$F$5:$F$304,Saisies!$B$5:$B$304,$A42,Saisies!$J$5:$J$304,$B$3,Saisies!$K$5:$K$304,$D$3)))</f>
        <v/>
      </c>
      <c r="H42" s="14">
        <f>IF($A42="","",IF(COUNTIFS(Saisies!$B$5:$B$304,$A42,Saisies!$J$5:$J$304,$B$3,Saisies!$K$5:$K$304,$D$3,Saisies!$G$5:$G$304,"&gt;=0")=0,"",SUMIFS(Saisies!$G$5:$G$304,Saisies!$B$5:$B$304,$A42,Saisies!$J$5:$J$304,$B$3,Saisies!$K$5:$K$304,$D$3)))</f>
        <v/>
      </c>
      <c r="I42" s="13">
        <f>IF(OR(G42="",H42=""),"",H42-G42)</f>
        <v/>
      </c>
      <c r="J42" s="14">
        <f>IF(K42="","",SUMIFS(Saisies!$E$5:$E$304,Saisies!$B$5:$B$304,$A42,Saisies!$A$5:$A$304,K42))</f>
        <v/>
      </c>
      <c r="K42" s="15">
        <f>IF($A42="","",IF(COUNTIFS(Saisies!$B$5:$B$304,$A42,Saisies!$J$5:$J$304,$B$3,Saisies!$K$5:$K$304,$D$3,Saisies!$E$5:$E$304,"&gt;=0")=0,"",_xlfn.MAXIFS(Saisies!$A$5:$A$304,Saisies!$B$5:$B$304,$A42,Saisies!$J$5:$J$304,$B$3,Saisies!$K$5:$K$304,$D$3,Saisies!$E$5:$E$304,"&gt;=0")))</f>
        <v/>
      </c>
    </row>
    <row r="43">
      <c r="A43" s="11">
        <f>IF(Produits!$A$42="","",Produits!$A$42)</f>
        <v/>
      </c>
      <c r="B43" s="12">
        <f>IF(Produits!$A$42="","",Produits!$C$42)</f>
        <v/>
      </c>
      <c r="C43" s="13">
        <f>IF($A43="","",IF(COUNTIFS(Saisies!$B$5:$B$304,$A43,Saisies!$J$5:$J$304,$B$3,Saisies!$K$5:$K$304,$D$3,Saisies!$I$5:$I$304,"S1",Saisies!$F$5:$F$304,"&gt;=0")=0,"",SUMIFS(Saisies!$F$5:$F$304,Saisies!$B$5:$B$304,$A43,Saisies!$J$5:$J$304,$B$3,Saisies!$K$5:$K$304,$D$3,Saisies!$I$5:$I$304,"S1")))</f>
        <v/>
      </c>
      <c r="D43" s="13">
        <f>IF($A43="","",IF(COUNTIFS(Saisies!$B$5:$B$304,$A43,Saisies!$J$5:$J$304,$B$3,Saisies!$K$5:$K$304,$D$3,Saisies!$I$5:$I$304,"S2",Saisies!$F$5:$F$304,"&gt;=0")=0,"",SUMIFS(Saisies!$F$5:$F$304,Saisies!$B$5:$B$304,$A43,Saisies!$J$5:$J$304,$B$3,Saisies!$K$5:$K$304,$D$3,Saisies!$I$5:$I$304,"S2")))</f>
        <v/>
      </c>
      <c r="E43" s="13">
        <f>IF($A43="","",IF(COUNTIFS(Saisies!$B$5:$B$304,$A43,Saisies!$J$5:$J$304,$B$3,Saisies!$K$5:$K$304,$D$3,Saisies!$I$5:$I$304,"S3",Saisies!$F$5:$F$304,"&gt;=0")=0,"",SUMIFS(Saisies!$F$5:$F$304,Saisies!$B$5:$B$304,$A43,Saisies!$J$5:$J$304,$B$3,Saisies!$K$5:$K$304,$D$3,Saisies!$I$5:$I$304,"S3")))</f>
        <v/>
      </c>
      <c r="F43" s="13">
        <f>IF($A43="","",IF(COUNTIFS(Saisies!$B$5:$B$304,$A43,Saisies!$J$5:$J$304,$B$3,Saisies!$K$5:$K$304,$D$3,Saisies!$I$5:$I$304,"S4",Saisies!$F$5:$F$304,"&gt;=0")=0,"",SUMIFS(Saisies!$F$5:$F$304,Saisies!$B$5:$B$304,$A43,Saisies!$J$5:$J$304,$B$3,Saisies!$K$5:$K$304,$D$3,Saisies!$I$5:$I$304,"S4")))</f>
        <v/>
      </c>
      <c r="G43" s="14">
        <f>IF($A43="","",IF(COUNTIFS(Saisies!$B$5:$B$304,$A43,Saisies!$J$5:$J$304,$B$3,Saisies!$K$5:$K$304,$D$3,Saisies!$F$5:$F$304,"&gt;=0")=0,"",SUMIFS(Saisies!$F$5:$F$304,Saisies!$B$5:$B$304,$A43,Saisies!$J$5:$J$304,$B$3,Saisies!$K$5:$K$304,$D$3)))</f>
        <v/>
      </c>
      <c r="H43" s="14">
        <f>IF($A43="","",IF(COUNTIFS(Saisies!$B$5:$B$304,$A43,Saisies!$J$5:$J$304,$B$3,Saisies!$K$5:$K$304,$D$3,Saisies!$G$5:$G$304,"&gt;=0")=0,"",SUMIFS(Saisies!$G$5:$G$304,Saisies!$B$5:$B$304,$A43,Saisies!$J$5:$J$304,$B$3,Saisies!$K$5:$K$304,$D$3)))</f>
        <v/>
      </c>
      <c r="I43" s="13">
        <f>IF(OR(G43="",H43=""),"",H43-G43)</f>
        <v/>
      </c>
      <c r="J43" s="14">
        <f>IF(K43="","",SUMIFS(Saisies!$E$5:$E$304,Saisies!$B$5:$B$304,$A43,Saisies!$A$5:$A$304,K43))</f>
        <v/>
      </c>
      <c r="K43" s="15">
        <f>IF($A43="","",IF(COUNTIFS(Saisies!$B$5:$B$304,$A43,Saisies!$J$5:$J$304,$B$3,Saisies!$K$5:$K$304,$D$3,Saisies!$E$5:$E$304,"&gt;=0")=0,"",_xlfn.MAXIFS(Saisies!$A$5:$A$304,Saisies!$B$5:$B$304,$A43,Saisies!$J$5:$J$304,$B$3,Saisies!$K$5:$K$304,$D$3,Saisies!$E$5:$E$304,"&gt;=0")))</f>
        <v/>
      </c>
    </row>
    <row r="44">
      <c r="A44" s="11">
        <f>IF(Produits!$A$43="","",Produits!$A$43)</f>
        <v/>
      </c>
      <c r="B44" s="12">
        <f>IF(Produits!$A$43="","",Produits!$C$43)</f>
        <v/>
      </c>
      <c r="C44" s="13">
        <f>IF($A44="","",IF(COUNTIFS(Saisies!$B$5:$B$304,$A44,Saisies!$J$5:$J$304,$B$3,Saisies!$K$5:$K$304,$D$3,Saisies!$I$5:$I$304,"S1",Saisies!$F$5:$F$304,"&gt;=0")=0,"",SUMIFS(Saisies!$F$5:$F$304,Saisies!$B$5:$B$304,$A44,Saisies!$J$5:$J$304,$B$3,Saisies!$K$5:$K$304,$D$3,Saisies!$I$5:$I$304,"S1")))</f>
        <v/>
      </c>
      <c r="D44" s="13">
        <f>IF($A44="","",IF(COUNTIFS(Saisies!$B$5:$B$304,$A44,Saisies!$J$5:$J$304,$B$3,Saisies!$K$5:$K$304,$D$3,Saisies!$I$5:$I$304,"S2",Saisies!$F$5:$F$304,"&gt;=0")=0,"",SUMIFS(Saisies!$F$5:$F$304,Saisies!$B$5:$B$304,$A44,Saisies!$J$5:$J$304,$B$3,Saisies!$K$5:$K$304,$D$3,Saisies!$I$5:$I$304,"S2")))</f>
        <v/>
      </c>
      <c r="E44" s="13">
        <f>IF($A44="","",IF(COUNTIFS(Saisies!$B$5:$B$304,$A44,Saisies!$J$5:$J$304,$B$3,Saisies!$K$5:$K$304,$D$3,Saisies!$I$5:$I$304,"S3",Saisies!$F$5:$F$304,"&gt;=0")=0,"",SUMIFS(Saisies!$F$5:$F$304,Saisies!$B$5:$B$304,$A44,Saisies!$J$5:$J$304,$B$3,Saisies!$K$5:$K$304,$D$3,Saisies!$I$5:$I$304,"S3")))</f>
        <v/>
      </c>
      <c r="F44" s="13">
        <f>IF($A44="","",IF(COUNTIFS(Saisies!$B$5:$B$304,$A44,Saisies!$J$5:$J$304,$B$3,Saisies!$K$5:$K$304,$D$3,Saisies!$I$5:$I$304,"S4",Saisies!$F$5:$F$304,"&gt;=0")=0,"",SUMIFS(Saisies!$F$5:$F$304,Saisies!$B$5:$B$304,$A44,Saisies!$J$5:$J$304,$B$3,Saisies!$K$5:$K$304,$D$3,Saisies!$I$5:$I$304,"S4")))</f>
        <v/>
      </c>
      <c r="G44" s="14">
        <f>IF($A44="","",IF(COUNTIFS(Saisies!$B$5:$B$304,$A44,Saisies!$J$5:$J$304,$B$3,Saisies!$K$5:$K$304,$D$3,Saisies!$F$5:$F$304,"&gt;=0")=0,"",SUMIFS(Saisies!$F$5:$F$304,Saisies!$B$5:$B$304,$A44,Saisies!$J$5:$J$304,$B$3,Saisies!$K$5:$K$304,$D$3)))</f>
        <v/>
      </c>
      <c r="H44" s="14">
        <f>IF($A44="","",IF(COUNTIFS(Saisies!$B$5:$B$304,$A44,Saisies!$J$5:$J$304,$B$3,Saisies!$K$5:$K$304,$D$3,Saisies!$G$5:$G$304,"&gt;=0")=0,"",SUMIFS(Saisies!$G$5:$G$304,Saisies!$B$5:$B$304,$A44,Saisies!$J$5:$J$304,$B$3,Saisies!$K$5:$K$304,$D$3)))</f>
        <v/>
      </c>
      <c r="I44" s="13">
        <f>IF(OR(G44="",H44=""),"",H44-G44)</f>
        <v/>
      </c>
      <c r="J44" s="14">
        <f>IF(K44="","",SUMIFS(Saisies!$E$5:$E$304,Saisies!$B$5:$B$304,$A44,Saisies!$A$5:$A$304,K44))</f>
        <v/>
      </c>
      <c r="K44" s="15">
        <f>IF($A44="","",IF(COUNTIFS(Saisies!$B$5:$B$304,$A44,Saisies!$J$5:$J$304,$B$3,Saisies!$K$5:$K$304,$D$3,Saisies!$E$5:$E$304,"&gt;=0")=0,"",_xlfn.MAXIFS(Saisies!$A$5:$A$304,Saisies!$B$5:$B$304,$A44,Saisies!$J$5:$J$304,$B$3,Saisies!$K$5:$K$304,$D$3,Saisies!$E$5:$E$304,"&gt;=0")))</f>
        <v/>
      </c>
    </row>
    <row r="45">
      <c r="A45" s="11">
        <f>IF(Produits!$A$44="","",Produits!$A$44)</f>
        <v/>
      </c>
      <c r="B45" s="12">
        <f>IF(Produits!$A$44="","",Produits!$C$44)</f>
        <v/>
      </c>
      <c r="C45" s="13">
        <f>IF($A45="","",IF(COUNTIFS(Saisies!$B$5:$B$304,$A45,Saisies!$J$5:$J$304,$B$3,Saisies!$K$5:$K$304,$D$3,Saisies!$I$5:$I$304,"S1",Saisies!$F$5:$F$304,"&gt;=0")=0,"",SUMIFS(Saisies!$F$5:$F$304,Saisies!$B$5:$B$304,$A45,Saisies!$J$5:$J$304,$B$3,Saisies!$K$5:$K$304,$D$3,Saisies!$I$5:$I$304,"S1")))</f>
        <v/>
      </c>
      <c r="D45" s="13">
        <f>IF($A45="","",IF(COUNTIFS(Saisies!$B$5:$B$304,$A45,Saisies!$J$5:$J$304,$B$3,Saisies!$K$5:$K$304,$D$3,Saisies!$I$5:$I$304,"S2",Saisies!$F$5:$F$304,"&gt;=0")=0,"",SUMIFS(Saisies!$F$5:$F$304,Saisies!$B$5:$B$304,$A45,Saisies!$J$5:$J$304,$B$3,Saisies!$K$5:$K$304,$D$3,Saisies!$I$5:$I$304,"S2")))</f>
        <v/>
      </c>
      <c r="E45" s="13">
        <f>IF($A45="","",IF(COUNTIFS(Saisies!$B$5:$B$304,$A45,Saisies!$J$5:$J$304,$B$3,Saisies!$K$5:$K$304,$D$3,Saisies!$I$5:$I$304,"S3",Saisies!$F$5:$F$304,"&gt;=0")=0,"",SUMIFS(Saisies!$F$5:$F$304,Saisies!$B$5:$B$304,$A45,Saisies!$J$5:$J$304,$B$3,Saisies!$K$5:$K$304,$D$3,Saisies!$I$5:$I$304,"S3")))</f>
        <v/>
      </c>
      <c r="F45" s="13">
        <f>IF($A45="","",IF(COUNTIFS(Saisies!$B$5:$B$304,$A45,Saisies!$J$5:$J$304,$B$3,Saisies!$K$5:$K$304,$D$3,Saisies!$I$5:$I$304,"S4",Saisies!$F$5:$F$304,"&gt;=0")=0,"",SUMIFS(Saisies!$F$5:$F$304,Saisies!$B$5:$B$304,$A45,Saisies!$J$5:$J$304,$B$3,Saisies!$K$5:$K$304,$D$3,Saisies!$I$5:$I$304,"S4")))</f>
        <v/>
      </c>
      <c r="G45" s="14">
        <f>IF($A45="","",IF(COUNTIFS(Saisies!$B$5:$B$304,$A45,Saisies!$J$5:$J$304,$B$3,Saisies!$K$5:$K$304,$D$3,Saisies!$F$5:$F$304,"&gt;=0")=0,"",SUMIFS(Saisies!$F$5:$F$304,Saisies!$B$5:$B$304,$A45,Saisies!$J$5:$J$304,$B$3,Saisies!$K$5:$K$304,$D$3)))</f>
        <v/>
      </c>
      <c r="H45" s="14">
        <f>IF($A45="","",IF(COUNTIFS(Saisies!$B$5:$B$304,$A45,Saisies!$J$5:$J$304,$B$3,Saisies!$K$5:$K$304,$D$3,Saisies!$G$5:$G$304,"&gt;=0")=0,"",SUMIFS(Saisies!$G$5:$G$304,Saisies!$B$5:$B$304,$A45,Saisies!$J$5:$J$304,$B$3,Saisies!$K$5:$K$304,$D$3)))</f>
        <v/>
      </c>
      <c r="I45" s="13">
        <f>IF(OR(G45="",H45=""),"",H45-G45)</f>
        <v/>
      </c>
      <c r="J45" s="14">
        <f>IF(K45="","",SUMIFS(Saisies!$E$5:$E$304,Saisies!$B$5:$B$304,$A45,Saisies!$A$5:$A$304,K45))</f>
        <v/>
      </c>
      <c r="K45" s="15">
        <f>IF($A45="","",IF(COUNTIFS(Saisies!$B$5:$B$304,$A45,Saisies!$J$5:$J$304,$B$3,Saisies!$K$5:$K$304,$D$3,Saisies!$E$5:$E$304,"&gt;=0")=0,"",_xlfn.MAXIFS(Saisies!$A$5:$A$304,Saisies!$B$5:$B$304,$A45,Saisies!$J$5:$J$304,$B$3,Saisies!$K$5:$K$304,$D$3,Saisies!$E$5:$E$304,"&gt;=0")))</f>
        <v/>
      </c>
    </row>
  </sheetData>
  <conditionalFormatting sqref="I6:I45">
    <cfRule type="expression" priority="1" dxfId="0">
      <formula>AND(ISNUMBER(I6),I6&lt;0)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8" customWidth="1" min="4" max="4"/>
    <col width="10" customWidth="1" min="5" max="5"/>
    <col width="11" customWidth="1" min="6" max="6"/>
    <col width="10" customWidth="1" min="7" max="7"/>
    <col width="9" customWidth="1" min="8" max="8"/>
    <col width="9" customWidth="1" min="9" max="9"/>
    <col width="7" customWidth="1" min="10" max="10"/>
    <col width="7" customWidth="1" min="11" max="11"/>
  </cols>
  <sheetData>
    <row r="1" ht="26" customHeight="1">
      <c r="A1" s="1" t="inlineStr">
        <is>
          <t>Saisies</t>
        </is>
      </c>
    </row>
    <row r="2">
      <c r="A2" s="2" t="inlineStr">
        <is>
          <t>Une ligne par produit et par comptage. La semaine et le mois se calculent tout seuls.</t>
        </is>
      </c>
    </row>
    <row r="3">
      <c r="I3" s="16" t="inlineStr">
        <is>
          <t>Semaine du mois : jours 1-7 = S1, 8-14 = S2, 15-21 = S3, 22 et + = S4</t>
        </is>
      </c>
    </row>
    <row r="4">
      <c r="A4" s="6" t="inlineStr">
        <is>
          <t>Date</t>
        </is>
      </c>
      <c r="B4" s="6" t="inlineStr">
        <is>
          <t>Produit</t>
        </is>
      </c>
      <c r="C4" s="6" t="inlineStr">
        <is>
          <t>Fournisseur</t>
        </is>
      </c>
      <c r="D4" s="6" t="inlineStr">
        <is>
          <t>Unité</t>
        </is>
      </c>
      <c r="E4" s="6" t="inlineStr">
        <is>
          <t>Stock</t>
        </is>
      </c>
      <c r="F4" s="6" t="inlineStr">
        <is>
          <t>Commandé</t>
        </is>
      </c>
      <c r="G4" s="6" t="inlineStr">
        <is>
          <t>Reçu</t>
        </is>
      </c>
      <c r="H4" s="6" t="inlineStr">
        <is>
          <t>Écart</t>
        </is>
      </c>
      <c r="I4" s="6" t="inlineStr">
        <is>
          <t>Semaine</t>
        </is>
      </c>
      <c r="J4" s="6" t="inlineStr">
        <is>
          <t>Mois</t>
        </is>
      </c>
      <c r="K4" s="6" t="inlineStr">
        <is>
          <t>Année</t>
        </is>
      </c>
    </row>
    <row r="5">
      <c r="A5" s="17">
        <f>DATE(2026,10,2)</f>
        <v/>
      </c>
      <c r="B5" s="7" t="inlineStr">
        <is>
          <t>Farine T55</t>
        </is>
      </c>
      <c r="C5" s="13">
        <f>IF(B5="","",IFERROR(INDEX(Produits!$B$5:$B$44,MATCH(B5,Produits!$A$5:$A$44,0)),""))</f>
        <v/>
      </c>
      <c r="D5" s="13">
        <f>IF(B5="","",IFERROR(INDEX(Produits!$C$5:$C$44,MATCH(B5,Produits!$A$5:$A$44,0)),""))</f>
        <v/>
      </c>
      <c r="E5" s="8" t="n">
        <v>8</v>
      </c>
      <c r="F5" s="8" t="n">
        <v>10</v>
      </c>
      <c r="G5" s="8" t="n">
        <v>7</v>
      </c>
      <c r="H5" s="13">
        <f>IF(OR(F5="",G5=""),"",G5-F5)</f>
        <v/>
      </c>
      <c r="I5" s="13">
        <f>IF(A5="","","S"&amp;MIN(4,INT((DAY(A5)-1)/7)+1))</f>
        <v/>
      </c>
      <c r="J5" s="13">
        <f>IF(A5="","",MONTH(A5))</f>
        <v/>
      </c>
      <c r="K5" s="13">
        <f>IF(A5="","",YEAR(A5))</f>
        <v/>
      </c>
    </row>
    <row r="6">
      <c r="A6" s="17">
        <f>DATE(2026,10,2)</f>
        <v/>
      </c>
      <c r="B6" s="7" t="inlineStr">
        <is>
          <t>Farine T45</t>
        </is>
      </c>
      <c r="C6" s="13">
        <f>IF(B6="","",IFERROR(INDEX(Produits!$B$5:$B$44,MATCH(B6,Produits!$A$5:$A$44,0)),""))</f>
        <v/>
      </c>
      <c r="D6" s="13">
        <f>IF(B6="","",IFERROR(INDEX(Produits!$C$5:$C$44,MATCH(B6,Produits!$A$5:$A$44,0)),""))</f>
        <v/>
      </c>
      <c r="E6" s="8" t="n">
        <v>2</v>
      </c>
      <c r="F6" s="8" t="n">
        <v>5</v>
      </c>
      <c r="G6" s="8" t="n">
        <v>5</v>
      </c>
      <c r="H6" s="13">
        <f>IF(OR(F6="",G6=""),"",G6-F6)</f>
        <v/>
      </c>
      <c r="I6" s="13">
        <f>IF(A6="","","S"&amp;MIN(4,INT((DAY(A6)-1)/7)+1))</f>
        <v/>
      </c>
      <c r="J6" s="13">
        <f>IF(A6="","",MONTH(A6))</f>
        <v/>
      </c>
      <c r="K6" s="13">
        <f>IF(A6="","",YEAR(A6))</f>
        <v/>
      </c>
    </row>
    <row r="7">
      <c r="A7" s="17">
        <f>DATE(2026,10,2)</f>
        <v/>
      </c>
      <c r="B7" s="7" t="inlineStr">
        <is>
          <t>Sucre semoule</t>
        </is>
      </c>
      <c r="C7" s="13">
        <f>IF(B7="","",IFERROR(INDEX(Produits!$B$5:$B$44,MATCH(B7,Produits!$A$5:$A$44,0)),""))</f>
        <v/>
      </c>
      <c r="D7" s="13">
        <f>IF(B7="","",IFERROR(INDEX(Produits!$C$5:$C$44,MATCH(B7,Produits!$A$5:$A$44,0)),""))</f>
        <v/>
      </c>
      <c r="E7" s="8" t="n">
        <v>6</v>
      </c>
      <c r="F7" s="8" t="n">
        <v>10</v>
      </c>
      <c r="G7" s="8" t="n">
        <v>10</v>
      </c>
      <c r="H7" s="13">
        <f>IF(OR(F7="",G7=""),"",G7-F7)</f>
        <v/>
      </c>
      <c r="I7" s="13">
        <f>IF(A7="","","S"&amp;MIN(4,INT((DAY(A7)-1)/7)+1))</f>
        <v/>
      </c>
      <c r="J7" s="13">
        <f>IF(A7="","",MONTH(A7))</f>
        <v/>
      </c>
      <c r="K7" s="13">
        <f>IF(A7="","",YEAR(A7))</f>
        <v/>
      </c>
    </row>
    <row r="8">
      <c r="A8" s="17">
        <f>DATE(2026,10,2)</f>
        <v/>
      </c>
      <c r="B8" s="7" t="inlineStr">
        <is>
          <t>Sucre glace</t>
        </is>
      </c>
      <c r="C8" s="13">
        <f>IF(B8="","",IFERROR(INDEX(Produits!$B$5:$B$44,MATCH(B8,Produits!$A$5:$A$44,0)),""))</f>
        <v/>
      </c>
      <c r="D8" s="13">
        <f>IF(B8="","",IFERROR(INDEX(Produits!$C$5:$C$44,MATCH(B8,Produits!$A$5:$A$44,0)),""))</f>
        <v/>
      </c>
      <c r="E8" s="8" t="n">
        <v>1</v>
      </c>
      <c r="F8" s="8" t="n">
        <v>3</v>
      </c>
      <c r="G8" s="8" t="n">
        <v>3</v>
      </c>
      <c r="H8" s="13">
        <f>IF(OR(F8="",G8=""),"",G8-F8)</f>
        <v/>
      </c>
      <c r="I8" s="13">
        <f>IF(A8="","","S"&amp;MIN(4,INT((DAY(A8)-1)/7)+1))</f>
        <v/>
      </c>
      <c r="J8" s="13">
        <f>IF(A8="","",MONTH(A8))</f>
        <v/>
      </c>
      <c r="K8" s="13">
        <f>IF(A8="","",YEAR(A8))</f>
        <v/>
      </c>
    </row>
    <row r="9">
      <c r="A9" s="17">
        <f>DATE(2026,10,2)</f>
        <v/>
      </c>
      <c r="B9" s="7" t="inlineStr">
        <is>
          <t>Beurre doux</t>
        </is>
      </c>
      <c r="C9" s="13">
        <f>IF(B9="","",IFERROR(INDEX(Produits!$B$5:$B$44,MATCH(B9,Produits!$A$5:$A$44,0)),""))</f>
        <v/>
      </c>
      <c r="D9" s="13">
        <f>IF(B9="","",IFERROR(INDEX(Produits!$C$5:$C$44,MATCH(B9,Produits!$A$5:$A$44,0)),""))</f>
        <v/>
      </c>
      <c r="E9" s="8" t="n">
        <v>3</v>
      </c>
      <c r="F9" s="8" t="n">
        <v>5</v>
      </c>
      <c r="G9" s="8" t="n">
        <v>5</v>
      </c>
      <c r="H9" s="13">
        <f>IF(OR(F9="",G9=""),"",G9-F9)</f>
        <v/>
      </c>
      <c r="I9" s="13">
        <f>IF(A9="","","S"&amp;MIN(4,INT((DAY(A9)-1)/7)+1))</f>
        <v/>
      </c>
      <c r="J9" s="13">
        <f>IF(A9="","",MONTH(A9))</f>
        <v/>
      </c>
      <c r="K9" s="13">
        <f>IF(A9="","",YEAR(A9))</f>
        <v/>
      </c>
    </row>
    <row r="10">
      <c r="A10" s="17">
        <f>DATE(2026,10,2)</f>
        <v/>
      </c>
      <c r="B10" s="7" t="inlineStr">
        <is>
          <t>Crème liquide 35%</t>
        </is>
      </c>
      <c r="C10" s="13">
        <f>IF(B10="","",IFERROR(INDEX(Produits!$B$5:$B$44,MATCH(B10,Produits!$A$5:$A$44,0)),""))</f>
        <v/>
      </c>
      <c r="D10" s="13">
        <f>IF(B10="","",IFERROR(INDEX(Produits!$C$5:$C$44,MATCH(B10,Produits!$A$5:$A$44,0)),""))</f>
        <v/>
      </c>
      <c r="E10" s="8" t="n">
        <v>4</v>
      </c>
      <c r="F10" s="8" t="n">
        <v>12</v>
      </c>
      <c r="G10" s="8" t="n">
        <v>12</v>
      </c>
      <c r="H10" s="13">
        <f>IF(OR(F10="",G10=""),"",G10-F10)</f>
        <v/>
      </c>
      <c r="I10" s="13">
        <f>IF(A10="","","S"&amp;MIN(4,INT((DAY(A10)-1)/7)+1))</f>
        <v/>
      </c>
      <c r="J10" s="13">
        <f>IF(A10="","",MONTH(A10))</f>
        <v/>
      </c>
      <c r="K10" s="13">
        <f>IF(A10="","",YEAR(A10))</f>
        <v/>
      </c>
    </row>
    <row r="11">
      <c r="A11" s="17">
        <f>DATE(2026,10,2)</f>
        <v/>
      </c>
      <c r="B11" s="7" t="inlineStr">
        <is>
          <t>Lait entier</t>
        </is>
      </c>
      <c r="C11" s="13">
        <f>IF(B11="","",IFERROR(INDEX(Produits!$B$5:$B$44,MATCH(B11,Produits!$A$5:$A$44,0)),""))</f>
        <v/>
      </c>
      <c r="D11" s="13">
        <f>IF(B11="","",IFERROR(INDEX(Produits!$C$5:$C$44,MATCH(B11,Produits!$A$5:$A$44,0)),""))</f>
        <v/>
      </c>
      <c r="E11" s="8" t="n">
        <v>3</v>
      </c>
      <c r="F11" s="8" t="n">
        <v>6</v>
      </c>
      <c r="G11" s="8" t="n">
        <v>6</v>
      </c>
      <c r="H11" s="13">
        <f>IF(OR(F11="",G11=""),"",G11-F11)</f>
        <v/>
      </c>
      <c r="I11" s="13">
        <f>IF(A11="","","S"&amp;MIN(4,INT((DAY(A11)-1)/7)+1))</f>
        <v/>
      </c>
      <c r="J11" s="13">
        <f>IF(A11="","",MONTH(A11))</f>
        <v/>
      </c>
      <c r="K11" s="13">
        <f>IF(A11="","",YEAR(A11))</f>
        <v/>
      </c>
    </row>
    <row r="12">
      <c r="A12" s="17">
        <f>DATE(2026,10,2)</f>
        <v/>
      </c>
      <c r="B12" s="7" t="inlineStr">
        <is>
          <t>Oeufs</t>
        </is>
      </c>
      <c r="C12" s="13">
        <f>IF(B12="","",IFERROR(INDEX(Produits!$B$5:$B$44,MATCH(B12,Produits!$A$5:$A$44,0)),""))</f>
        <v/>
      </c>
      <c r="D12" s="13">
        <f>IF(B12="","",IFERROR(INDEX(Produits!$C$5:$C$44,MATCH(B12,Produits!$A$5:$A$44,0)),""))</f>
        <v/>
      </c>
      <c r="E12" s="8" t="n">
        <v>40</v>
      </c>
      <c r="F12" s="8" t="n">
        <v>90</v>
      </c>
      <c r="G12" s="8" t="n">
        <v>90</v>
      </c>
      <c r="H12" s="13">
        <f>IF(OR(F12="",G12=""),"",G12-F12)</f>
        <v/>
      </c>
      <c r="I12" s="13">
        <f>IF(A12="","","S"&amp;MIN(4,INT((DAY(A12)-1)/7)+1))</f>
        <v/>
      </c>
      <c r="J12" s="13">
        <f>IF(A12="","",MONTH(A12))</f>
        <v/>
      </c>
      <c r="K12" s="13">
        <f>IF(A12="","",YEAR(A12))</f>
        <v/>
      </c>
    </row>
    <row r="13">
      <c r="A13" s="17">
        <f>DATE(2026,10,2)</f>
        <v/>
      </c>
      <c r="B13" s="7" t="inlineStr">
        <is>
          <t>Chocolat blanc</t>
        </is>
      </c>
      <c r="C13" s="13">
        <f>IF(B13="","",IFERROR(INDEX(Produits!$B$5:$B$44,MATCH(B13,Produits!$A$5:$A$44,0)),""))</f>
        <v/>
      </c>
      <c r="D13" s="13">
        <f>IF(B13="","",IFERROR(INDEX(Produits!$C$5:$C$44,MATCH(B13,Produits!$A$5:$A$44,0)),""))</f>
        <v/>
      </c>
      <c r="E13" s="8" t="n">
        <v>1.5</v>
      </c>
      <c r="F13" s="8" t="n">
        <v>3</v>
      </c>
      <c r="G13" s="8" t="n">
        <v>2</v>
      </c>
      <c r="H13" s="13">
        <f>IF(OR(F13="",G13=""),"",G13-F13)</f>
        <v/>
      </c>
      <c r="I13" s="13">
        <f>IF(A13="","","S"&amp;MIN(4,INT((DAY(A13)-1)/7)+1))</f>
        <v/>
      </c>
      <c r="J13" s="13">
        <f>IF(A13="","",MONTH(A13))</f>
        <v/>
      </c>
      <c r="K13" s="13">
        <f>IF(A13="","",YEAR(A13))</f>
        <v/>
      </c>
    </row>
    <row r="14">
      <c r="A14" s="17">
        <f>DATE(2026,10,2)</f>
        <v/>
      </c>
      <c r="B14" s="7" t="inlineStr">
        <is>
          <t>Chocolat noir 70%</t>
        </is>
      </c>
      <c r="C14" s="13">
        <f>IF(B14="","",IFERROR(INDEX(Produits!$B$5:$B$44,MATCH(B14,Produits!$A$5:$A$44,0)),""))</f>
        <v/>
      </c>
      <c r="D14" s="13">
        <f>IF(B14="","",IFERROR(INDEX(Produits!$C$5:$C$44,MATCH(B14,Produits!$A$5:$A$44,0)),""))</f>
        <v/>
      </c>
      <c r="E14" s="8" t="n">
        <v>2</v>
      </c>
      <c r="F14" s="8" t="n">
        <v>2</v>
      </c>
      <c r="G14" s="8" t="n">
        <v>2</v>
      </c>
      <c r="H14" s="13">
        <f>IF(OR(F14="",G14=""),"",G14-F14)</f>
        <v/>
      </c>
      <c r="I14" s="13">
        <f>IF(A14="","","S"&amp;MIN(4,INT((DAY(A14)-1)/7)+1))</f>
        <v/>
      </c>
      <c r="J14" s="13">
        <f>IF(A14="","",MONTH(A14))</f>
        <v/>
      </c>
      <c r="K14" s="13">
        <f>IF(A14="","",YEAR(A14))</f>
        <v/>
      </c>
    </row>
    <row r="15">
      <c r="A15" s="17">
        <f>DATE(2026,10,2)</f>
        <v/>
      </c>
      <c r="B15" s="7" t="inlineStr">
        <is>
          <t>Levure chimique</t>
        </is>
      </c>
      <c r="C15" s="13">
        <f>IF(B15="","",IFERROR(INDEX(Produits!$B$5:$B$44,MATCH(B15,Produits!$A$5:$A$44,0)),""))</f>
        <v/>
      </c>
      <c r="D15" s="13">
        <f>IF(B15="","",IFERROR(INDEX(Produits!$C$5:$C$44,MATCH(B15,Produits!$A$5:$A$44,0)),""))</f>
        <v/>
      </c>
      <c r="E15" s="8" t="n">
        <v>0.4</v>
      </c>
      <c r="F15" s="8" t="n">
        <v>1</v>
      </c>
      <c r="G15" s="8" t="n">
        <v>1</v>
      </c>
      <c r="H15" s="13">
        <f>IF(OR(F15="",G15=""),"",G15-F15)</f>
        <v/>
      </c>
      <c r="I15" s="13">
        <f>IF(A15="","","S"&amp;MIN(4,INT((DAY(A15)-1)/7)+1))</f>
        <v/>
      </c>
      <c r="J15" s="13">
        <f>IF(A15="","",MONTH(A15))</f>
        <v/>
      </c>
      <c r="K15" s="13">
        <f>IF(A15="","",YEAR(A15))</f>
        <v/>
      </c>
    </row>
    <row r="16">
      <c r="A16" s="17">
        <f>DATE(2026,10,2)</f>
        <v/>
      </c>
      <c r="B16" s="7" t="inlineStr">
        <is>
          <t>Vanille (gousse)</t>
        </is>
      </c>
      <c r="C16" s="13">
        <f>IF(B16="","",IFERROR(INDEX(Produits!$B$5:$B$44,MATCH(B16,Produits!$A$5:$A$44,0)),""))</f>
        <v/>
      </c>
      <c r="D16" s="13">
        <f>IF(B16="","",IFERROR(INDEX(Produits!$C$5:$C$44,MATCH(B16,Produits!$A$5:$A$44,0)),""))</f>
        <v/>
      </c>
      <c r="E16" s="8" t="n">
        <v>6</v>
      </c>
      <c r="F16" s="8" t="n">
        <v>0</v>
      </c>
      <c r="G16" s="8" t="n">
        <v>0</v>
      </c>
      <c r="H16" s="13">
        <f>IF(OR(F16="",G16=""),"",G16-F16)</f>
        <v/>
      </c>
      <c r="I16" s="13">
        <f>IF(A16="","","S"&amp;MIN(4,INT((DAY(A16)-1)/7)+1))</f>
        <v/>
      </c>
      <c r="J16" s="13">
        <f>IF(A16="","",MONTH(A16))</f>
        <v/>
      </c>
      <c r="K16" s="13">
        <f>IF(A16="","",YEAR(A16))</f>
        <v/>
      </c>
    </row>
    <row r="17">
      <c r="A17" s="17">
        <f>DATE(2026,10,9)</f>
        <v/>
      </c>
      <c r="B17" s="7" t="inlineStr">
        <is>
          <t>Farine T55</t>
        </is>
      </c>
      <c r="C17" s="13">
        <f>IF(B17="","",IFERROR(INDEX(Produits!$B$5:$B$44,MATCH(B17,Produits!$A$5:$A$44,0)),""))</f>
        <v/>
      </c>
      <c r="D17" s="13">
        <f>IF(B17="","",IFERROR(INDEX(Produits!$C$5:$C$44,MATCH(B17,Produits!$A$5:$A$44,0)),""))</f>
        <v/>
      </c>
      <c r="E17" s="8" t="n">
        <v>5</v>
      </c>
      <c r="F17" s="8" t="n">
        <v>10</v>
      </c>
      <c r="G17" s="8" t="n">
        <v>10</v>
      </c>
      <c r="H17" s="13">
        <f>IF(OR(F17="",G17=""),"",G17-F17)</f>
        <v/>
      </c>
      <c r="I17" s="13">
        <f>IF(A17="","","S"&amp;MIN(4,INT((DAY(A17)-1)/7)+1))</f>
        <v/>
      </c>
      <c r="J17" s="13">
        <f>IF(A17="","",MONTH(A17))</f>
        <v/>
      </c>
      <c r="K17" s="13">
        <f>IF(A17="","",YEAR(A17))</f>
        <v/>
      </c>
    </row>
    <row r="18">
      <c r="A18" s="17">
        <f>DATE(2026,10,9)</f>
        <v/>
      </c>
      <c r="B18" s="7" t="inlineStr">
        <is>
          <t>Farine T45</t>
        </is>
      </c>
      <c r="C18" s="13">
        <f>IF(B18="","",IFERROR(INDEX(Produits!$B$5:$B$44,MATCH(B18,Produits!$A$5:$A$44,0)),""))</f>
        <v/>
      </c>
      <c r="D18" s="13">
        <f>IF(B18="","",IFERROR(INDEX(Produits!$C$5:$C$44,MATCH(B18,Produits!$A$5:$A$44,0)),""))</f>
        <v/>
      </c>
      <c r="E18" s="8" t="n">
        <v>3</v>
      </c>
      <c r="F18" s="8" t="n">
        <v>3</v>
      </c>
      <c r="G18" s="8" t="n">
        <v>3</v>
      </c>
      <c r="H18" s="13">
        <f>IF(OR(F18="",G18=""),"",G18-F18)</f>
        <v/>
      </c>
      <c r="I18" s="13">
        <f>IF(A18="","","S"&amp;MIN(4,INT((DAY(A18)-1)/7)+1))</f>
        <v/>
      </c>
      <c r="J18" s="13">
        <f>IF(A18="","",MONTH(A18))</f>
        <v/>
      </c>
      <c r="K18" s="13">
        <f>IF(A18="","",YEAR(A18))</f>
        <v/>
      </c>
    </row>
    <row r="19">
      <c r="A19" s="17">
        <f>DATE(2026,10,9)</f>
        <v/>
      </c>
      <c r="B19" s="7" t="inlineStr">
        <is>
          <t>Sucre semoule</t>
        </is>
      </c>
      <c r="C19" s="13">
        <f>IF(B19="","",IFERROR(INDEX(Produits!$B$5:$B$44,MATCH(B19,Produits!$A$5:$A$44,0)),""))</f>
        <v/>
      </c>
      <c r="D19" s="13">
        <f>IF(B19="","",IFERROR(INDEX(Produits!$C$5:$C$44,MATCH(B19,Produits!$A$5:$A$44,0)),""))</f>
        <v/>
      </c>
      <c r="E19" s="8" t="n">
        <v>7</v>
      </c>
      <c r="F19" s="8" t="n">
        <v>5</v>
      </c>
      <c r="G19" s="8" t="n">
        <v>5</v>
      </c>
      <c r="H19" s="13">
        <f>IF(OR(F19="",G19=""),"",G19-F19)</f>
        <v/>
      </c>
      <c r="I19" s="13">
        <f>IF(A19="","","S"&amp;MIN(4,INT((DAY(A19)-1)/7)+1))</f>
        <v/>
      </c>
      <c r="J19" s="13">
        <f>IF(A19="","",MONTH(A19))</f>
        <v/>
      </c>
      <c r="K19" s="13">
        <f>IF(A19="","",YEAR(A19))</f>
        <v/>
      </c>
    </row>
    <row r="20">
      <c r="A20" s="17">
        <f>DATE(2026,10,9)</f>
        <v/>
      </c>
      <c r="B20" s="7" t="inlineStr">
        <is>
          <t>Sucre glace</t>
        </is>
      </c>
      <c r="C20" s="13">
        <f>IF(B20="","",IFERROR(INDEX(Produits!$B$5:$B$44,MATCH(B20,Produits!$A$5:$A$44,0)),""))</f>
        <v/>
      </c>
      <c r="D20" s="13">
        <f>IF(B20="","",IFERROR(INDEX(Produits!$C$5:$C$44,MATCH(B20,Produits!$A$5:$A$44,0)),""))</f>
        <v/>
      </c>
      <c r="E20" s="8" t="n">
        <v>2</v>
      </c>
      <c r="F20" s="8" t="n">
        <v>0</v>
      </c>
      <c r="G20" s="8" t="n">
        <v>0</v>
      </c>
      <c r="H20" s="13">
        <f>IF(OR(F20="",G20=""),"",G20-F20)</f>
        <v/>
      </c>
      <c r="I20" s="13">
        <f>IF(A20="","","S"&amp;MIN(4,INT((DAY(A20)-1)/7)+1))</f>
        <v/>
      </c>
      <c r="J20" s="13">
        <f>IF(A20="","",MONTH(A20))</f>
        <v/>
      </c>
      <c r="K20" s="13">
        <f>IF(A20="","",YEAR(A20))</f>
        <v/>
      </c>
    </row>
    <row r="21">
      <c r="A21" s="17">
        <f>DATE(2026,10,9)</f>
        <v/>
      </c>
      <c r="B21" s="7" t="inlineStr">
        <is>
          <t>Beurre doux</t>
        </is>
      </c>
      <c r="C21" s="13">
        <f>IF(B21="","",IFERROR(INDEX(Produits!$B$5:$B$44,MATCH(B21,Produits!$A$5:$A$44,0)),""))</f>
        <v/>
      </c>
      <c r="D21" s="13">
        <f>IF(B21="","",IFERROR(INDEX(Produits!$C$5:$C$44,MATCH(B21,Produits!$A$5:$A$44,0)),""))</f>
        <v/>
      </c>
      <c r="E21" s="8" t="n">
        <v>4</v>
      </c>
      <c r="F21" s="8" t="n">
        <v>5</v>
      </c>
      <c r="G21" s="8" t="n">
        <v>5</v>
      </c>
      <c r="H21" s="13">
        <f>IF(OR(F21="",G21=""),"",G21-F21)</f>
        <v/>
      </c>
      <c r="I21" s="13">
        <f>IF(A21="","","S"&amp;MIN(4,INT((DAY(A21)-1)/7)+1))</f>
        <v/>
      </c>
      <c r="J21" s="13">
        <f>IF(A21="","",MONTH(A21))</f>
        <v/>
      </c>
      <c r="K21" s="13">
        <f>IF(A21="","",YEAR(A21))</f>
        <v/>
      </c>
    </row>
    <row r="22">
      <c r="A22" s="17">
        <f>DATE(2026,10,9)</f>
        <v/>
      </c>
      <c r="B22" s="7" t="inlineStr">
        <is>
          <t>Crème liquide 35%</t>
        </is>
      </c>
      <c r="C22" s="13">
        <f>IF(B22="","",IFERROR(INDEX(Produits!$B$5:$B$44,MATCH(B22,Produits!$A$5:$A$44,0)),""))</f>
        <v/>
      </c>
      <c r="D22" s="13">
        <f>IF(B22="","",IFERROR(INDEX(Produits!$C$5:$C$44,MATCH(B22,Produits!$A$5:$A$44,0)),""))</f>
        <v/>
      </c>
      <c r="E22" s="8" t="n">
        <v>5</v>
      </c>
      <c r="F22" s="8" t="n">
        <v>10</v>
      </c>
      <c r="G22" s="8" t="n">
        <v>10</v>
      </c>
      <c r="H22" s="13">
        <f>IF(OR(F22="",G22=""),"",G22-F22)</f>
        <v/>
      </c>
      <c r="I22" s="13">
        <f>IF(A22="","","S"&amp;MIN(4,INT((DAY(A22)-1)/7)+1))</f>
        <v/>
      </c>
      <c r="J22" s="13">
        <f>IF(A22="","",MONTH(A22))</f>
        <v/>
      </c>
      <c r="K22" s="13">
        <f>IF(A22="","",YEAR(A22))</f>
        <v/>
      </c>
    </row>
    <row r="23">
      <c r="A23" s="17">
        <f>DATE(2026,10,9)</f>
        <v/>
      </c>
      <c r="B23" s="7" t="inlineStr">
        <is>
          <t>Lait entier</t>
        </is>
      </c>
      <c r="C23" s="13">
        <f>IF(B23="","",IFERROR(INDEX(Produits!$B$5:$B$44,MATCH(B23,Produits!$A$5:$A$44,0)),""))</f>
        <v/>
      </c>
      <c r="D23" s="13">
        <f>IF(B23="","",IFERROR(INDEX(Produits!$C$5:$C$44,MATCH(B23,Produits!$A$5:$A$44,0)),""))</f>
        <v/>
      </c>
      <c r="E23" s="8" t="n">
        <v>4</v>
      </c>
      <c r="F23" s="8" t="n">
        <v>6</v>
      </c>
      <c r="G23" s="8" t="n">
        <v>6</v>
      </c>
      <c r="H23" s="13">
        <f>IF(OR(F23="",G23=""),"",G23-F23)</f>
        <v/>
      </c>
      <c r="I23" s="13">
        <f>IF(A23="","","S"&amp;MIN(4,INT((DAY(A23)-1)/7)+1))</f>
        <v/>
      </c>
      <c r="J23" s="13">
        <f>IF(A23="","",MONTH(A23))</f>
        <v/>
      </c>
      <c r="K23" s="13">
        <f>IF(A23="","",YEAR(A23))</f>
        <v/>
      </c>
    </row>
    <row r="24">
      <c r="A24" s="17">
        <f>DATE(2026,10,9)</f>
        <v/>
      </c>
      <c r="B24" s="7" t="inlineStr">
        <is>
          <t>Oeufs</t>
        </is>
      </c>
      <c r="C24" s="13">
        <f>IF(B24="","",IFERROR(INDEX(Produits!$B$5:$B$44,MATCH(B24,Produits!$A$5:$A$44,0)),""))</f>
        <v/>
      </c>
      <c r="D24" s="13">
        <f>IF(B24="","",IFERROR(INDEX(Produits!$C$5:$C$44,MATCH(B24,Produits!$A$5:$A$44,0)),""))</f>
        <v/>
      </c>
      <c r="E24" s="8" t="n">
        <v>50</v>
      </c>
      <c r="F24" s="8" t="n">
        <v>60</v>
      </c>
      <c r="G24" s="8" t="n">
        <v>60</v>
      </c>
      <c r="H24" s="13">
        <f>IF(OR(F24="",G24=""),"",G24-F24)</f>
        <v/>
      </c>
      <c r="I24" s="13">
        <f>IF(A24="","","S"&amp;MIN(4,INT((DAY(A24)-1)/7)+1))</f>
        <v/>
      </c>
      <c r="J24" s="13">
        <f>IF(A24="","",MONTH(A24))</f>
        <v/>
      </c>
      <c r="K24" s="13">
        <f>IF(A24="","",YEAR(A24))</f>
        <v/>
      </c>
    </row>
    <row r="25">
      <c r="A25" s="17">
        <f>DATE(2026,10,9)</f>
        <v/>
      </c>
      <c r="B25" s="7" t="inlineStr">
        <is>
          <t>Chocolat blanc</t>
        </is>
      </c>
      <c r="C25" s="13">
        <f>IF(B25="","",IFERROR(INDEX(Produits!$B$5:$B$44,MATCH(B25,Produits!$A$5:$A$44,0)),""))</f>
        <v/>
      </c>
      <c r="D25" s="13">
        <f>IF(B25="","",IFERROR(INDEX(Produits!$C$5:$C$44,MATCH(B25,Produits!$A$5:$A$44,0)),""))</f>
        <v/>
      </c>
      <c r="E25" s="8" t="n">
        <v>2</v>
      </c>
      <c r="F25" s="8" t="n">
        <v>2</v>
      </c>
      <c r="G25" s="8" t="n">
        <v>2</v>
      </c>
      <c r="H25" s="13">
        <f>IF(OR(F25="",G25=""),"",G25-F25)</f>
        <v/>
      </c>
      <c r="I25" s="13">
        <f>IF(A25="","","S"&amp;MIN(4,INT((DAY(A25)-1)/7)+1))</f>
        <v/>
      </c>
      <c r="J25" s="13">
        <f>IF(A25="","",MONTH(A25))</f>
        <v/>
      </c>
      <c r="K25" s="13">
        <f>IF(A25="","",YEAR(A25))</f>
        <v/>
      </c>
    </row>
    <row r="26">
      <c r="A26" s="17">
        <f>DATE(2026,10,9)</f>
        <v/>
      </c>
      <c r="B26" s="7" t="inlineStr">
        <is>
          <t>Chocolat noir 70%</t>
        </is>
      </c>
      <c r="C26" s="13">
        <f>IF(B26="","",IFERROR(INDEX(Produits!$B$5:$B$44,MATCH(B26,Produits!$A$5:$A$44,0)),""))</f>
        <v/>
      </c>
      <c r="D26" s="13">
        <f>IF(B26="","",IFERROR(INDEX(Produits!$C$5:$C$44,MATCH(B26,Produits!$A$5:$A$44,0)),""))</f>
        <v/>
      </c>
      <c r="E26" s="8" t="n">
        <v>2</v>
      </c>
      <c r="F26" s="8" t="n">
        <v>2</v>
      </c>
      <c r="G26" s="8" t="n">
        <v>2</v>
      </c>
      <c r="H26" s="13">
        <f>IF(OR(F26="",G26=""),"",G26-F26)</f>
        <v/>
      </c>
      <c r="I26" s="13">
        <f>IF(A26="","","S"&amp;MIN(4,INT((DAY(A26)-1)/7)+1))</f>
        <v/>
      </c>
      <c r="J26" s="13">
        <f>IF(A26="","",MONTH(A26))</f>
        <v/>
      </c>
      <c r="K26" s="13">
        <f>IF(A26="","",YEAR(A26))</f>
        <v/>
      </c>
    </row>
    <row r="27">
      <c r="A27" s="17">
        <f>DATE(2026,10,9)</f>
        <v/>
      </c>
      <c r="B27" s="7" t="inlineStr">
        <is>
          <t>Levure chimique</t>
        </is>
      </c>
      <c r="C27" s="13">
        <f>IF(B27="","",IFERROR(INDEX(Produits!$B$5:$B$44,MATCH(B27,Produits!$A$5:$A$44,0)),""))</f>
        <v/>
      </c>
      <c r="D27" s="13">
        <f>IF(B27="","",IFERROR(INDEX(Produits!$C$5:$C$44,MATCH(B27,Produits!$A$5:$A$44,0)),""))</f>
        <v/>
      </c>
      <c r="E27" s="8" t="n">
        <v>0.6</v>
      </c>
      <c r="F27" s="8" t="n">
        <v>0</v>
      </c>
      <c r="G27" s="8" t="n">
        <v>0</v>
      </c>
      <c r="H27" s="13">
        <f>IF(OR(F27="",G27=""),"",G27-F27)</f>
        <v/>
      </c>
      <c r="I27" s="13">
        <f>IF(A27="","","S"&amp;MIN(4,INT((DAY(A27)-1)/7)+1))</f>
        <v/>
      </c>
      <c r="J27" s="13">
        <f>IF(A27="","",MONTH(A27))</f>
        <v/>
      </c>
      <c r="K27" s="13">
        <f>IF(A27="","",YEAR(A27))</f>
        <v/>
      </c>
    </row>
    <row r="28">
      <c r="A28" s="17">
        <f>DATE(2026,10,9)</f>
        <v/>
      </c>
      <c r="B28" s="7" t="inlineStr">
        <is>
          <t>Vanille (gousse)</t>
        </is>
      </c>
      <c r="C28" s="13">
        <f>IF(B28="","",IFERROR(INDEX(Produits!$B$5:$B$44,MATCH(B28,Produits!$A$5:$A$44,0)),""))</f>
        <v/>
      </c>
      <c r="D28" s="13">
        <f>IF(B28="","",IFERROR(INDEX(Produits!$C$5:$C$44,MATCH(B28,Produits!$A$5:$A$44,0)),""))</f>
        <v/>
      </c>
      <c r="E28" s="8" t="n">
        <v>6</v>
      </c>
      <c r="F28" s="8" t="n">
        <v>0</v>
      </c>
      <c r="G28" s="8" t="n">
        <v>0</v>
      </c>
      <c r="H28" s="13">
        <f>IF(OR(F28="",G28=""),"",G28-F28)</f>
        <v/>
      </c>
      <c r="I28" s="13">
        <f>IF(A28="","","S"&amp;MIN(4,INT((DAY(A28)-1)/7)+1))</f>
        <v/>
      </c>
      <c r="J28" s="13">
        <f>IF(A28="","",MONTH(A28))</f>
        <v/>
      </c>
      <c r="K28" s="13">
        <f>IF(A28="","",YEAR(A28))</f>
        <v/>
      </c>
    </row>
    <row r="29">
      <c r="A29" s="18" t="n"/>
      <c r="B29" s="9" t="n"/>
      <c r="C29" s="13">
        <f>IF(B29="","",IFERROR(INDEX(Produits!$B$5:$B$44,MATCH(B29,Produits!$A$5:$A$44,0)),""))</f>
        <v/>
      </c>
      <c r="D29" s="13">
        <f>IF(B29="","",IFERROR(INDEX(Produits!$C$5:$C$44,MATCH(B29,Produits!$A$5:$A$44,0)),""))</f>
        <v/>
      </c>
      <c r="E29" s="10" t="n"/>
      <c r="F29" s="10" t="n"/>
      <c r="G29" s="10" t="n"/>
      <c r="H29" s="13">
        <f>IF(OR(F29="",G29=""),"",G29-F29)</f>
        <v/>
      </c>
      <c r="I29" s="13">
        <f>IF(A29="","","S"&amp;MIN(4,INT((DAY(A29)-1)/7)+1))</f>
        <v/>
      </c>
      <c r="J29" s="13">
        <f>IF(A29="","",MONTH(A29))</f>
        <v/>
      </c>
      <c r="K29" s="13">
        <f>IF(A29="","",YEAR(A29))</f>
        <v/>
      </c>
    </row>
    <row r="30">
      <c r="A30" s="18" t="n"/>
      <c r="B30" s="9" t="n"/>
      <c r="C30" s="13">
        <f>IF(B30="","",IFERROR(INDEX(Produits!$B$5:$B$44,MATCH(B30,Produits!$A$5:$A$44,0)),""))</f>
        <v/>
      </c>
      <c r="D30" s="13">
        <f>IF(B30="","",IFERROR(INDEX(Produits!$C$5:$C$44,MATCH(B30,Produits!$A$5:$A$44,0)),""))</f>
        <v/>
      </c>
      <c r="E30" s="10" t="n"/>
      <c r="F30" s="10" t="n"/>
      <c r="G30" s="10" t="n"/>
      <c r="H30" s="13">
        <f>IF(OR(F30="",G30=""),"",G30-F30)</f>
        <v/>
      </c>
      <c r="I30" s="13">
        <f>IF(A30="","","S"&amp;MIN(4,INT((DAY(A30)-1)/7)+1))</f>
        <v/>
      </c>
      <c r="J30" s="13">
        <f>IF(A30="","",MONTH(A30))</f>
        <v/>
      </c>
      <c r="K30" s="13">
        <f>IF(A30="","",YEAR(A30))</f>
        <v/>
      </c>
    </row>
    <row r="31">
      <c r="A31" s="18" t="n"/>
      <c r="B31" s="9" t="n"/>
      <c r="C31" s="13">
        <f>IF(B31="","",IFERROR(INDEX(Produits!$B$5:$B$44,MATCH(B31,Produits!$A$5:$A$44,0)),""))</f>
        <v/>
      </c>
      <c r="D31" s="13">
        <f>IF(B31="","",IFERROR(INDEX(Produits!$C$5:$C$44,MATCH(B31,Produits!$A$5:$A$44,0)),""))</f>
        <v/>
      </c>
      <c r="E31" s="10" t="n"/>
      <c r="F31" s="10" t="n"/>
      <c r="G31" s="10" t="n"/>
      <c r="H31" s="13">
        <f>IF(OR(F31="",G31=""),"",G31-F31)</f>
        <v/>
      </c>
      <c r="I31" s="13">
        <f>IF(A31="","","S"&amp;MIN(4,INT((DAY(A31)-1)/7)+1))</f>
        <v/>
      </c>
      <c r="J31" s="13">
        <f>IF(A31="","",MONTH(A31))</f>
        <v/>
      </c>
      <c r="K31" s="13">
        <f>IF(A31="","",YEAR(A31))</f>
        <v/>
      </c>
    </row>
    <row r="32">
      <c r="A32" s="18" t="n"/>
      <c r="B32" s="9" t="n"/>
      <c r="C32" s="13">
        <f>IF(B32="","",IFERROR(INDEX(Produits!$B$5:$B$44,MATCH(B32,Produits!$A$5:$A$44,0)),""))</f>
        <v/>
      </c>
      <c r="D32" s="13">
        <f>IF(B32="","",IFERROR(INDEX(Produits!$C$5:$C$44,MATCH(B32,Produits!$A$5:$A$44,0)),""))</f>
        <v/>
      </c>
      <c r="E32" s="10" t="n"/>
      <c r="F32" s="10" t="n"/>
      <c r="G32" s="10" t="n"/>
      <c r="H32" s="13">
        <f>IF(OR(F32="",G32=""),"",G32-F32)</f>
        <v/>
      </c>
      <c r="I32" s="13">
        <f>IF(A32="","","S"&amp;MIN(4,INT((DAY(A32)-1)/7)+1))</f>
        <v/>
      </c>
      <c r="J32" s="13">
        <f>IF(A32="","",MONTH(A32))</f>
        <v/>
      </c>
      <c r="K32" s="13">
        <f>IF(A32="","",YEAR(A32))</f>
        <v/>
      </c>
    </row>
    <row r="33">
      <c r="A33" s="18" t="n"/>
      <c r="B33" s="9" t="n"/>
      <c r="C33" s="13">
        <f>IF(B33="","",IFERROR(INDEX(Produits!$B$5:$B$44,MATCH(B33,Produits!$A$5:$A$44,0)),""))</f>
        <v/>
      </c>
      <c r="D33" s="13">
        <f>IF(B33="","",IFERROR(INDEX(Produits!$C$5:$C$44,MATCH(B33,Produits!$A$5:$A$44,0)),""))</f>
        <v/>
      </c>
      <c r="E33" s="10" t="n"/>
      <c r="F33" s="10" t="n"/>
      <c r="G33" s="10" t="n"/>
      <c r="H33" s="13">
        <f>IF(OR(F33="",G33=""),"",G33-F33)</f>
        <v/>
      </c>
      <c r="I33" s="13">
        <f>IF(A33="","","S"&amp;MIN(4,INT((DAY(A33)-1)/7)+1))</f>
        <v/>
      </c>
      <c r="J33" s="13">
        <f>IF(A33="","",MONTH(A33))</f>
        <v/>
      </c>
      <c r="K33" s="13">
        <f>IF(A33="","",YEAR(A33))</f>
        <v/>
      </c>
    </row>
    <row r="34">
      <c r="A34" s="18" t="n"/>
      <c r="B34" s="9" t="n"/>
      <c r="C34" s="13">
        <f>IF(B34="","",IFERROR(INDEX(Produits!$B$5:$B$44,MATCH(B34,Produits!$A$5:$A$44,0)),""))</f>
        <v/>
      </c>
      <c r="D34" s="13">
        <f>IF(B34="","",IFERROR(INDEX(Produits!$C$5:$C$44,MATCH(B34,Produits!$A$5:$A$44,0)),""))</f>
        <v/>
      </c>
      <c r="E34" s="10" t="n"/>
      <c r="F34" s="10" t="n"/>
      <c r="G34" s="10" t="n"/>
      <c r="H34" s="13">
        <f>IF(OR(F34="",G34=""),"",G34-F34)</f>
        <v/>
      </c>
      <c r="I34" s="13">
        <f>IF(A34="","","S"&amp;MIN(4,INT((DAY(A34)-1)/7)+1))</f>
        <v/>
      </c>
      <c r="J34" s="13">
        <f>IF(A34="","",MONTH(A34))</f>
        <v/>
      </c>
      <c r="K34" s="13">
        <f>IF(A34="","",YEAR(A34))</f>
        <v/>
      </c>
    </row>
    <row r="35">
      <c r="A35" s="18" t="n"/>
      <c r="B35" s="9" t="n"/>
      <c r="C35" s="13">
        <f>IF(B35="","",IFERROR(INDEX(Produits!$B$5:$B$44,MATCH(B35,Produits!$A$5:$A$44,0)),""))</f>
        <v/>
      </c>
      <c r="D35" s="13">
        <f>IF(B35="","",IFERROR(INDEX(Produits!$C$5:$C$44,MATCH(B35,Produits!$A$5:$A$44,0)),""))</f>
        <v/>
      </c>
      <c r="E35" s="10" t="n"/>
      <c r="F35" s="10" t="n"/>
      <c r="G35" s="10" t="n"/>
      <c r="H35" s="13">
        <f>IF(OR(F35="",G35=""),"",G35-F35)</f>
        <v/>
      </c>
      <c r="I35" s="13">
        <f>IF(A35="","","S"&amp;MIN(4,INT((DAY(A35)-1)/7)+1))</f>
        <v/>
      </c>
      <c r="J35" s="13">
        <f>IF(A35="","",MONTH(A35))</f>
        <v/>
      </c>
      <c r="K35" s="13">
        <f>IF(A35="","",YEAR(A35))</f>
        <v/>
      </c>
    </row>
    <row r="36">
      <c r="A36" s="18" t="n"/>
      <c r="B36" s="9" t="n"/>
      <c r="C36" s="13">
        <f>IF(B36="","",IFERROR(INDEX(Produits!$B$5:$B$44,MATCH(B36,Produits!$A$5:$A$44,0)),""))</f>
        <v/>
      </c>
      <c r="D36" s="13">
        <f>IF(B36="","",IFERROR(INDEX(Produits!$C$5:$C$44,MATCH(B36,Produits!$A$5:$A$44,0)),""))</f>
        <v/>
      </c>
      <c r="E36" s="10" t="n"/>
      <c r="F36" s="10" t="n"/>
      <c r="G36" s="10" t="n"/>
      <c r="H36" s="13">
        <f>IF(OR(F36="",G36=""),"",G36-F36)</f>
        <v/>
      </c>
      <c r="I36" s="13">
        <f>IF(A36="","","S"&amp;MIN(4,INT((DAY(A36)-1)/7)+1))</f>
        <v/>
      </c>
      <c r="J36" s="13">
        <f>IF(A36="","",MONTH(A36))</f>
        <v/>
      </c>
      <c r="K36" s="13">
        <f>IF(A36="","",YEAR(A36))</f>
        <v/>
      </c>
    </row>
    <row r="37">
      <c r="A37" s="18" t="n"/>
      <c r="B37" s="9" t="n"/>
      <c r="C37" s="13">
        <f>IF(B37="","",IFERROR(INDEX(Produits!$B$5:$B$44,MATCH(B37,Produits!$A$5:$A$44,0)),""))</f>
        <v/>
      </c>
      <c r="D37" s="13">
        <f>IF(B37="","",IFERROR(INDEX(Produits!$C$5:$C$44,MATCH(B37,Produits!$A$5:$A$44,0)),""))</f>
        <v/>
      </c>
      <c r="E37" s="10" t="n"/>
      <c r="F37" s="10" t="n"/>
      <c r="G37" s="10" t="n"/>
      <c r="H37" s="13">
        <f>IF(OR(F37="",G37=""),"",G37-F37)</f>
        <v/>
      </c>
      <c r="I37" s="13">
        <f>IF(A37="","","S"&amp;MIN(4,INT((DAY(A37)-1)/7)+1))</f>
        <v/>
      </c>
      <c r="J37" s="13">
        <f>IF(A37="","",MONTH(A37))</f>
        <v/>
      </c>
      <c r="K37" s="13">
        <f>IF(A37="","",YEAR(A37))</f>
        <v/>
      </c>
    </row>
    <row r="38">
      <c r="A38" s="18" t="n"/>
      <c r="B38" s="9" t="n"/>
      <c r="C38" s="13">
        <f>IF(B38="","",IFERROR(INDEX(Produits!$B$5:$B$44,MATCH(B38,Produits!$A$5:$A$44,0)),""))</f>
        <v/>
      </c>
      <c r="D38" s="13">
        <f>IF(B38="","",IFERROR(INDEX(Produits!$C$5:$C$44,MATCH(B38,Produits!$A$5:$A$44,0)),""))</f>
        <v/>
      </c>
      <c r="E38" s="10" t="n"/>
      <c r="F38" s="10" t="n"/>
      <c r="G38" s="10" t="n"/>
      <c r="H38" s="13">
        <f>IF(OR(F38="",G38=""),"",G38-F38)</f>
        <v/>
      </c>
      <c r="I38" s="13">
        <f>IF(A38="","","S"&amp;MIN(4,INT((DAY(A38)-1)/7)+1))</f>
        <v/>
      </c>
      <c r="J38" s="13">
        <f>IF(A38="","",MONTH(A38))</f>
        <v/>
      </c>
      <c r="K38" s="13">
        <f>IF(A38="","",YEAR(A38))</f>
        <v/>
      </c>
    </row>
    <row r="39">
      <c r="A39" s="18" t="n"/>
      <c r="B39" s="9" t="n"/>
      <c r="C39" s="13">
        <f>IF(B39="","",IFERROR(INDEX(Produits!$B$5:$B$44,MATCH(B39,Produits!$A$5:$A$44,0)),""))</f>
        <v/>
      </c>
      <c r="D39" s="13">
        <f>IF(B39="","",IFERROR(INDEX(Produits!$C$5:$C$44,MATCH(B39,Produits!$A$5:$A$44,0)),""))</f>
        <v/>
      </c>
      <c r="E39" s="10" t="n"/>
      <c r="F39" s="10" t="n"/>
      <c r="G39" s="10" t="n"/>
      <c r="H39" s="13">
        <f>IF(OR(F39="",G39=""),"",G39-F39)</f>
        <v/>
      </c>
      <c r="I39" s="13">
        <f>IF(A39="","","S"&amp;MIN(4,INT((DAY(A39)-1)/7)+1))</f>
        <v/>
      </c>
      <c r="J39" s="13">
        <f>IF(A39="","",MONTH(A39))</f>
        <v/>
      </c>
      <c r="K39" s="13">
        <f>IF(A39="","",YEAR(A39))</f>
        <v/>
      </c>
    </row>
    <row r="40">
      <c r="A40" s="18" t="n"/>
      <c r="B40" s="9" t="n"/>
      <c r="C40" s="13">
        <f>IF(B40="","",IFERROR(INDEX(Produits!$B$5:$B$44,MATCH(B40,Produits!$A$5:$A$44,0)),""))</f>
        <v/>
      </c>
      <c r="D40" s="13">
        <f>IF(B40="","",IFERROR(INDEX(Produits!$C$5:$C$44,MATCH(B40,Produits!$A$5:$A$44,0)),""))</f>
        <v/>
      </c>
      <c r="E40" s="10" t="n"/>
      <c r="F40" s="10" t="n"/>
      <c r="G40" s="10" t="n"/>
      <c r="H40" s="13">
        <f>IF(OR(F40="",G40=""),"",G40-F40)</f>
        <v/>
      </c>
      <c r="I40" s="13">
        <f>IF(A40="","","S"&amp;MIN(4,INT((DAY(A40)-1)/7)+1))</f>
        <v/>
      </c>
      <c r="J40" s="13">
        <f>IF(A40="","",MONTH(A40))</f>
        <v/>
      </c>
      <c r="K40" s="13">
        <f>IF(A40="","",YEAR(A40))</f>
        <v/>
      </c>
    </row>
    <row r="41">
      <c r="A41" s="18" t="n"/>
      <c r="B41" s="9" t="n"/>
      <c r="C41" s="13">
        <f>IF(B41="","",IFERROR(INDEX(Produits!$B$5:$B$44,MATCH(B41,Produits!$A$5:$A$44,0)),""))</f>
        <v/>
      </c>
      <c r="D41" s="13">
        <f>IF(B41="","",IFERROR(INDEX(Produits!$C$5:$C$44,MATCH(B41,Produits!$A$5:$A$44,0)),""))</f>
        <v/>
      </c>
      <c r="E41" s="10" t="n"/>
      <c r="F41" s="10" t="n"/>
      <c r="G41" s="10" t="n"/>
      <c r="H41" s="13">
        <f>IF(OR(F41="",G41=""),"",G41-F41)</f>
        <v/>
      </c>
      <c r="I41" s="13">
        <f>IF(A41="","","S"&amp;MIN(4,INT((DAY(A41)-1)/7)+1))</f>
        <v/>
      </c>
      <c r="J41" s="13">
        <f>IF(A41="","",MONTH(A41))</f>
        <v/>
      </c>
      <c r="K41" s="13">
        <f>IF(A41="","",YEAR(A41))</f>
        <v/>
      </c>
    </row>
    <row r="42">
      <c r="A42" s="18" t="n"/>
      <c r="B42" s="9" t="n"/>
      <c r="C42" s="13">
        <f>IF(B42="","",IFERROR(INDEX(Produits!$B$5:$B$44,MATCH(B42,Produits!$A$5:$A$44,0)),""))</f>
        <v/>
      </c>
      <c r="D42" s="13">
        <f>IF(B42="","",IFERROR(INDEX(Produits!$C$5:$C$44,MATCH(B42,Produits!$A$5:$A$44,0)),""))</f>
        <v/>
      </c>
      <c r="E42" s="10" t="n"/>
      <c r="F42" s="10" t="n"/>
      <c r="G42" s="10" t="n"/>
      <c r="H42" s="13">
        <f>IF(OR(F42="",G42=""),"",G42-F42)</f>
        <v/>
      </c>
      <c r="I42" s="13">
        <f>IF(A42="","","S"&amp;MIN(4,INT((DAY(A42)-1)/7)+1))</f>
        <v/>
      </c>
      <c r="J42" s="13">
        <f>IF(A42="","",MONTH(A42))</f>
        <v/>
      </c>
      <c r="K42" s="13">
        <f>IF(A42="","",YEAR(A42))</f>
        <v/>
      </c>
    </row>
    <row r="43">
      <c r="A43" s="18" t="n"/>
      <c r="B43" s="9" t="n"/>
      <c r="C43" s="13">
        <f>IF(B43="","",IFERROR(INDEX(Produits!$B$5:$B$44,MATCH(B43,Produits!$A$5:$A$44,0)),""))</f>
        <v/>
      </c>
      <c r="D43" s="13">
        <f>IF(B43="","",IFERROR(INDEX(Produits!$C$5:$C$44,MATCH(B43,Produits!$A$5:$A$44,0)),""))</f>
        <v/>
      </c>
      <c r="E43" s="10" t="n"/>
      <c r="F43" s="10" t="n"/>
      <c r="G43" s="10" t="n"/>
      <c r="H43" s="13">
        <f>IF(OR(F43="",G43=""),"",G43-F43)</f>
        <v/>
      </c>
      <c r="I43" s="13">
        <f>IF(A43="","","S"&amp;MIN(4,INT((DAY(A43)-1)/7)+1))</f>
        <v/>
      </c>
      <c r="J43" s="13">
        <f>IF(A43="","",MONTH(A43))</f>
        <v/>
      </c>
      <c r="K43" s="13">
        <f>IF(A43="","",YEAR(A43))</f>
        <v/>
      </c>
    </row>
    <row r="44">
      <c r="A44" s="18" t="n"/>
      <c r="B44" s="9" t="n"/>
      <c r="C44" s="13">
        <f>IF(B44="","",IFERROR(INDEX(Produits!$B$5:$B$44,MATCH(B44,Produits!$A$5:$A$44,0)),""))</f>
        <v/>
      </c>
      <c r="D44" s="13">
        <f>IF(B44="","",IFERROR(INDEX(Produits!$C$5:$C$44,MATCH(B44,Produits!$A$5:$A$44,0)),""))</f>
        <v/>
      </c>
      <c r="E44" s="10" t="n"/>
      <c r="F44" s="10" t="n"/>
      <c r="G44" s="10" t="n"/>
      <c r="H44" s="13">
        <f>IF(OR(F44="",G44=""),"",G44-F44)</f>
        <v/>
      </c>
      <c r="I44" s="13">
        <f>IF(A44="","","S"&amp;MIN(4,INT((DAY(A44)-1)/7)+1))</f>
        <v/>
      </c>
      <c r="J44" s="13">
        <f>IF(A44="","",MONTH(A44))</f>
        <v/>
      </c>
      <c r="K44" s="13">
        <f>IF(A44="","",YEAR(A44))</f>
        <v/>
      </c>
    </row>
    <row r="45">
      <c r="A45" s="18" t="n"/>
      <c r="B45" s="9" t="n"/>
      <c r="C45" s="13">
        <f>IF(B45="","",IFERROR(INDEX(Produits!$B$5:$B$44,MATCH(B45,Produits!$A$5:$A$44,0)),""))</f>
        <v/>
      </c>
      <c r="D45" s="13">
        <f>IF(B45="","",IFERROR(INDEX(Produits!$C$5:$C$44,MATCH(B45,Produits!$A$5:$A$44,0)),""))</f>
        <v/>
      </c>
      <c r="E45" s="10" t="n"/>
      <c r="F45" s="10" t="n"/>
      <c r="G45" s="10" t="n"/>
      <c r="H45" s="13">
        <f>IF(OR(F45="",G45=""),"",G45-F45)</f>
        <v/>
      </c>
      <c r="I45" s="13">
        <f>IF(A45="","","S"&amp;MIN(4,INT((DAY(A45)-1)/7)+1))</f>
        <v/>
      </c>
      <c r="J45" s="13">
        <f>IF(A45="","",MONTH(A45))</f>
        <v/>
      </c>
      <c r="K45" s="13">
        <f>IF(A45="","",YEAR(A45))</f>
        <v/>
      </c>
    </row>
    <row r="46">
      <c r="A46" s="18" t="n"/>
      <c r="B46" s="9" t="n"/>
      <c r="C46" s="13">
        <f>IF(B46="","",IFERROR(INDEX(Produits!$B$5:$B$44,MATCH(B46,Produits!$A$5:$A$44,0)),""))</f>
        <v/>
      </c>
      <c r="D46" s="13">
        <f>IF(B46="","",IFERROR(INDEX(Produits!$C$5:$C$44,MATCH(B46,Produits!$A$5:$A$44,0)),""))</f>
        <v/>
      </c>
      <c r="E46" s="10" t="n"/>
      <c r="F46" s="10" t="n"/>
      <c r="G46" s="10" t="n"/>
      <c r="H46" s="13">
        <f>IF(OR(F46="",G46=""),"",G46-F46)</f>
        <v/>
      </c>
      <c r="I46" s="13">
        <f>IF(A46="","","S"&amp;MIN(4,INT((DAY(A46)-1)/7)+1))</f>
        <v/>
      </c>
      <c r="J46" s="13">
        <f>IF(A46="","",MONTH(A46))</f>
        <v/>
      </c>
      <c r="K46" s="13">
        <f>IF(A46="","",YEAR(A46))</f>
        <v/>
      </c>
    </row>
    <row r="47">
      <c r="A47" s="18" t="n"/>
      <c r="B47" s="9" t="n"/>
      <c r="C47" s="13">
        <f>IF(B47="","",IFERROR(INDEX(Produits!$B$5:$B$44,MATCH(B47,Produits!$A$5:$A$44,0)),""))</f>
        <v/>
      </c>
      <c r="D47" s="13">
        <f>IF(B47="","",IFERROR(INDEX(Produits!$C$5:$C$44,MATCH(B47,Produits!$A$5:$A$44,0)),""))</f>
        <v/>
      </c>
      <c r="E47" s="10" t="n"/>
      <c r="F47" s="10" t="n"/>
      <c r="G47" s="10" t="n"/>
      <c r="H47" s="13">
        <f>IF(OR(F47="",G47=""),"",G47-F47)</f>
        <v/>
      </c>
      <c r="I47" s="13">
        <f>IF(A47="","","S"&amp;MIN(4,INT((DAY(A47)-1)/7)+1))</f>
        <v/>
      </c>
      <c r="J47" s="13">
        <f>IF(A47="","",MONTH(A47))</f>
        <v/>
      </c>
      <c r="K47" s="13">
        <f>IF(A47="","",YEAR(A47))</f>
        <v/>
      </c>
    </row>
    <row r="48">
      <c r="A48" s="18" t="n"/>
      <c r="B48" s="9" t="n"/>
      <c r="C48" s="13">
        <f>IF(B48="","",IFERROR(INDEX(Produits!$B$5:$B$44,MATCH(B48,Produits!$A$5:$A$44,0)),""))</f>
        <v/>
      </c>
      <c r="D48" s="13">
        <f>IF(B48="","",IFERROR(INDEX(Produits!$C$5:$C$44,MATCH(B48,Produits!$A$5:$A$44,0)),""))</f>
        <v/>
      </c>
      <c r="E48" s="10" t="n"/>
      <c r="F48" s="10" t="n"/>
      <c r="G48" s="10" t="n"/>
      <c r="H48" s="13">
        <f>IF(OR(F48="",G48=""),"",G48-F48)</f>
        <v/>
      </c>
      <c r="I48" s="13">
        <f>IF(A48="","","S"&amp;MIN(4,INT((DAY(A48)-1)/7)+1))</f>
        <v/>
      </c>
      <c r="J48" s="13">
        <f>IF(A48="","",MONTH(A48))</f>
        <v/>
      </c>
      <c r="K48" s="13">
        <f>IF(A48="","",YEAR(A48))</f>
        <v/>
      </c>
    </row>
    <row r="49">
      <c r="A49" s="18" t="n"/>
      <c r="B49" s="9" t="n"/>
      <c r="C49" s="13">
        <f>IF(B49="","",IFERROR(INDEX(Produits!$B$5:$B$44,MATCH(B49,Produits!$A$5:$A$44,0)),""))</f>
        <v/>
      </c>
      <c r="D49" s="13">
        <f>IF(B49="","",IFERROR(INDEX(Produits!$C$5:$C$44,MATCH(B49,Produits!$A$5:$A$44,0)),""))</f>
        <v/>
      </c>
      <c r="E49" s="10" t="n"/>
      <c r="F49" s="10" t="n"/>
      <c r="G49" s="10" t="n"/>
      <c r="H49" s="13">
        <f>IF(OR(F49="",G49=""),"",G49-F49)</f>
        <v/>
      </c>
      <c r="I49" s="13">
        <f>IF(A49="","","S"&amp;MIN(4,INT((DAY(A49)-1)/7)+1))</f>
        <v/>
      </c>
      <c r="J49" s="13">
        <f>IF(A49="","",MONTH(A49))</f>
        <v/>
      </c>
      <c r="K49" s="13">
        <f>IF(A49="","",YEAR(A49))</f>
        <v/>
      </c>
    </row>
    <row r="50">
      <c r="A50" s="18" t="n"/>
      <c r="B50" s="9" t="n"/>
      <c r="C50" s="13">
        <f>IF(B50="","",IFERROR(INDEX(Produits!$B$5:$B$44,MATCH(B50,Produits!$A$5:$A$44,0)),""))</f>
        <v/>
      </c>
      <c r="D50" s="13">
        <f>IF(B50="","",IFERROR(INDEX(Produits!$C$5:$C$44,MATCH(B50,Produits!$A$5:$A$44,0)),""))</f>
        <v/>
      </c>
      <c r="E50" s="10" t="n"/>
      <c r="F50" s="10" t="n"/>
      <c r="G50" s="10" t="n"/>
      <c r="H50" s="13">
        <f>IF(OR(F50="",G50=""),"",G50-F50)</f>
        <v/>
      </c>
      <c r="I50" s="13">
        <f>IF(A50="","","S"&amp;MIN(4,INT((DAY(A50)-1)/7)+1))</f>
        <v/>
      </c>
      <c r="J50" s="13">
        <f>IF(A50="","",MONTH(A50))</f>
        <v/>
      </c>
      <c r="K50" s="13">
        <f>IF(A50="","",YEAR(A50))</f>
        <v/>
      </c>
    </row>
    <row r="51">
      <c r="A51" s="18" t="n"/>
      <c r="B51" s="9" t="n"/>
      <c r="C51" s="13">
        <f>IF(B51="","",IFERROR(INDEX(Produits!$B$5:$B$44,MATCH(B51,Produits!$A$5:$A$44,0)),""))</f>
        <v/>
      </c>
      <c r="D51" s="13">
        <f>IF(B51="","",IFERROR(INDEX(Produits!$C$5:$C$44,MATCH(B51,Produits!$A$5:$A$44,0)),""))</f>
        <v/>
      </c>
      <c r="E51" s="10" t="n"/>
      <c r="F51" s="10" t="n"/>
      <c r="G51" s="10" t="n"/>
      <c r="H51" s="13">
        <f>IF(OR(F51="",G51=""),"",G51-F51)</f>
        <v/>
      </c>
      <c r="I51" s="13">
        <f>IF(A51="","","S"&amp;MIN(4,INT((DAY(A51)-1)/7)+1))</f>
        <v/>
      </c>
      <c r="J51" s="13">
        <f>IF(A51="","",MONTH(A51))</f>
        <v/>
      </c>
      <c r="K51" s="13">
        <f>IF(A51="","",YEAR(A51))</f>
        <v/>
      </c>
    </row>
    <row r="52">
      <c r="A52" s="18" t="n"/>
      <c r="B52" s="9" t="n"/>
      <c r="C52" s="13">
        <f>IF(B52="","",IFERROR(INDEX(Produits!$B$5:$B$44,MATCH(B52,Produits!$A$5:$A$44,0)),""))</f>
        <v/>
      </c>
      <c r="D52" s="13">
        <f>IF(B52="","",IFERROR(INDEX(Produits!$C$5:$C$44,MATCH(B52,Produits!$A$5:$A$44,0)),""))</f>
        <v/>
      </c>
      <c r="E52" s="10" t="n"/>
      <c r="F52" s="10" t="n"/>
      <c r="G52" s="10" t="n"/>
      <c r="H52" s="13">
        <f>IF(OR(F52="",G52=""),"",G52-F52)</f>
        <v/>
      </c>
      <c r="I52" s="13">
        <f>IF(A52="","","S"&amp;MIN(4,INT((DAY(A52)-1)/7)+1))</f>
        <v/>
      </c>
      <c r="J52" s="13">
        <f>IF(A52="","",MONTH(A52))</f>
        <v/>
      </c>
      <c r="K52" s="13">
        <f>IF(A52="","",YEAR(A52))</f>
        <v/>
      </c>
    </row>
    <row r="53">
      <c r="A53" s="18" t="n"/>
      <c r="B53" s="9" t="n"/>
      <c r="C53" s="13">
        <f>IF(B53="","",IFERROR(INDEX(Produits!$B$5:$B$44,MATCH(B53,Produits!$A$5:$A$44,0)),""))</f>
        <v/>
      </c>
      <c r="D53" s="13">
        <f>IF(B53="","",IFERROR(INDEX(Produits!$C$5:$C$44,MATCH(B53,Produits!$A$5:$A$44,0)),""))</f>
        <v/>
      </c>
      <c r="E53" s="10" t="n"/>
      <c r="F53" s="10" t="n"/>
      <c r="G53" s="10" t="n"/>
      <c r="H53" s="13">
        <f>IF(OR(F53="",G53=""),"",G53-F53)</f>
        <v/>
      </c>
      <c r="I53" s="13">
        <f>IF(A53="","","S"&amp;MIN(4,INT((DAY(A53)-1)/7)+1))</f>
        <v/>
      </c>
      <c r="J53" s="13">
        <f>IF(A53="","",MONTH(A53))</f>
        <v/>
      </c>
      <c r="K53" s="13">
        <f>IF(A53="","",YEAR(A53))</f>
        <v/>
      </c>
    </row>
    <row r="54">
      <c r="A54" s="18" t="n"/>
      <c r="B54" s="9" t="n"/>
      <c r="C54" s="13">
        <f>IF(B54="","",IFERROR(INDEX(Produits!$B$5:$B$44,MATCH(B54,Produits!$A$5:$A$44,0)),""))</f>
        <v/>
      </c>
      <c r="D54" s="13">
        <f>IF(B54="","",IFERROR(INDEX(Produits!$C$5:$C$44,MATCH(B54,Produits!$A$5:$A$44,0)),""))</f>
        <v/>
      </c>
      <c r="E54" s="10" t="n"/>
      <c r="F54" s="10" t="n"/>
      <c r="G54" s="10" t="n"/>
      <c r="H54" s="13">
        <f>IF(OR(F54="",G54=""),"",G54-F54)</f>
        <v/>
      </c>
      <c r="I54" s="13">
        <f>IF(A54="","","S"&amp;MIN(4,INT((DAY(A54)-1)/7)+1))</f>
        <v/>
      </c>
      <c r="J54" s="13">
        <f>IF(A54="","",MONTH(A54))</f>
        <v/>
      </c>
      <c r="K54" s="13">
        <f>IF(A54="","",YEAR(A54))</f>
        <v/>
      </c>
    </row>
    <row r="55">
      <c r="A55" s="18" t="n"/>
      <c r="B55" s="9" t="n"/>
      <c r="C55" s="13">
        <f>IF(B55="","",IFERROR(INDEX(Produits!$B$5:$B$44,MATCH(B55,Produits!$A$5:$A$44,0)),""))</f>
        <v/>
      </c>
      <c r="D55" s="13">
        <f>IF(B55="","",IFERROR(INDEX(Produits!$C$5:$C$44,MATCH(B55,Produits!$A$5:$A$44,0)),""))</f>
        <v/>
      </c>
      <c r="E55" s="10" t="n"/>
      <c r="F55" s="10" t="n"/>
      <c r="G55" s="10" t="n"/>
      <c r="H55" s="13">
        <f>IF(OR(F55="",G55=""),"",G55-F55)</f>
        <v/>
      </c>
      <c r="I55" s="13">
        <f>IF(A55="","","S"&amp;MIN(4,INT((DAY(A55)-1)/7)+1))</f>
        <v/>
      </c>
      <c r="J55" s="13">
        <f>IF(A55="","",MONTH(A55))</f>
        <v/>
      </c>
      <c r="K55" s="13">
        <f>IF(A55="","",YEAR(A55))</f>
        <v/>
      </c>
    </row>
    <row r="56">
      <c r="A56" s="18" t="n"/>
      <c r="B56" s="9" t="n"/>
      <c r="C56" s="13">
        <f>IF(B56="","",IFERROR(INDEX(Produits!$B$5:$B$44,MATCH(B56,Produits!$A$5:$A$44,0)),""))</f>
        <v/>
      </c>
      <c r="D56" s="13">
        <f>IF(B56="","",IFERROR(INDEX(Produits!$C$5:$C$44,MATCH(B56,Produits!$A$5:$A$44,0)),""))</f>
        <v/>
      </c>
      <c r="E56" s="10" t="n"/>
      <c r="F56" s="10" t="n"/>
      <c r="G56" s="10" t="n"/>
      <c r="H56" s="13">
        <f>IF(OR(F56="",G56=""),"",G56-F56)</f>
        <v/>
      </c>
      <c r="I56" s="13">
        <f>IF(A56="","","S"&amp;MIN(4,INT((DAY(A56)-1)/7)+1))</f>
        <v/>
      </c>
      <c r="J56" s="13">
        <f>IF(A56="","",MONTH(A56))</f>
        <v/>
      </c>
      <c r="K56" s="13">
        <f>IF(A56="","",YEAR(A56))</f>
        <v/>
      </c>
    </row>
    <row r="57">
      <c r="A57" s="18" t="n"/>
      <c r="B57" s="9" t="n"/>
      <c r="C57" s="13">
        <f>IF(B57="","",IFERROR(INDEX(Produits!$B$5:$B$44,MATCH(B57,Produits!$A$5:$A$44,0)),""))</f>
        <v/>
      </c>
      <c r="D57" s="13">
        <f>IF(B57="","",IFERROR(INDEX(Produits!$C$5:$C$44,MATCH(B57,Produits!$A$5:$A$44,0)),""))</f>
        <v/>
      </c>
      <c r="E57" s="10" t="n"/>
      <c r="F57" s="10" t="n"/>
      <c r="G57" s="10" t="n"/>
      <c r="H57" s="13">
        <f>IF(OR(F57="",G57=""),"",G57-F57)</f>
        <v/>
      </c>
      <c r="I57" s="13">
        <f>IF(A57="","","S"&amp;MIN(4,INT((DAY(A57)-1)/7)+1))</f>
        <v/>
      </c>
      <c r="J57" s="13">
        <f>IF(A57="","",MONTH(A57))</f>
        <v/>
      </c>
      <c r="K57" s="13">
        <f>IF(A57="","",YEAR(A57))</f>
        <v/>
      </c>
    </row>
    <row r="58">
      <c r="A58" s="18" t="n"/>
      <c r="B58" s="9" t="n"/>
      <c r="C58" s="13">
        <f>IF(B58="","",IFERROR(INDEX(Produits!$B$5:$B$44,MATCH(B58,Produits!$A$5:$A$44,0)),""))</f>
        <v/>
      </c>
      <c r="D58" s="13">
        <f>IF(B58="","",IFERROR(INDEX(Produits!$C$5:$C$44,MATCH(B58,Produits!$A$5:$A$44,0)),""))</f>
        <v/>
      </c>
      <c r="E58" s="10" t="n"/>
      <c r="F58" s="10" t="n"/>
      <c r="G58" s="10" t="n"/>
      <c r="H58" s="13">
        <f>IF(OR(F58="",G58=""),"",G58-F58)</f>
        <v/>
      </c>
      <c r="I58" s="13">
        <f>IF(A58="","","S"&amp;MIN(4,INT((DAY(A58)-1)/7)+1))</f>
        <v/>
      </c>
      <c r="J58" s="13">
        <f>IF(A58="","",MONTH(A58))</f>
        <v/>
      </c>
      <c r="K58" s="13">
        <f>IF(A58="","",YEAR(A58))</f>
        <v/>
      </c>
    </row>
    <row r="59">
      <c r="A59" s="18" t="n"/>
      <c r="B59" s="9" t="n"/>
      <c r="C59" s="13">
        <f>IF(B59="","",IFERROR(INDEX(Produits!$B$5:$B$44,MATCH(B59,Produits!$A$5:$A$44,0)),""))</f>
        <v/>
      </c>
      <c r="D59" s="13">
        <f>IF(B59="","",IFERROR(INDEX(Produits!$C$5:$C$44,MATCH(B59,Produits!$A$5:$A$44,0)),""))</f>
        <v/>
      </c>
      <c r="E59" s="10" t="n"/>
      <c r="F59" s="10" t="n"/>
      <c r="G59" s="10" t="n"/>
      <c r="H59" s="13">
        <f>IF(OR(F59="",G59=""),"",G59-F59)</f>
        <v/>
      </c>
      <c r="I59" s="13">
        <f>IF(A59="","","S"&amp;MIN(4,INT((DAY(A59)-1)/7)+1))</f>
        <v/>
      </c>
      <c r="J59" s="13">
        <f>IF(A59="","",MONTH(A59))</f>
        <v/>
      </c>
      <c r="K59" s="13">
        <f>IF(A59="","",YEAR(A59))</f>
        <v/>
      </c>
    </row>
    <row r="60">
      <c r="A60" s="18" t="n"/>
      <c r="B60" s="9" t="n"/>
      <c r="C60" s="13">
        <f>IF(B60="","",IFERROR(INDEX(Produits!$B$5:$B$44,MATCH(B60,Produits!$A$5:$A$44,0)),""))</f>
        <v/>
      </c>
      <c r="D60" s="13">
        <f>IF(B60="","",IFERROR(INDEX(Produits!$C$5:$C$44,MATCH(B60,Produits!$A$5:$A$44,0)),""))</f>
        <v/>
      </c>
      <c r="E60" s="10" t="n"/>
      <c r="F60" s="10" t="n"/>
      <c r="G60" s="10" t="n"/>
      <c r="H60" s="13">
        <f>IF(OR(F60="",G60=""),"",G60-F60)</f>
        <v/>
      </c>
      <c r="I60" s="13">
        <f>IF(A60="","","S"&amp;MIN(4,INT((DAY(A60)-1)/7)+1))</f>
        <v/>
      </c>
      <c r="J60" s="13">
        <f>IF(A60="","",MONTH(A60))</f>
        <v/>
      </c>
      <c r="K60" s="13">
        <f>IF(A60="","",YEAR(A60))</f>
        <v/>
      </c>
    </row>
    <row r="61">
      <c r="A61" s="18" t="n"/>
      <c r="B61" s="9" t="n"/>
      <c r="C61" s="13">
        <f>IF(B61="","",IFERROR(INDEX(Produits!$B$5:$B$44,MATCH(B61,Produits!$A$5:$A$44,0)),""))</f>
        <v/>
      </c>
      <c r="D61" s="13">
        <f>IF(B61="","",IFERROR(INDEX(Produits!$C$5:$C$44,MATCH(B61,Produits!$A$5:$A$44,0)),""))</f>
        <v/>
      </c>
      <c r="E61" s="10" t="n"/>
      <c r="F61" s="10" t="n"/>
      <c r="G61" s="10" t="n"/>
      <c r="H61" s="13">
        <f>IF(OR(F61="",G61=""),"",G61-F61)</f>
        <v/>
      </c>
      <c r="I61" s="13">
        <f>IF(A61="","","S"&amp;MIN(4,INT((DAY(A61)-1)/7)+1))</f>
        <v/>
      </c>
      <c r="J61" s="13">
        <f>IF(A61="","",MONTH(A61))</f>
        <v/>
      </c>
      <c r="K61" s="13">
        <f>IF(A61="","",YEAR(A61))</f>
        <v/>
      </c>
    </row>
    <row r="62">
      <c r="A62" s="18" t="n"/>
      <c r="B62" s="9" t="n"/>
      <c r="C62" s="13">
        <f>IF(B62="","",IFERROR(INDEX(Produits!$B$5:$B$44,MATCH(B62,Produits!$A$5:$A$44,0)),""))</f>
        <v/>
      </c>
      <c r="D62" s="13">
        <f>IF(B62="","",IFERROR(INDEX(Produits!$C$5:$C$44,MATCH(B62,Produits!$A$5:$A$44,0)),""))</f>
        <v/>
      </c>
      <c r="E62" s="10" t="n"/>
      <c r="F62" s="10" t="n"/>
      <c r="G62" s="10" t="n"/>
      <c r="H62" s="13">
        <f>IF(OR(F62="",G62=""),"",G62-F62)</f>
        <v/>
      </c>
      <c r="I62" s="13">
        <f>IF(A62="","","S"&amp;MIN(4,INT((DAY(A62)-1)/7)+1))</f>
        <v/>
      </c>
      <c r="J62" s="13">
        <f>IF(A62="","",MONTH(A62))</f>
        <v/>
      </c>
      <c r="K62" s="13">
        <f>IF(A62="","",YEAR(A62))</f>
        <v/>
      </c>
    </row>
    <row r="63">
      <c r="A63" s="18" t="n"/>
      <c r="B63" s="9" t="n"/>
      <c r="C63" s="13">
        <f>IF(B63="","",IFERROR(INDEX(Produits!$B$5:$B$44,MATCH(B63,Produits!$A$5:$A$44,0)),""))</f>
        <v/>
      </c>
      <c r="D63" s="13">
        <f>IF(B63="","",IFERROR(INDEX(Produits!$C$5:$C$44,MATCH(B63,Produits!$A$5:$A$44,0)),""))</f>
        <v/>
      </c>
      <c r="E63" s="10" t="n"/>
      <c r="F63" s="10" t="n"/>
      <c r="G63" s="10" t="n"/>
      <c r="H63" s="13">
        <f>IF(OR(F63="",G63=""),"",G63-F63)</f>
        <v/>
      </c>
      <c r="I63" s="13">
        <f>IF(A63="","","S"&amp;MIN(4,INT((DAY(A63)-1)/7)+1))</f>
        <v/>
      </c>
      <c r="J63" s="13">
        <f>IF(A63="","",MONTH(A63))</f>
        <v/>
      </c>
      <c r="K63" s="13">
        <f>IF(A63="","",YEAR(A63))</f>
        <v/>
      </c>
    </row>
    <row r="64">
      <c r="A64" s="18" t="n"/>
      <c r="B64" s="9" t="n"/>
      <c r="C64" s="13">
        <f>IF(B64="","",IFERROR(INDEX(Produits!$B$5:$B$44,MATCH(B64,Produits!$A$5:$A$44,0)),""))</f>
        <v/>
      </c>
      <c r="D64" s="13">
        <f>IF(B64="","",IFERROR(INDEX(Produits!$C$5:$C$44,MATCH(B64,Produits!$A$5:$A$44,0)),""))</f>
        <v/>
      </c>
      <c r="E64" s="10" t="n"/>
      <c r="F64" s="10" t="n"/>
      <c r="G64" s="10" t="n"/>
      <c r="H64" s="13">
        <f>IF(OR(F64="",G64=""),"",G64-F64)</f>
        <v/>
      </c>
      <c r="I64" s="13">
        <f>IF(A64="","","S"&amp;MIN(4,INT((DAY(A64)-1)/7)+1))</f>
        <v/>
      </c>
      <c r="J64" s="13">
        <f>IF(A64="","",MONTH(A64))</f>
        <v/>
      </c>
      <c r="K64" s="13">
        <f>IF(A64="","",YEAR(A64))</f>
        <v/>
      </c>
    </row>
    <row r="65">
      <c r="A65" s="18" t="n"/>
      <c r="B65" s="9" t="n"/>
      <c r="C65" s="13">
        <f>IF(B65="","",IFERROR(INDEX(Produits!$B$5:$B$44,MATCH(B65,Produits!$A$5:$A$44,0)),""))</f>
        <v/>
      </c>
      <c r="D65" s="13">
        <f>IF(B65="","",IFERROR(INDEX(Produits!$C$5:$C$44,MATCH(B65,Produits!$A$5:$A$44,0)),""))</f>
        <v/>
      </c>
      <c r="E65" s="10" t="n"/>
      <c r="F65" s="10" t="n"/>
      <c r="G65" s="10" t="n"/>
      <c r="H65" s="13">
        <f>IF(OR(F65="",G65=""),"",G65-F65)</f>
        <v/>
      </c>
      <c r="I65" s="13">
        <f>IF(A65="","","S"&amp;MIN(4,INT((DAY(A65)-1)/7)+1))</f>
        <v/>
      </c>
      <c r="J65" s="13">
        <f>IF(A65="","",MONTH(A65))</f>
        <v/>
      </c>
      <c r="K65" s="13">
        <f>IF(A65="","",YEAR(A65))</f>
        <v/>
      </c>
    </row>
    <row r="66">
      <c r="A66" s="18" t="n"/>
      <c r="B66" s="9" t="n"/>
      <c r="C66" s="13">
        <f>IF(B66="","",IFERROR(INDEX(Produits!$B$5:$B$44,MATCH(B66,Produits!$A$5:$A$44,0)),""))</f>
        <v/>
      </c>
      <c r="D66" s="13">
        <f>IF(B66="","",IFERROR(INDEX(Produits!$C$5:$C$44,MATCH(B66,Produits!$A$5:$A$44,0)),""))</f>
        <v/>
      </c>
      <c r="E66" s="10" t="n"/>
      <c r="F66" s="10" t="n"/>
      <c r="G66" s="10" t="n"/>
      <c r="H66" s="13">
        <f>IF(OR(F66="",G66=""),"",G66-F66)</f>
        <v/>
      </c>
      <c r="I66" s="13">
        <f>IF(A66="","","S"&amp;MIN(4,INT((DAY(A66)-1)/7)+1))</f>
        <v/>
      </c>
      <c r="J66" s="13">
        <f>IF(A66="","",MONTH(A66))</f>
        <v/>
      </c>
      <c r="K66" s="13">
        <f>IF(A66="","",YEAR(A66))</f>
        <v/>
      </c>
    </row>
    <row r="67">
      <c r="A67" s="18" t="n"/>
      <c r="B67" s="9" t="n"/>
      <c r="C67" s="13">
        <f>IF(B67="","",IFERROR(INDEX(Produits!$B$5:$B$44,MATCH(B67,Produits!$A$5:$A$44,0)),""))</f>
        <v/>
      </c>
      <c r="D67" s="13">
        <f>IF(B67="","",IFERROR(INDEX(Produits!$C$5:$C$44,MATCH(B67,Produits!$A$5:$A$44,0)),""))</f>
        <v/>
      </c>
      <c r="E67" s="10" t="n"/>
      <c r="F67" s="10" t="n"/>
      <c r="G67" s="10" t="n"/>
      <c r="H67" s="13">
        <f>IF(OR(F67="",G67=""),"",G67-F67)</f>
        <v/>
      </c>
      <c r="I67" s="13">
        <f>IF(A67="","","S"&amp;MIN(4,INT((DAY(A67)-1)/7)+1))</f>
        <v/>
      </c>
      <c r="J67" s="13">
        <f>IF(A67="","",MONTH(A67))</f>
        <v/>
      </c>
      <c r="K67" s="13">
        <f>IF(A67="","",YEAR(A67))</f>
        <v/>
      </c>
    </row>
    <row r="68">
      <c r="A68" s="18" t="n"/>
      <c r="B68" s="9" t="n"/>
      <c r="C68" s="13">
        <f>IF(B68="","",IFERROR(INDEX(Produits!$B$5:$B$44,MATCH(B68,Produits!$A$5:$A$44,0)),""))</f>
        <v/>
      </c>
      <c r="D68" s="13">
        <f>IF(B68="","",IFERROR(INDEX(Produits!$C$5:$C$44,MATCH(B68,Produits!$A$5:$A$44,0)),""))</f>
        <v/>
      </c>
      <c r="E68" s="10" t="n"/>
      <c r="F68" s="10" t="n"/>
      <c r="G68" s="10" t="n"/>
      <c r="H68" s="13">
        <f>IF(OR(F68="",G68=""),"",G68-F68)</f>
        <v/>
      </c>
      <c r="I68" s="13">
        <f>IF(A68="","","S"&amp;MIN(4,INT((DAY(A68)-1)/7)+1))</f>
        <v/>
      </c>
      <c r="J68" s="13">
        <f>IF(A68="","",MONTH(A68))</f>
        <v/>
      </c>
      <c r="K68" s="13">
        <f>IF(A68="","",YEAR(A68))</f>
        <v/>
      </c>
    </row>
    <row r="69">
      <c r="A69" s="18" t="n"/>
      <c r="B69" s="9" t="n"/>
      <c r="C69" s="13">
        <f>IF(B69="","",IFERROR(INDEX(Produits!$B$5:$B$44,MATCH(B69,Produits!$A$5:$A$44,0)),""))</f>
        <v/>
      </c>
      <c r="D69" s="13">
        <f>IF(B69="","",IFERROR(INDEX(Produits!$C$5:$C$44,MATCH(B69,Produits!$A$5:$A$44,0)),""))</f>
        <v/>
      </c>
      <c r="E69" s="10" t="n"/>
      <c r="F69" s="10" t="n"/>
      <c r="G69" s="10" t="n"/>
      <c r="H69" s="13">
        <f>IF(OR(F69="",G69=""),"",G69-F69)</f>
        <v/>
      </c>
      <c r="I69" s="13">
        <f>IF(A69="","","S"&amp;MIN(4,INT((DAY(A69)-1)/7)+1))</f>
        <v/>
      </c>
      <c r="J69" s="13">
        <f>IF(A69="","",MONTH(A69))</f>
        <v/>
      </c>
      <c r="K69" s="13">
        <f>IF(A69="","",YEAR(A69))</f>
        <v/>
      </c>
    </row>
    <row r="70">
      <c r="A70" s="18" t="n"/>
      <c r="B70" s="9" t="n"/>
      <c r="C70" s="13">
        <f>IF(B70="","",IFERROR(INDEX(Produits!$B$5:$B$44,MATCH(B70,Produits!$A$5:$A$44,0)),""))</f>
        <v/>
      </c>
      <c r="D70" s="13">
        <f>IF(B70="","",IFERROR(INDEX(Produits!$C$5:$C$44,MATCH(B70,Produits!$A$5:$A$44,0)),""))</f>
        <v/>
      </c>
      <c r="E70" s="10" t="n"/>
      <c r="F70" s="10" t="n"/>
      <c r="G70" s="10" t="n"/>
      <c r="H70" s="13">
        <f>IF(OR(F70="",G70=""),"",G70-F70)</f>
        <v/>
      </c>
      <c r="I70" s="13">
        <f>IF(A70="","","S"&amp;MIN(4,INT((DAY(A70)-1)/7)+1))</f>
        <v/>
      </c>
      <c r="J70" s="13">
        <f>IF(A70="","",MONTH(A70))</f>
        <v/>
      </c>
      <c r="K70" s="13">
        <f>IF(A70="","",YEAR(A70))</f>
        <v/>
      </c>
    </row>
    <row r="71">
      <c r="A71" s="18" t="n"/>
      <c r="B71" s="9" t="n"/>
      <c r="C71" s="13">
        <f>IF(B71="","",IFERROR(INDEX(Produits!$B$5:$B$44,MATCH(B71,Produits!$A$5:$A$44,0)),""))</f>
        <v/>
      </c>
      <c r="D71" s="13">
        <f>IF(B71="","",IFERROR(INDEX(Produits!$C$5:$C$44,MATCH(B71,Produits!$A$5:$A$44,0)),""))</f>
        <v/>
      </c>
      <c r="E71" s="10" t="n"/>
      <c r="F71" s="10" t="n"/>
      <c r="G71" s="10" t="n"/>
      <c r="H71" s="13">
        <f>IF(OR(F71="",G71=""),"",G71-F71)</f>
        <v/>
      </c>
      <c r="I71" s="13">
        <f>IF(A71="","","S"&amp;MIN(4,INT((DAY(A71)-1)/7)+1))</f>
        <v/>
      </c>
      <c r="J71" s="13">
        <f>IF(A71="","",MONTH(A71))</f>
        <v/>
      </c>
      <c r="K71" s="13">
        <f>IF(A71="","",YEAR(A71))</f>
        <v/>
      </c>
    </row>
    <row r="72">
      <c r="A72" s="18" t="n"/>
      <c r="B72" s="9" t="n"/>
      <c r="C72" s="13">
        <f>IF(B72="","",IFERROR(INDEX(Produits!$B$5:$B$44,MATCH(B72,Produits!$A$5:$A$44,0)),""))</f>
        <v/>
      </c>
      <c r="D72" s="13">
        <f>IF(B72="","",IFERROR(INDEX(Produits!$C$5:$C$44,MATCH(B72,Produits!$A$5:$A$44,0)),""))</f>
        <v/>
      </c>
      <c r="E72" s="10" t="n"/>
      <c r="F72" s="10" t="n"/>
      <c r="G72" s="10" t="n"/>
      <c r="H72" s="13">
        <f>IF(OR(F72="",G72=""),"",G72-F72)</f>
        <v/>
      </c>
      <c r="I72" s="13">
        <f>IF(A72="","","S"&amp;MIN(4,INT((DAY(A72)-1)/7)+1))</f>
        <v/>
      </c>
      <c r="J72" s="13">
        <f>IF(A72="","",MONTH(A72))</f>
        <v/>
      </c>
      <c r="K72" s="13">
        <f>IF(A72="","",YEAR(A72))</f>
        <v/>
      </c>
    </row>
    <row r="73">
      <c r="A73" s="18" t="n"/>
      <c r="B73" s="9" t="n"/>
      <c r="C73" s="13">
        <f>IF(B73="","",IFERROR(INDEX(Produits!$B$5:$B$44,MATCH(B73,Produits!$A$5:$A$44,0)),""))</f>
        <v/>
      </c>
      <c r="D73" s="13">
        <f>IF(B73="","",IFERROR(INDEX(Produits!$C$5:$C$44,MATCH(B73,Produits!$A$5:$A$44,0)),""))</f>
        <v/>
      </c>
      <c r="E73" s="10" t="n"/>
      <c r="F73" s="10" t="n"/>
      <c r="G73" s="10" t="n"/>
      <c r="H73" s="13">
        <f>IF(OR(F73="",G73=""),"",G73-F73)</f>
        <v/>
      </c>
      <c r="I73" s="13">
        <f>IF(A73="","","S"&amp;MIN(4,INT((DAY(A73)-1)/7)+1))</f>
        <v/>
      </c>
      <c r="J73" s="13">
        <f>IF(A73="","",MONTH(A73))</f>
        <v/>
      </c>
      <c r="K73" s="13">
        <f>IF(A73="","",YEAR(A73))</f>
        <v/>
      </c>
    </row>
    <row r="74">
      <c r="A74" s="18" t="n"/>
      <c r="B74" s="9" t="n"/>
      <c r="C74" s="13">
        <f>IF(B74="","",IFERROR(INDEX(Produits!$B$5:$B$44,MATCH(B74,Produits!$A$5:$A$44,0)),""))</f>
        <v/>
      </c>
      <c r="D74" s="13">
        <f>IF(B74="","",IFERROR(INDEX(Produits!$C$5:$C$44,MATCH(B74,Produits!$A$5:$A$44,0)),""))</f>
        <v/>
      </c>
      <c r="E74" s="10" t="n"/>
      <c r="F74" s="10" t="n"/>
      <c r="G74" s="10" t="n"/>
      <c r="H74" s="13">
        <f>IF(OR(F74="",G74=""),"",G74-F74)</f>
        <v/>
      </c>
      <c r="I74" s="13">
        <f>IF(A74="","","S"&amp;MIN(4,INT((DAY(A74)-1)/7)+1))</f>
        <v/>
      </c>
      <c r="J74" s="13">
        <f>IF(A74="","",MONTH(A74))</f>
        <v/>
      </c>
      <c r="K74" s="13">
        <f>IF(A74="","",YEAR(A74))</f>
        <v/>
      </c>
    </row>
    <row r="75">
      <c r="A75" s="18" t="n"/>
      <c r="B75" s="9" t="n"/>
      <c r="C75" s="13">
        <f>IF(B75="","",IFERROR(INDEX(Produits!$B$5:$B$44,MATCH(B75,Produits!$A$5:$A$44,0)),""))</f>
        <v/>
      </c>
      <c r="D75" s="13">
        <f>IF(B75="","",IFERROR(INDEX(Produits!$C$5:$C$44,MATCH(B75,Produits!$A$5:$A$44,0)),""))</f>
        <v/>
      </c>
      <c r="E75" s="10" t="n"/>
      <c r="F75" s="10" t="n"/>
      <c r="G75" s="10" t="n"/>
      <c r="H75" s="13">
        <f>IF(OR(F75="",G75=""),"",G75-F75)</f>
        <v/>
      </c>
      <c r="I75" s="13">
        <f>IF(A75="","","S"&amp;MIN(4,INT((DAY(A75)-1)/7)+1))</f>
        <v/>
      </c>
      <c r="J75" s="13">
        <f>IF(A75="","",MONTH(A75))</f>
        <v/>
      </c>
      <c r="K75" s="13">
        <f>IF(A75="","",YEAR(A75))</f>
        <v/>
      </c>
    </row>
    <row r="76">
      <c r="A76" s="18" t="n"/>
      <c r="B76" s="9" t="n"/>
      <c r="C76" s="13">
        <f>IF(B76="","",IFERROR(INDEX(Produits!$B$5:$B$44,MATCH(B76,Produits!$A$5:$A$44,0)),""))</f>
        <v/>
      </c>
      <c r="D76" s="13">
        <f>IF(B76="","",IFERROR(INDEX(Produits!$C$5:$C$44,MATCH(B76,Produits!$A$5:$A$44,0)),""))</f>
        <v/>
      </c>
      <c r="E76" s="10" t="n"/>
      <c r="F76" s="10" t="n"/>
      <c r="G76" s="10" t="n"/>
      <c r="H76" s="13">
        <f>IF(OR(F76="",G76=""),"",G76-F76)</f>
        <v/>
      </c>
      <c r="I76" s="13">
        <f>IF(A76="","","S"&amp;MIN(4,INT((DAY(A76)-1)/7)+1))</f>
        <v/>
      </c>
      <c r="J76" s="13">
        <f>IF(A76="","",MONTH(A76))</f>
        <v/>
      </c>
      <c r="K76" s="13">
        <f>IF(A76="","",YEAR(A76))</f>
        <v/>
      </c>
    </row>
    <row r="77">
      <c r="A77" s="18" t="n"/>
      <c r="B77" s="9" t="n"/>
      <c r="C77" s="13">
        <f>IF(B77="","",IFERROR(INDEX(Produits!$B$5:$B$44,MATCH(B77,Produits!$A$5:$A$44,0)),""))</f>
        <v/>
      </c>
      <c r="D77" s="13">
        <f>IF(B77="","",IFERROR(INDEX(Produits!$C$5:$C$44,MATCH(B77,Produits!$A$5:$A$44,0)),""))</f>
        <v/>
      </c>
      <c r="E77" s="10" t="n"/>
      <c r="F77" s="10" t="n"/>
      <c r="G77" s="10" t="n"/>
      <c r="H77" s="13">
        <f>IF(OR(F77="",G77=""),"",G77-F77)</f>
        <v/>
      </c>
      <c r="I77" s="13">
        <f>IF(A77="","","S"&amp;MIN(4,INT((DAY(A77)-1)/7)+1))</f>
        <v/>
      </c>
      <c r="J77" s="13">
        <f>IF(A77="","",MONTH(A77))</f>
        <v/>
      </c>
      <c r="K77" s="13">
        <f>IF(A77="","",YEAR(A77))</f>
        <v/>
      </c>
    </row>
    <row r="78">
      <c r="A78" s="18" t="n"/>
      <c r="B78" s="9" t="n"/>
      <c r="C78" s="13">
        <f>IF(B78="","",IFERROR(INDEX(Produits!$B$5:$B$44,MATCH(B78,Produits!$A$5:$A$44,0)),""))</f>
        <v/>
      </c>
      <c r="D78" s="13">
        <f>IF(B78="","",IFERROR(INDEX(Produits!$C$5:$C$44,MATCH(B78,Produits!$A$5:$A$44,0)),""))</f>
        <v/>
      </c>
      <c r="E78" s="10" t="n"/>
      <c r="F78" s="10" t="n"/>
      <c r="G78" s="10" t="n"/>
      <c r="H78" s="13">
        <f>IF(OR(F78="",G78=""),"",G78-F78)</f>
        <v/>
      </c>
      <c r="I78" s="13">
        <f>IF(A78="","","S"&amp;MIN(4,INT((DAY(A78)-1)/7)+1))</f>
        <v/>
      </c>
      <c r="J78" s="13">
        <f>IF(A78="","",MONTH(A78))</f>
        <v/>
      </c>
      <c r="K78" s="13">
        <f>IF(A78="","",YEAR(A78))</f>
        <v/>
      </c>
    </row>
    <row r="79">
      <c r="A79" s="18" t="n"/>
      <c r="B79" s="9" t="n"/>
      <c r="C79" s="13">
        <f>IF(B79="","",IFERROR(INDEX(Produits!$B$5:$B$44,MATCH(B79,Produits!$A$5:$A$44,0)),""))</f>
        <v/>
      </c>
      <c r="D79" s="13">
        <f>IF(B79="","",IFERROR(INDEX(Produits!$C$5:$C$44,MATCH(B79,Produits!$A$5:$A$44,0)),""))</f>
        <v/>
      </c>
      <c r="E79" s="10" t="n"/>
      <c r="F79" s="10" t="n"/>
      <c r="G79" s="10" t="n"/>
      <c r="H79" s="13">
        <f>IF(OR(F79="",G79=""),"",G79-F79)</f>
        <v/>
      </c>
      <c r="I79" s="13">
        <f>IF(A79="","","S"&amp;MIN(4,INT((DAY(A79)-1)/7)+1))</f>
        <v/>
      </c>
      <c r="J79" s="13">
        <f>IF(A79="","",MONTH(A79))</f>
        <v/>
      </c>
      <c r="K79" s="13">
        <f>IF(A79="","",YEAR(A79))</f>
        <v/>
      </c>
    </row>
    <row r="80">
      <c r="A80" s="18" t="n"/>
      <c r="B80" s="9" t="n"/>
      <c r="C80" s="13">
        <f>IF(B80="","",IFERROR(INDEX(Produits!$B$5:$B$44,MATCH(B80,Produits!$A$5:$A$44,0)),""))</f>
        <v/>
      </c>
      <c r="D80" s="13">
        <f>IF(B80="","",IFERROR(INDEX(Produits!$C$5:$C$44,MATCH(B80,Produits!$A$5:$A$44,0)),""))</f>
        <v/>
      </c>
      <c r="E80" s="10" t="n"/>
      <c r="F80" s="10" t="n"/>
      <c r="G80" s="10" t="n"/>
      <c r="H80" s="13">
        <f>IF(OR(F80="",G80=""),"",G80-F80)</f>
        <v/>
      </c>
      <c r="I80" s="13">
        <f>IF(A80="","","S"&amp;MIN(4,INT((DAY(A80)-1)/7)+1))</f>
        <v/>
      </c>
      <c r="J80" s="13">
        <f>IF(A80="","",MONTH(A80))</f>
        <v/>
      </c>
      <c r="K80" s="13">
        <f>IF(A80="","",YEAR(A80))</f>
        <v/>
      </c>
    </row>
    <row r="81">
      <c r="A81" s="18" t="n"/>
      <c r="B81" s="9" t="n"/>
      <c r="C81" s="13">
        <f>IF(B81="","",IFERROR(INDEX(Produits!$B$5:$B$44,MATCH(B81,Produits!$A$5:$A$44,0)),""))</f>
        <v/>
      </c>
      <c r="D81" s="13">
        <f>IF(B81="","",IFERROR(INDEX(Produits!$C$5:$C$44,MATCH(B81,Produits!$A$5:$A$44,0)),""))</f>
        <v/>
      </c>
      <c r="E81" s="10" t="n"/>
      <c r="F81" s="10" t="n"/>
      <c r="G81" s="10" t="n"/>
      <c r="H81" s="13">
        <f>IF(OR(F81="",G81=""),"",G81-F81)</f>
        <v/>
      </c>
      <c r="I81" s="13">
        <f>IF(A81="","","S"&amp;MIN(4,INT((DAY(A81)-1)/7)+1))</f>
        <v/>
      </c>
      <c r="J81" s="13">
        <f>IF(A81="","",MONTH(A81))</f>
        <v/>
      </c>
      <c r="K81" s="13">
        <f>IF(A81="","",YEAR(A81))</f>
        <v/>
      </c>
    </row>
    <row r="82">
      <c r="A82" s="18" t="n"/>
      <c r="B82" s="9" t="n"/>
      <c r="C82" s="13">
        <f>IF(B82="","",IFERROR(INDEX(Produits!$B$5:$B$44,MATCH(B82,Produits!$A$5:$A$44,0)),""))</f>
        <v/>
      </c>
      <c r="D82" s="13">
        <f>IF(B82="","",IFERROR(INDEX(Produits!$C$5:$C$44,MATCH(B82,Produits!$A$5:$A$44,0)),""))</f>
        <v/>
      </c>
      <c r="E82" s="10" t="n"/>
      <c r="F82" s="10" t="n"/>
      <c r="G82" s="10" t="n"/>
      <c r="H82" s="13">
        <f>IF(OR(F82="",G82=""),"",G82-F82)</f>
        <v/>
      </c>
      <c r="I82" s="13">
        <f>IF(A82="","","S"&amp;MIN(4,INT((DAY(A82)-1)/7)+1))</f>
        <v/>
      </c>
      <c r="J82" s="13">
        <f>IF(A82="","",MONTH(A82))</f>
        <v/>
      </c>
      <c r="K82" s="13">
        <f>IF(A82="","",YEAR(A82))</f>
        <v/>
      </c>
    </row>
    <row r="83">
      <c r="A83" s="18" t="n"/>
      <c r="B83" s="9" t="n"/>
      <c r="C83" s="13">
        <f>IF(B83="","",IFERROR(INDEX(Produits!$B$5:$B$44,MATCH(B83,Produits!$A$5:$A$44,0)),""))</f>
        <v/>
      </c>
      <c r="D83" s="13">
        <f>IF(B83="","",IFERROR(INDEX(Produits!$C$5:$C$44,MATCH(B83,Produits!$A$5:$A$44,0)),""))</f>
        <v/>
      </c>
      <c r="E83" s="10" t="n"/>
      <c r="F83" s="10" t="n"/>
      <c r="G83" s="10" t="n"/>
      <c r="H83" s="13">
        <f>IF(OR(F83="",G83=""),"",G83-F83)</f>
        <v/>
      </c>
      <c r="I83" s="13">
        <f>IF(A83="","","S"&amp;MIN(4,INT((DAY(A83)-1)/7)+1))</f>
        <v/>
      </c>
      <c r="J83" s="13">
        <f>IF(A83="","",MONTH(A83))</f>
        <v/>
      </c>
      <c r="K83" s="13">
        <f>IF(A83="","",YEAR(A83))</f>
        <v/>
      </c>
    </row>
    <row r="84">
      <c r="A84" s="18" t="n"/>
      <c r="B84" s="9" t="n"/>
      <c r="C84" s="13">
        <f>IF(B84="","",IFERROR(INDEX(Produits!$B$5:$B$44,MATCH(B84,Produits!$A$5:$A$44,0)),""))</f>
        <v/>
      </c>
      <c r="D84" s="13">
        <f>IF(B84="","",IFERROR(INDEX(Produits!$C$5:$C$44,MATCH(B84,Produits!$A$5:$A$44,0)),""))</f>
        <v/>
      </c>
      <c r="E84" s="10" t="n"/>
      <c r="F84" s="10" t="n"/>
      <c r="G84" s="10" t="n"/>
      <c r="H84" s="13">
        <f>IF(OR(F84="",G84=""),"",G84-F84)</f>
        <v/>
      </c>
      <c r="I84" s="13">
        <f>IF(A84="","","S"&amp;MIN(4,INT((DAY(A84)-1)/7)+1))</f>
        <v/>
      </c>
      <c r="J84" s="13">
        <f>IF(A84="","",MONTH(A84))</f>
        <v/>
      </c>
      <c r="K84" s="13">
        <f>IF(A84="","",YEAR(A84))</f>
        <v/>
      </c>
    </row>
    <row r="85">
      <c r="A85" s="18" t="n"/>
      <c r="B85" s="9" t="n"/>
      <c r="C85" s="13">
        <f>IF(B85="","",IFERROR(INDEX(Produits!$B$5:$B$44,MATCH(B85,Produits!$A$5:$A$44,0)),""))</f>
        <v/>
      </c>
      <c r="D85" s="13">
        <f>IF(B85="","",IFERROR(INDEX(Produits!$C$5:$C$44,MATCH(B85,Produits!$A$5:$A$44,0)),""))</f>
        <v/>
      </c>
      <c r="E85" s="10" t="n"/>
      <c r="F85" s="10" t="n"/>
      <c r="G85" s="10" t="n"/>
      <c r="H85" s="13">
        <f>IF(OR(F85="",G85=""),"",G85-F85)</f>
        <v/>
      </c>
      <c r="I85" s="13">
        <f>IF(A85="","","S"&amp;MIN(4,INT((DAY(A85)-1)/7)+1))</f>
        <v/>
      </c>
      <c r="J85" s="13">
        <f>IF(A85="","",MONTH(A85))</f>
        <v/>
      </c>
      <c r="K85" s="13">
        <f>IF(A85="","",YEAR(A85))</f>
        <v/>
      </c>
    </row>
    <row r="86">
      <c r="A86" s="18" t="n"/>
      <c r="B86" s="9" t="n"/>
      <c r="C86" s="13">
        <f>IF(B86="","",IFERROR(INDEX(Produits!$B$5:$B$44,MATCH(B86,Produits!$A$5:$A$44,0)),""))</f>
        <v/>
      </c>
      <c r="D86" s="13">
        <f>IF(B86="","",IFERROR(INDEX(Produits!$C$5:$C$44,MATCH(B86,Produits!$A$5:$A$44,0)),""))</f>
        <v/>
      </c>
      <c r="E86" s="10" t="n"/>
      <c r="F86" s="10" t="n"/>
      <c r="G86" s="10" t="n"/>
      <c r="H86" s="13">
        <f>IF(OR(F86="",G86=""),"",G86-F86)</f>
        <v/>
      </c>
      <c r="I86" s="13">
        <f>IF(A86="","","S"&amp;MIN(4,INT((DAY(A86)-1)/7)+1))</f>
        <v/>
      </c>
      <c r="J86" s="13">
        <f>IF(A86="","",MONTH(A86))</f>
        <v/>
      </c>
      <c r="K86" s="13">
        <f>IF(A86="","",YEAR(A86))</f>
        <v/>
      </c>
    </row>
    <row r="87">
      <c r="A87" s="18" t="n"/>
      <c r="B87" s="9" t="n"/>
      <c r="C87" s="13">
        <f>IF(B87="","",IFERROR(INDEX(Produits!$B$5:$B$44,MATCH(B87,Produits!$A$5:$A$44,0)),""))</f>
        <v/>
      </c>
      <c r="D87" s="13">
        <f>IF(B87="","",IFERROR(INDEX(Produits!$C$5:$C$44,MATCH(B87,Produits!$A$5:$A$44,0)),""))</f>
        <v/>
      </c>
      <c r="E87" s="10" t="n"/>
      <c r="F87" s="10" t="n"/>
      <c r="G87" s="10" t="n"/>
      <c r="H87" s="13">
        <f>IF(OR(F87="",G87=""),"",G87-F87)</f>
        <v/>
      </c>
      <c r="I87" s="13">
        <f>IF(A87="","","S"&amp;MIN(4,INT((DAY(A87)-1)/7)+1))</f>
        <v/>
      </c>
      <c r="J87" s="13">
        <f>IF(A87="","",MONTH(A87))</f>
        <v/>
      </c>
      <c r="K87" s="13">
        <f>IF(A87="","",YEAR(A87))</f>
        <v/>
      </c>
    </row>
    <row r="88">
      <c r="A88" s="18" t="n"/>
      <c r="B88" s="9" t="n"/>
      <c r="C88" s="13">
        <f>IF(B88="","",IFERROR(INDEX(Produits!$B$5:$B$44,MATCH(B88,Produits!$A$5:$A$44,0)),""))</f>
        <v/>
      </c>
      <c r="D88" s="13">
        <f>IF(B88="","",IFERROR(INDEX(Produits!$C$5:$C$44,MATCH(B88,Produits!$A$5:$A$44,0)),""))</f>
        <v/>
      </c>
      <c r="E88" s="10" t="n"/>
      <c r="F88" s="10" t="n"/>
      <c r="G88" s="10" t="n"/>
      <c r="H88" s="13">
        <f>IF(OR(F88="",G88=""),"",G88-F88)</f>
        <v/>
      </c>
      <c r="I88" s="13">
        <f>IF(A88="","","S"&amp;MIN(4,INT((DAY(A88)-1)/7)+1))</f>
        <v/>
      </c>
      <c r="J88" s="13">
        <f>IF(A88="","",MONTH(A88))</f>
        <v/>
      </c>
      <c r="K88" s="13">
        <f>IF(A88="","",YEAR(A88))</f>
        <v/>
      </c>
    </row>
    <row r="89">
      <c r="A89" s="18" t="n"/>
      <c r="B89" s="9" t="n"/>
      <c r="C89" s="13">
        <f>IF(B89="","",IFERROR(INDEX(Produits!$B$5:$B$44,MATCH(B89,Produits!$A$5:$A$44,0)),""))</f>
        <v/>
      </c>
      <c r="D89" s="13">
        <f>IF(B89="","",IFERROR(INDEX(Produits!$C$5:$C$44,MATCH(B89,Produits!$A$5:$A$44,0)),""))</f>
        <v/>
      </c>
      <c r="E89" s="10" t="n"/>
      <c r="F89" s="10" t="n"/>
      <c r="G89" s="10" t="n"/>
      <c r="H89" s="13">
        <f>IF(OR(F89="",G89=""),"",G89-F89)</f>
        <v/>
      </c>
      <c r="I89" s="13">
        <f>IF(A89="","","S"&amp;MIN(4,INT((DAY(A89)-1)/7)+1))</f>
        <v/>
      </c>
      <c r="J89" s="13">
        <f>IF(A89="","",MONTH(A89))</f>
        <v/>
      </c>
      <c r="K89" s="13">
        <f>IF(A89="","",YEAR(A89))</f>
        <v/>
      </c>
    </row>
    <row r="90">
      <c r="A90" s="18" t="n"/>
      <c r="B90" s="9" t="n"/>
      <c r="C90" s="13">
        <f>IF(B90="","",IFERROR(INDEX(Produits!$B$5:$B$44,MATCH(B90,Produits!$A$5:$A$44,0)),""))</f>
        <v/>
      </c>
      <c r="D90" s="13">
        <f>IF(B90="","",IFERROR(INDEX(Produits!$C$5:$C$44,MATCH(B90,Produits!$A$5:$A$44,0)),""))</f>
        <v/>
      </c>
      <c r="E90" s="10" t="n"/>
      <c r="F90" s="10" t="n"/>
      <c r="G90" s="10" t="n"/>
      <c r="H90" s="13">
        <f>IF(OR(F90="",G90=""),"",G90-F90)</f>
        <v/>
      </c>
      <c r="I90" s="13">
        <f>IF(A90="","","S"&amp;MIN(4,INT((DAY(A90)-1)/7)+1))</f>
        <v/>
      </c>
      <c r="J90" s="13">
        <f>IF(A90="","",MONTH(A90))</f>
        <v/>
      </c>
      <c r="K90" s="13">
        <f>IF(A90="","",YEAR(A90))</f>
        <v/>
      </c>
    </row>
    <row r="91">
      <c r="A91" s="18" t="n"/>
      <c r="B91" s="9" t="n"/>
      <c r="C91" s="13">
        <f>IF(B91="","",IFERROR(INDEX(Produits!$B$5:$B$44,MATCH(B91,Produits!$A$5:$A$44,0)),""))</f>
        <v/>
      </c>
      <c r="D91" s="13">
        <f>IF(B91="","",IFERROR(INDEX(Produits!$C$5:$C$44,MATCH(B91,Produits!$A$5:$A$44,0)),""))</f>
        <v/>
      </c>
      <c r="E91" s="10" t="n"/>
      <c r="F91" s="10" t="n"/>
      <c r="G91" s="10" t="n"/>
      <c r="H91" s="13">
        <f>IF(OR(F91="",G91=""),"",G91-F91)</f>
        <v/>
      </c>
      <c r="I91" s="13">
        <f>IF(A91="","","S"&amp;MIN(4,INT((DAY(A91)-1)/7)+1))</f>
        <v/>
      </c>
      <c r="J91" s="13">
        <f>IF(A91="","",MONTH(A91))</f>
        <v/>
      </c>
      <c r="K91" s="13">
        <f>IF(A91="","",YEAR(A91))</f>
        <v/>
      </c>
    </row>
    <row r="92">
      <c r="A92" s="18" t="n"/>
      <c r="B92" s="9" t="n"/>
      <c r="C92" s="13">
        <f>IF(B92="","",IFERROR(INDEX(Produits!$B$5:$B$44,MATCH(B92,Produits!$A$5:$A$44,0)),""))</f>
        <v/>
      </c>
      <c r="D92" s="13">
        <f>IF(B92="","",IFERROR(INDEX(Produits!$C$5:$C$44,MATCH(B92,Produits!$A$5:$A$44,0)),""))</f>
        <v/>
      </c>
      <c r="E92" s="10" t="n"/>
      <c r="F92" s="10" t="n"/>
      <c r="G92" s="10" t="n"/>
      <c r="H92" s="13">
        <f>IF(OR(F92="",G92=""),"",G92-F92)</f>
        <v/>
      </c>
      <c r="I92" s="13">
        <f>IF(A92="","","S"&amp;MIN(4,INT((DAY(A92)-1)/7)+1))</f>
        <v/>
      </c>
      <c r="J92" s="13">
        <f>IF(A92="","",MONTH(A92))</f>
        <v/>
      </c>
      <c r="K92" s="13">
        <f>IF(A92="","",YEAR(A92))</f>
        <v/>
      </c>
    </row>
    <row r="93">
      <c r="A93" s="18" t="n"/>
      <c r="B93" s="9" t="n"/>
      <c r="C93" s="13">
        <f>IF(B93="","",IFERROR(INDEX(Produits!$B$5:$B$44,MATCH(B93,Produits!$A$5:$A$44,0)),""))</f>
        <v/>
      </c>
      <c r="D93" s="13">
        <f>IF(B93="","",IFERROR(INDEX(Produits!$C$5:$C$44,MATCH(B93,Produits!$A$5:$A$44,0)),""))</f>
        <v/>
      </c>
      <c r="E93" s="10" t="n"/>
      <c r="F93" s="10" t="n"/>
      <c r="G93" s="10" t="n"/>
      <c r="H93" s="13">
        <f>IF(OR(F93="",G93=""),"",G93-F93)</f>
        <v/>
      </c>
      <c r="I93" s="13">
        <f>IF(A93="","","S"&amp;MIN(4,INT((DAY(A93)-1)/7)+1))</f>
        <v/>
      </c>
      <c r="J93" s="13">
        <f>IF(A93="","",MONTH(A93))</f>
        <v/>
      </c>
      <c r="K93" s="13">
        <f>IF(A93="","",YEAR(A93))</f>
        <v/>
      </c>
    </row>
    <row r="94">
      <c r="A94" s="18" t="n"/>
      <c r="B94" s="9" t="n"/>
      <c r="C94" s="13">
        <f>IF(B94="","",IFERROR(INDEX(Produits!$B$5:$B$44,MATCH(B94,Produits!$A$5:$A$44,0)),""))</f>
        <v/>
      </c>
      <c r="D94" s="13">
        <f>IF(B94="","",IFERROR(INDEX(Produits!$C$5:$C$44,MATCH(B94,Produits!$A$5:$A$44,0)),""))</f>
        <v/>
      </c>
      <c r="E94" s="10" t="n"/>
      <c r="F94" s="10" t="n"/>
      <c r="G94" s="10" t="n"/>
      <c r="H94" s="13">
        <f>IF(OR(F94="",G94=""),"",G94-F94)</f>
        <v/>
      </c>
      <c r="I94" s="13">
        <f>IF(A94="","","S"&amp;MIN(4,INT((DAY(A94)-1)/7)+1))</f>
        <v/>
      </c>
      <c r="J94" s="13">
        <f>IF(A94="","",MONTH(A94))</f>
        <v/>
      </c>
      <c r="K94" s="13">
        <f>IF(A94="","",YEAR(A94))</f>
        <v/>
      </c>
    </row>
    <row r="95">
      <c r="A95" s="18" t="n"/>
      <c r="B95" s="9" t="n"/>
      <c r="C95" s="13">
        <f>IF(B95="","",IFERROR(INDEX(Produits!$B$5:$B$44,MATCH(B95,Produits!$A$5:$A$44,0)),""))</f>
        <v/>
      </c>
      <c r="D95" s="13">
        <f>IF(B95="","",IFERROR(INDEX(Produits!$C$5:$C$44,MATCH(B95,Produits!$A$5:$A$44,0)),""))</f>
        <v/>
      </c>
      <c r="E95" s="10" t="n"/>
      <c r="F95" s="10" t="n"/>
      <c r="G95" s="10" t="n"/>
      <c r="H95" s="13">
        <f>IF(OR(F95="",G95=""),"",G95-F95)</f>
        <v/>
      </c>
      <c r="I95" s="13">
        <f>IF(A95="","","S"&amp;MIN(4,INT((DAY(A95)-1)/7)+1))</f>
        <v/>
      </c>
      <c r="J95" s="13">
        <f>IF(A95="","",MONTH(A95))</f>
        <v/>
      </c>
      <c r="K95" s="13">
        <f>IF(A95="","",YEAR(A95))</f>
        <v/>
      </c>
    </row>
    <row r="96">
      <c r="A96" s="18" t="n"/>
      <c r="B96" s="9" t="n"/>
      <c r="C96" s="13">
        <f>IF(B96="","",IFERROR(INDEX(Produits!$B$5:$B$44,MATCH(B96,Produits!$A$5:$A$44,0)),""))</f>
        <v/>
      </c>
      <c r="D96" s="13">
        <f>IF(B96="","",IFERROR(INDEX(Produits!$C$5:$C$44,MATCH(B96,Produits!$A$5:$A$44,0)),""))</f>
        <v/>
      </c>
      <c r="E96" s="10" t="n"/>
      <c r="F96" s="10" t="n"/>
      <c r="G96" s="10" t="n"/>
      <c r="H96" s="13">
        <f>IF(OR(F96="",G96=""),"",G96-F96)</f>
        <v/>
      </c>
      <c r="I96" s="13">
        <f>IF(A96="","","S"&amp;MIN(4,INT((DAY(A96)-1)/7)+1))</f>
        <v/>
      </c>
      <c r="J96" s="13">
        <f>IF(A96="","",MONTH(A96))</f>
        <v/>
      </c>
      <c r="K96" s="13">
        <f>IF(A96="","",YEAR(A96))</f>
        <v/>
      </c>
    </row>
    <row r="97">
      <c r="A97" s="18" t="n"/>
      <c r="B97" s="9" t="n"/>
      <c r="C97" s="13">
        <f>IF(B97="","",IFERROR(INDEX(Produits!$B$5:$B$44,MATCH(B97,Produits!$A$5:$A$44,0)),""))</f>
        <v/>
      </c>
      <c r="D97" s="13">
        <f>IF(B97="","",IFERROR(INDEX(Produits!$C$5:$C$44,MATCH(B97,Produits!$A$5:$A$44,0)),""))</f>
        <v/>
      </c>
      <c r="E97" s="10" t="n"/>
      <c r="F97" s="10" t="n"/>
      <c r="G97" s="10" t="n"/>
      <c r="H97" s="13">
        <f>IF(OR(F97="",G97=""),"",G97-F97)</f>
        <v/>
      </c>
      <c r="I97" s="13">
        <f>IF(A97="","","S"&amp;MIN(4,INT((DAY(A97)-1)/7)+1))</f>
        <v/>
      </c>
      <c r="J97" s="13">
        <f>IF(A97="","",MONTH(A97))</f>
        <v/>
      </c>
      <c r="K97" s="13">
        <f>IF(A97="","",YEAR(A97))</f>
        <v/>
      </c>
    </row>
    <row r="98">
      <c r="A98" s="18" t="n"/>
      <c r="B98" s="9" t="n"/>
      <c r="C98" s="13">
        <f>IF(B98="","",IFERROR(INDEX(Produits!$B$5:$B$44,MATCH(B98,Produits!$A$5:$A$44,0)),""))</f>
        <v/>
      </c>
      <c r="D98" s="13">
        <f>IF(B98="","",IFERROR(INDEX(Produits!$C$5:$C$44,MATCH(B98,Produits!$A$5:$A$44,0)),""))</f>
        <v/>
      </c>
      <c r="E98" s="10" t="n"/>
      <c r="F98" s="10" t="n"/>
      <c r="G98" s="10" t="n"/>
      <c r="H98" s="13">
        <f>IF(OR(F98="",G98=""),"",G98-F98)</f>
        <v/>
      </c>
      <c r="I98" s="13">
        <f>IF(A98="","","S"&amp;MIN(4,INT((DAY(A98)-1)/7)+1))</f>
        <v/>
      </c>
      <c r="J98" s="13">
        <f>IF(A98="","",MONTH(A98))</f>
        <v/>
      </c>
      <c r="K98" s="13">
        <f>IF(A98="","",YEAR(A98))</f>
        <v/>
      </c>
    </row>
    <row r="99">
      <c r="A99" s="18" t="n"/>
      <c r="B99" s="9" t="n"/>
      <c r="C99" s="13">
        <f>IF(B99="","",IFERROR(INDEX(Produits!$B$5:$B$44,MATCH(B99,Produits!$A$5:$A$44,0)),""))</f>
        <v/>
      </c>
      <c r="D99" s="13">
        <f>IF(B99="","",IFERROR(INDEX(Produits!$C$5:$C$44,MATCH(B99,Produits!$A$5:$A$44,0)),""))</f>
        <v/>
      </c>
      <c r="E99" s="10" t="n"/>
      <c r="F99" s="10" t="n"/>
      <c r="G99" s="10" t="n"/>
      <c r="H99" s="13">
        <f>IF(OR(F99="",G99=""),"",G99-F99)</f>
        <v/>
      </c>
      <c r="I99" s="13">
        <f>IF(A99="","","S"&amp;MIN(4,INT((DAY(A99)-1)/7)+1))</f>
        <v/>
      </c>
      <c r="J99" s="13">
        <f>IF(A99="","",MONTH(A99))</f>
        <v/>
      </c>
      <c r="K99" s="13">
        <f>IF(A99="","",YEAR(A99))</f>
        <v/>
      </c>
    </row>
    <row r="100">
      <c r="A100" s="18" t="n"/>
      <c r="B100" s="9" t="n"/>
      <c r="C100" s="13">
        <f>IF(B100="","",IFERROR(INDEX(Produits!$B$5:$B$44,MATCH(B100,Produits!$A$5:$A$44,0)),""))</f>
        <v/>
      </c>
      <c r="D100" s="13">
        <f>IF(B100="","",IFERROR(INDEX(Produits!$C$5:$C$44,MATCH(B100,Produits!$A$5:$A$44,0)),""))</f>
        <v/>
      </c>
      <c r="E100" s="10" t="n"/>
      <c r="F100" s="10" t="n"/>
      <c r="G100" s="10" t="n"/>
      <c r="H100" s="13">
        <f>IF(OR(F100="",G100=""),"",G100-F100)</f>
        <v/>
      </c>
      <c r="I100" s="13">
        <f>IF(A100="","","S"&amp;MIN(4,INT((DAY(A100)-1)/7)+1))</f>
        <v/>
      </c>
      <c r="J100" s="13">
        <f>IF(A100="","",MONTH(A100))</f>
        <v/>
      </c>
      <c r="K100" s="13">
        <f>IF(A100="","",YEAR(A100))</f>
        <v/>
      </c>
    </row>
    <row r="101">
      <c r="A101" s="18" t="n"/>
      <c r="B101" s="9" t="n"/>
      <c r="C101" s="13">
        <f>IF(B101="","",IFERROR(INDEX(Produits!$B$5:$B$44,MATCH(B101,Produits!$A$5:$A$44,0)),""))</f>
        <v/>
      </c>
      <c r="D101" s="13">
        <f>IF(B101="","",IFERROR(INDEX(Produits!$C$5:$C$44,MATCH(B101,Produits!$A$5:$A$44,0)),""))</f>
        <v/>
      </c>
      <c r="E101" s="10" t="n"/>
      <c r="F101" s="10" t="n"/>
      <c r="G101" s="10" t="n"/>
      <c r="H101" s="13">
        <f>IF(OR(F101="",G101=""),"",G101-F101)</f>
        <v/>
      </c>
      <c r="I101" s="13">
        <f>IF(A101="","","S"&amp;MIN(4,INT((DAY(A101)-1)/7)+1))</f>
        <v/>
      </c>
      <c r="J101" s="13">
        <f>IF(A101="","",MONTH(A101))</f>
        <v/>
      </c>
      <c r="K101" s="13">
        <f>IF(A101="","",YEAR(A101))</f>
        <v/>
      </c>
    </row>
    <row r="102">
      <c r="A102" s="18" t="n"/>
      <c r="B102" s="9" t="n"/>
      <c r="C102" s="13">
        <f>IF(B102="","",IFERROR(INDEX(Produits!$B$5:$B$44,MATCH(B102,Produits!$A$5:$A$44,0)),""))</f>
        <v/>
      </c>
      <c r="D102" s="13">
        <f>IF(B102="","",IFERROR(INDEX(Produits!$C$5:$C$44,MATCH(B102,Produits!$A$5:$A$44,0)),""))</f>
        <v/>
      </c>
      <c r="E102" s="10" t="n"/>
      <c r="F102" s="10" t="n"/>
      <c r="G102" s="10" t="n"/>
      <c r="H102" s="13">
        <f>IF(OR(F102="",G102=""),"",G102-F102)</f>
        <v/>
      </c>
      <c r="I102" s="13">
        <f>IF(A102="","","S"&amp;MIN(4,INT((DAY(A102)-1)/7)+1))</f>
        <v/>
      </c>
      <c r="J102" s="13">
        <f>IF(A102="","",MONTH(A102))</f>
        <v/>
      </c>
      <c r="K102" s="13">
        <f>IF(A102="","",YEAR(A102))</f>
        <v/>
      </c>
    </row>
    <row r="103">
      <c r="A103" s="18" t="n"/>
      <c r="B103" s="9" t="n"/>
      <c r="C103" s="13">
        <f>IF(B103="","",IFERROR(INDEX(Produits!$B$5:$B$44,MATCH(B103,Produits!$A$5:$A$44,0)),""))</f>
        <v/>
      </c>
      <c r="D103" s="13">
        <f>IF(B103="","",IFERROR(INDEX(Produits!$C$5:$C$44,MATCH(B103,Produits!$A$5:$A$44,0)),""))</f>
        <v/>
      </c>
      <c r="E103" s="10" t="n"/>
      <c r="F103" s="10" t="n"/>
      <c r="G103" s="10" t="n"/>
      <c r="H103" s="13">
        <f>IF(OR(F103="",G103=""),"",G103-F103)</f>
        <v/>
      </c>
      <c r="I103" s="13">
        <f>IF(A103="","","S"&amp;MIN(4,INT((DAY(A103)-1)/7)+1))</f>
        <v/>
      </c>
      <c r="J103" s="13">
        <f>IF(A103="","",MONTH(A103))</f>
        <v/>
      </c>
      <c r="K103" s="13">
        <f>IF(A103="","",YEAR(A103))</f>
        <v/>
      </c>
    </row>
    <row r="104">
      <c r="A104" s="18" t="n"/>
      <c r="B104" s="9" t="n"/>
      <c r="C104" s="13">
        <f>IF(B104="","",IFERROR(INDEX(Produits!$B$5:$B$44,MATCH(B104,Produits!$A$5:$A$44,0)),""))</f>
        <v/>
      </c>
      <c r="D104" s="13">
        <f>IF(B104="","",IFERROR(INDEX(Produits!$C$5:$C$44,MATCH(B104,Produits!$A$5:$A$44,0)),""))</f>
        <v/>
      </c>
      <c r="E104" s="10" t="n"/>
      <c r="F104" s="10" t="n"/>
      <c r="G104" s="10" t="n"/>
      <c r="H104" s="13">
        <f>IF(OR(F104="",G104=""),"",G104-F104)</f>
        <v/>
      </c>
      <c r="I104" s="13">
        <f>IF(A104="","","S"&amp;MIN(4,INT((DAY(A104)-1)/7)+1))</f>
        <v/>
      </c>
      <c r="J104" s="13">
        <f>IF(A104="","",MONTH(A104))</f>
        <v/>
      </c>
      <c r="K104" s="13">
        <f>IF(A104="","",YEAR(A104))</f>
        <v/>
      </c>
    </row>
    <row r="105">
      <c r="A105" s="18" t="n"/>
      <c r="B105" s="9" t="n"/>
      <c r="C105" s="13">
        <f>IF(B105="","",IFERROR(INDEX(Produits!$B$5:$B$44,MATCH(B105,Produits!$A$5:$A$44,0)),""))</f>
        <v/>
      </c>
      <c r="D105" s="13">
        <f>IF(B105="","",IFERROR(INDEX(Produits!$C$5:$C$44,MATCH(B105,Produits!$A$5:$A$44,0)),""))</f>
        <v/>
      </c>
      <c r="E105" s="10" t="n"/>
      <c r="F105" s="10" t="n"/>
      <c r="G105" s="10" t="n"/>
      <c r="H105" s="13">
        <f>IF(OR(F105="",G105=""),"",G105-F105)</f>
        <v/>
      </c>
      <c r="I105" s="13">
        <f>IF(A105="","","S"&amp;MIN(4,INT((DAY(A105)-1)/7)+1))</f>
        <v/>
      </c>
      <c r="J105" s="13">
        <f>IF(A105="","",MONTH(A105))</f>
        <v/>
      </c>
      <c r="K105" s="13">
        <f>IF(A105="","",YEAR(A105))</f>
        <v/>
      </c>
    </row>
    <row r="106">
      <c r="A106" s="18" t="n"/>
      <c r="B106" s="9" t="n"/>
      <c r="C106" s="13">
        <f>IF(B106="","",IFERROR(INDEX(Produits!$B$5:$B$44,MATCH(B106,Produits!$A$5:$A$44,0)),""))</f>
        <v/>
      </c>
      <c r="D106" s="13">
        <f>IF(B106="","",IFERROR(INDEX(Produits!$C$5:$C$44,MATCH(B106,Produits!$A$5:$A$44,0)),""))</f>
        <v/>
      </c>
      <c r="E106" s="10" t="n"/>
      <c r="F106" s="10" t="n"/>
      <c r="G106" s="10" t="n"/>
      <c r="H106" s="13">
        <f>IF(OR(F106="",G106=""),"",G106-F106)</f>
        <v/>
      </c>
      <c r="I106" s="13">
        <f>IF(A106="","","S"&amp;MIN(4,INT((DAY(A106)-1)/7)+1))</f>
        <v/>
      </c>
      <c r="J106" s="13">
        <f>IF(A106="","",MONTH(A106))</f>
        <v/>
      </c>
      <c r="K106" s="13">
        <f>IF(A106="","",YEAR(A106))</f>
        <v/>
      </c>
    </row>
    <row r="107">
      <c r="A107" s="18" t="n"/>
      <c r="B107" s="9" t="n"/>
      <c r="C107" s="13">
        <f>IF(B107="","",IFERROR(INDEX(Produits!$B$5:$B$44,MATCH(B107,Produits!$A$5:$A$44,0)),""))</f>
        <v/>
      </c>
      <c r="D107" s="13">
        <f>IF(B107="","",IFERROR(INDEX(Produits!$C$5:$C$44,MATCH(B107,Produits!$A$5:$A$44,0)),""))</f>
        <v/>
      </c>
      <c r="E107" s="10" t="n"/>
      <c r="F107" s="10" t="n"/>
      <c r="G107" s="10" t="n"/>
      <c r="H107" s="13">
        <f>IF(OR(F107="",G107=""),"",G107-F107)</f>
        <v/>
      </c>
      <c r="I107" s="13">
        <f>IF(A107="","","S"&amp;MIN(4,INT((DAY(A107)-1)/7)+1))</f>
        <v/>
      </c>
      <c r="J107" s="13">
        <f>IF(A107="","",MONTH(A107))</f>
        <v/>
      </c>
      <c r="K107" s="13">
        <f>IF(A107="","",YEAR(A107))</f>
        <v/>
      </c>
    </row>
    <row r="108">
      <c r="A108" s="18" t="n"/>
      <c r="B108" s="9" t="n"/>
      <c r="C108" s="13">
        <f>IF(B108="","",IFERROR(INDEX(Produits!$B$5:$B$44,MATCH(B108,Produits!$A$5:$A$44,0)),""))</f>
        <v/>
      </c>
      <c r="D108" s="13">
        <f>IF(B108="","",IFERROR(INDEX(Produits!$C$5:$C$44,MATCH(B108,Produits!$A$5:$A$44,0)),""))</f>
        <v/>
      </c>
      <c r="E108" s="10" t="n"/>
      <c r="F108" s="10" t="n"/>
      <c r="G108" s="10" t="n"/>
      <c r="H108" s="13">
        <f>IF(OR(F108="",G108=""),"",G108-F108)</f>
        <v/>
      </c>
      <c r="I108" s="13">
        <f>IF(A108="","","S"&amp;MIN(4,INT((DAY(A108)-1)/7)+1))</f>
        <v/>
      </c>
      <c r="J108" s="13">
        <f>IF(A108="","",MONTH(A108))</f>
        <v/>
      </c>
      <c r="K108" s="13">
        <f>IF(A108="","",YEAR(A108))</f>
        <v/>
      </c>
    </row>
    <row r="109">
      <c r="A109" s="18" t="n"/>
      <c r="B109" s="9" t="n"/>
      <c r="C109" s="13">
        <f>IF(B109="","",IFERROR(INDEX(Produits!$B$5:$B$44,MATCH(B109,Produits!$A$5:$A$44,0)),""))</f>
        <v/>
      </c>
      <c r="D109" s="13">
        <f>IF(B109="","",IFERROR(INDEX(Produits!$C$5:$C$44,MATCH(B109,Produits!$A$5:$A$44,0)),""))</f>
        <v/>
      </c>
      <c r="E109" s="10" t="n"/>
      <c r="F109" s="10" t="n"/>
      <c r="G109" s="10" t="n"/>
      <c r="H109" s="13">
        <f>IF(OR(F109="",G109=""),"",G109-F109)</f>
        <v/>
      </c>
      <c r="I109" s="13">
        <f>IF(A109="","","S"&amp;MIN(4,INT((DAY(A109)-1)/7)+1))</f>
        <v/>
      </c>
      <c r="J109" s="13">
        <f>IF(A109="","",MONTH(A109))</f>
        <v/>
      </c>
      <c r="K109" s="13">
        <f>IF(A109="","",YEAR(A109))</f>
        <v/>
      </c>
    </row>
    <row r="110">
      <c r="A110" s="18" t="n"/>
      <c r="B110" s="9" t="n"/>
      <c r="C110" s="13">
        <f>IF(B110="","",IFERROR(INDEX(Produits!$B$5:$B$44,MATCH(B110,Produits!$A$5:$A$44,0)),""))</f>
        <v/>
      </c>
      <c r="D110" s="13">
        <f>IF(B110="","",IFERROR(INDEX(Produits!$C$5:$C$44,MATCH(B110,Produits!$A$5:$A$44,0)),""))</f>
        <v/>
      </c>
      <c r="E110" s="10" t="n"/>
      <c r="F110" s="10" t="n"/>
      <c r="G110" s="10" t="n"/>
      <c r="H110" s="13">
        <f>IF(OR(F110="",G110=""),"",G110-F110)</f>
        <v/>
      </c>
      <c r="I110" s="13">
        <f>IF(A110="","","S"&amp;MIN(4,INT((DAY(A110)-1)/7)+1))</f>
        <v/>
      </c>
      <c r="J110" s="13">
        <f>IF(A110="","",MONTH(A110))</f>
        <v/>
      </c>
      <c r="K110" s="13">
        <f>IF(A110="","",YEAR(A110))</f>
        <v/>
      </c>
    </row>
    <row r="111">
      <c r="A111" s="18" t="n"/>
      <c r="B111" s="9" t="n"/>
      <c r="C111" s="13">
        <f>IF(B111="","",IFERROR(INDEX(Produits!$B$5:$B$44,MATCH(B111,Produits!$A$5:$A$44,0)),""))</f>
        <v/>
      </c>
      <c r="D111" s="13">
        <f>IF(B111="","",IFERROR(INDEX(Produits!$C$5:$C$44,MATCH(B111,Produits!$A$5:$A$44,0)),""))</f>
        <v/>
      </c>
      <c r="E111" s="10" t="n"/>
      <c r="F111" s="10" t="n"/>
      <c r="G111" s="10" t="n"/>
      <c r="H111" s="13">
        <f>IF(OR(F111="",G111=""),"",G111-F111)</f>
        <v/>
      </c>
      <c r="I111" s="13">
        <f>IF(A111="","","S"&amp;MIN(4,INT((DAY(A111)-1)/7)+1))</f>
        <v/>
      </c>
      <c r="J111" s="13">
        <f>IF(A111="","",MONTH(A111))</f>
        <v/>
      </c>
      <c r="K111" s="13">
        <f>IF(A111="","",YEAR(A111))</f>
        <v/>
      </c>
    </row>
    <row r="112">
      <c r="A112" s="18" t="n"/>
      <c r="B112" s="9" t="n"/>
      <c r="C112" s="13">
        <f>IF(B112="","",IFERROR(INDEX(Produits!$B$5:$B$44,MATCH(B112,Produits!$A$5:$A$44,0)),""))</f>
        <v/>
      </c>
      <c r="D112" s="13">
        <f>IF(B112="","",IFERROR(INDEX(Produits!$C$5:$C$44,MATCH(B112,Produits!$A$5:$A$44,0)),""))</f>
        <v/>
      </c>
      <c r="E112" s="10" t="n"/>
      <c r="F112" s="10" t="n"/>
      <c r="G112" s="10" t="n"/>
      <c r="H112" s="13">
        <f>IF(OR(F112="",G112=""),"",G112-F112)</f>
        <v/>
      </c>
      <c r="I112" s="13">
        <f>IF(A112="","","S"&amp;MIN(4,INT((DAY(A112)-1)/7)+1))</f>
        <v/>
      </c>
      <c r="J112" s="13">
        <f>IF(A112="","",MONTH(A112))</f>
        <v/>
      </c>
      <c r="K112" s="13">
        <f>IF(A112="","",YEAR(A112))</f>
        <v/>
      </c>
    </row>
    <row r="113">
      <c r="A113" s="18" t="n"/>
      <c r="B113" s="9" t="n"/>
      <c r="C113" s="13">
        <f>IF(B113="","",IFERROR(INDEX(Produits!$B$5:$B$44,MATCH(B113,Produits!$A$5:$A$44,0)),""))</f>
        <v/>
      </c>
      <c r="D113" s="13">
        <f>IF(B113="","",IFERROR(INDEX(Produits!$C$5:$C$44,MATCH(B113,Produits!$A$5:$A$44,0)),""))</f>
        <v/>
      </c>
      <c r="E113" s="10" t="n"/>
      <c r="F113" s="10" t="n"/>
      <c r="G113" s="10" t="n"/>
      <c r="H113" s="13">
        <f>IF(OR(F113="",G113=""),"",G113-F113)</f>
        <v/>
      </c>
      <c r="I113" s="13">
        <f>IF(A113="","","S"&amp;MIN(4,INT((DAY(A113)-1)/7)+1))</f>
        <v/>
      </c>
      <c r="J113" s="13">
        <f>IF(A113="","",MONTH(A113))</f>
        <v/>
      </c>
      <c r="K113" s="13">
        <f>IF(A113="","",YEAR(A113))</f>
        <v/>
      </c>
    </row>
    <row r="114">
      <c r="A114" s="18" t="n"/>
      <c r="B114" s="9" t="n"/>
      <c r="C114" s="13">
        <f>IF(B114="","",IFERROR(INDEX(Produits!$B$5:$B$44,MATCH(B114,Produits!$A$5:$A$44,0)),""))</f>
        <v/>
      </c>
      <c r="D114" s="13">
        <f>IF(B114="","",IFERROR(INDEX(Produits!$C$5:$C$44,MATCH(B114,Produits!$A$5:$A$44,0)),""))</f>
        <v/>
      </c>
      <c r="E114" s="10" t="n"/>
      <c r="F114" s="10" t="n"/>
      <c r="G114" s="10" t="n"/>
      <c r="H114" s="13">
        <f>IF(OR(F114="",G114=""),"",G114-F114)</f>
        <v/>
      </c>
      <c r="I114" s="13">
        <f>IF(A114="","","S"&amp;MIN(4,INT((DAY(A114)-1)/7)+1))</f>
        <v/>
      </c>
      <c r="J114" s="13">
        <f>IF(A114="","",MONTH(A114))</f>
        <v/>
      </c>
      <c r="K114" s="13">
        <f>IF(A114="","",YEAR(A114))</f>
        <v/>
      </c>
    </row>
    <row r="115">
      <c r="A115" s="18" t="n"/>
      <c r="B115" s="9" t="n"/>
      <c r="C115" s="13">
        <f>IF(B115="","",IFERROR(INDEX(Produits!$B$5:$B$44,MATCH(B115,Produits!$A$5:$A$44,0)),""))</f>
        <v/>
      </c>
      <c r="D115" s="13">
        <f>IF(B115="","",IFERROR(INDEX(Produits!$C$5:$C$44,MATCH(B115,Produits!$A$5:$A$44,0)),""))</f>
        <v/>
      </c>
      <c r="E115" s="10" t="n"/>
      <c r="F115" s="10" t="n"/>
      <c r="G115" s="10" t="n"/>
      <c r="H115" s="13">
        <f>IF(OR(F115="",G115=""),"",G115-F115)</f>
        <v/>
      </c>
      <c r="I115" s="13">
        <f>IF(A115="","","S"&amp;MIN(4,INT((DAY(A115)-1)/7)+1))</f>
        <v/>
      </c>
      <c r="J115" s="13">
        <f>IF(A115="","",MONTH(A115))</f>
        <v/>
      </c>
      <c r="K115" s="13">
        <f>IF(A115="","",YEAR(A115))</f>
        <v/>
      </c>
    </row>
    <row r="116">
      <c r="A116" s="18" t="n"/>
      <c r="B116" s="9" t="n"/>
      <c r="C116" s="13">
        <f>IF(B116="","",IFERROR(INDEX(Produits!$B$5:$B$44,MATCH(B116,Produits!$A$5:$A$44,0)),""))</f>
        <v/>
      </c>
      <c r="D116" s="13">
        <f>IF(B116="","",IFERROR(INDEX(Produits!$C$5:$C$44,MATCH(B116,Produits!$A$5:$A$44,0)),""))</f>
        <v/>
      </c>
      <c r="E116" s="10" t="n"/>
      <c r="F116" s="10" t="n"/>
      <c r="G116" s="10" t="n"/>
      <c r="H116" s="13">
        <f>IF(OR(F116="",G116=""),"",G116-F116)</f>
        <v/>
      </c>
      <c r="I116" s="13">
        <f>IF(A116="","","S"&amp;MIN(4,INT((DAY(A116)-1)/7)+1))</f>
        <v/>
      </c>
      <c r="J116" s="13">
        <f>IF(A116="","",MONTH(A116))</f>
        <v/>
      </c>
      <c r="K116" s="13">
        <f>IF(A116="","",YEAR(A116))</f>
        <v/>
      </c>
    </row>
    <row r="117">
      <c r="A117" s="18" t="n"/>
      <c r="B117" s="9" t="n"/>
      <c r="C117" s="13">
        <f>IF(B117="","",IFERROR(INDEX(Produits!$B$5:$B$44,MATCH(B117,Produits!$A$5:$A$44,0)),""))</f>
        <v/>
      </c>
      <c r="D117" s="13">
        <f>IF(B117="","",IFERROR(INDEX(Produits!$C$5:$C$44,MATCH(B117,Produits!$A$5:$A$44,0)),""))</f>
        <v/>
      </c>
      <c r="E117" s="10" t="n"/>
      <c r="F117" s="10" t="n"/>
      <c r="G117" s="10" t="n"/>
      <c r="H117" s="13">
        <f>IF(OR(F117="",G117=""),"",G117-F117)</f>
        <v/>
      </c>
      <c r="I117" s="13">
        <f>IF(A117="","","S"&amp;MIN(4,INT((DAY(A117)-1)/7)+1))</f>
        <v/>
      </c>
      <c r="J117" s="13">
        <f>IF(A117="","",MONTH(A117))</f>
        <v/>
      </c>
      <c r="K117" s="13">
        <f>IF(A117="","",YEAR(A117))</f>
        <v/>
      </c>
    </row>
    <row r="118">
      <c r="A118" s="18" t="n"/>
      <c r="B118" s="9" t="n"/>
      <c r="C118" s="13">
        <f>IF(B118="","",IFERROR(INDEX(Produits!$B$5:$B$44,MATCH(B118,Produits!$A$5:$A$44,0)),""))</f>
        <v/>
      </c>
      <c r="D118" s="13">
        <f>IF(B118="","",IFERROR(INDEX(Produits!$C$5:$C$44,MATCH(B118,Produits!$A$5:$A$44,0)),""))</f>
        <v/>
      </c>
      <c r="E118" s="10" t="n"/>
      <c r="F118" s="10" t="n"/>
      <c r="G118" s="10" t="n"/>
      <c r="H118" s="13">
        <f>IF(OR(F118="",G118=""),"",G118-F118)</f>
        <v/>
      </c>
      <c r="I118" s="13">
        <f>IF(A118="","","S"&amp;MIN(4,INT((DAY(A118)-1)/7)+1))</f>
        <v/>
      </c>
      <c r="J118" s="13">
        <f>IF(A118="","",MONTH(A118))</f>
        <v/>
      </c>
      <c r="K118" s="13">
        <f>IF(A118="","",YEAR(A118))</f>
        <v/>
      </c>
    </row>
    <row r="119">
      <c r="A119" s="18" t="n"/>
      <c r="B119" s="9" t="n"/>
      <c r="C119" s="13">
        <f>IF(B119="","",IFERROR(INDEX(Produits!$B$5:$B$44,MATCH(B119,Produits!$A$5:$A$44,0)),""))</f>
        <v/>
      </c>
      <c r="D119" s="13">
        <f>IF(B119="","",IFERROR(INDEX(Produits!$C$5:$C$44,MATCH(B119,Produits!$A$5:$A$44,0)),""))</f>
        <v/>
      </c>
      <c r="E119" s="10" t="n"/>
      <c r="F119" s="10" t="n"/>
      <c r="G119" s="10" t="n"/>
      <c r="H119" s="13">
        <f>IF(OR(F119="",G119=""),"",G119-F119)</f>
        <v/>
      </c>
      <c r="I119" s="13">
        <f>IF(A119="","","S"&amp;MIN(4,INT((DAY(A119)-1)/7)+1))</f>
        <v/>
      </c>
      <c r="J119" s="13">
        <f>IF(A119="","",MONTH(A119))</f>
        <v/>
      </c>
      <c r="K119" s="13">
        <f>IF(A119="","",YEAR(A119))</f>
        <v/>
      </c>
    </row>
    <row r="120">
      <c r="A120" s="18" t="n"/>
      <c r="B120" s="9" t="n"/>
      <c r="C120" s="13">
        <f>IF(B120="","",IFERROR(INDEX(Produits!$B$5:$B$44,MATCH(B120,Produits!$A$5:$A$44,0)),""))</f>
        <v/>
      </c>
      <c r="D120" s="13">
        <f>IF(B120="","",IFERROR(INDEX(Produits!$C$5:$C$44,MATCH(B120,Produits!$A$5:$A$44,0)),""))</f>
        <v/>
      </c>
      <c r="E120" s="10" t="n"/>
      <c r="F120" s="10" t="n"/>
      <c r="G120" s="10" t="n"/>
      <c r="H120" s="13">
        <f>IF(OR(F120="",G120=""),"",G120-F120)</f>
        <v/>
      </c>
      <c r="I120" s="13">
        <f>IF(A120="","","S"&amp;MIN(4,INT((DAY(A120)-1)/7)+1))</f>
        <v/>
      </c>
      <c r="J120" s="13">
        <f>IF(A120="","",MONTH(A120))</f>
        <v/>
      </c>
      <c r="K120" s="13">
        <f>IF(A120="","",YEAR(A120))</f>
        <v/>
      </c>
    </row>
    <row r="121">
      <c r="A121" s="18" t="n"/>
      <c r="B121" s="9" t="n"/>
      <c r="C121" s="13">
        <f>IF(B121="","",IFERROR(INDEX(Produits!$B$5:$B$44,MATCH(B121,Produits!$A$5:$A$44,0)),""))</f>
        <v/>
      </c>
      <c r="D121" s="13">
        <f>IF(B121="","",IFERROR(INDEX(Produits!$C$5:$C$44,MATCH(B121,Produits!$A$5:$A$44,0)),""))</f>
        <v/>
      </c>
      <c r="E121" s="10" t="n"/>
      <c r="F121" s="10" t="n"/>
      <c r="G121" s="10" t="n"/>
      <c r="H121" s="13">
        <f>IF(OR(F121="",G121=""),"",G121-F121)</f>
        <v/>
      </c>
      <c r="I121" s="13">
        <f>IF(A121="","","S"&amp;MIN(4,INT((DAY(A121)-1)/7)+1))</f>
        <v/>
      </c>
      <c r="J121" s="13">
        <f>IF(A121="","",MONTH(A121))</f>
        <v/>
      </c>
      <c r="K121" s="13">
        <f>IF(A121="","",YEAR(A121))</f>
        <v/>
      </c>
    </row>
    <row r="122">
      <c r="A122" s="18" t="n"/>
      <c r="B122" s="9" t="n"/>
      <c r="C122" s="13">
        <f>IF(B122="","",IFERROR(INDEX(Produits!$B$5:$B$44,MATCH(B122,Produits!$A$5:$A$44,0)),""))</f>
        <v/>
      </c>
      <c r="D122" s="13">
        <f>IF(B122="","",IFERROR(INDEX(Produits!$C$5:$C$44,MATCH(B122,Produits!$A$5:$A$44,0)),""))</f>
        <v/>
      </c>
      <c r="E122" s="10" t="n"/>
      <c r="F122" s="10" t="n"/>
      <c r="G122" s="10" t="n"/>
      <c r="H122" s="13">
        <f>IF(OR(F122="",G122=""),"",G122-F122)</f>
        <v/>
      </c>
      <c r="I122" s="13">
        <f>IF(A122="","","S"&amp;MIN(4,INT((DAY(A122)-1)/7)+1))</f>
        <v/>
      </c>
      <c r="J122" s="13">
        <f>IF(A122="","",MONTH(A122))</f>
        <v/>
      </c>
      <c r="K122" s="13">
        <f>IF(A122="","",YEAR(A122))</f>
        <v/>
      </c>
    </row>
    <row r="123">
      <c r="A123" s="18" t="n"/>
      <c r="B123" s="9" t="n"/>
      <c r="C123" s="13">
        <f>IF(B123="","",IFERROR(INDEX(Produits!$B$5:$B$44,MATCH(B123,Produits!$A$5:$A$44,0)),""))</f>
        <v/>
      </c>
      <c r="D123" s="13">
        <f>IF(B123="","",IFERROR(INDEX(Produits!$C$5:$C$44,MATCH(B123,Produits!$A$5:$A$44,0)),""))</f>
        <v/>
      </c>
      <c r="E123" s="10" t="n"/>
      <c r="F123" s="10" t="n"/>
      <c r="G123" s="10" t="n"/>
      <c r="H123" s="13">
        <f>IF(OR(F123="",G123=""),"",G123-F123)</f>
        <v/>
      </c>
      <c r="I123" s="13">
        <f>IF(A123="","","S"&amp;MIN(4,INT((DAY(A123)-1)/7)+1))</f>
        <v/>
      </c>
      <c r="J123" s="13">
        <f>IF(A123="","",MONTH(A123))</f>
        <v/>
      </c>
      <c r="K123" s="13">
        <f>IF(A123="","",YEAR(A123))</f>
        <v/>
      </c>
    </row>
    <row r="124">
      <c r="A124" s="18" t="n"/>
      <c r="B124" s="9" t="n"/>
      <c r="C124" s="13">
        <f>IF(B124="","",IFERROR(INDEX(Produits!$B$5:$B$44,MATCH(B124,Produits!$A$5:$A$44,0)),""))</f>
        <v/>
      </c>
      <c r="D124" s="13">
        <f>IF(B124="","",IFERROR(INDEX(Produits!$C$5:$C$44,MATCH(B124,Produits!$A$5:$A$44,0)),""))</f>
        <v/>
      </c>
      <c r="E124" s="10" t="n"/>
      <c r="F124" s="10" t="n"/>
      <c r="G124" s="10" t="n"/>
      <c r="H124" s="13">
        <f>IF(OR(F124="",G124=""),"",G124-F124)</f>
        <v/>
      </c>
      <c r="I124" s="13">
        <f>IF(A124="","","S"&amp;MIN(4,INT((DAY(A124)-1)/7)+1))</f>
        <v/>
      </c>
      <c r="J124" s="13">
        <f>IF(A124="","",MONTH(A124))</f>
        <v/>
      </c>
      <c r="K124" s="13">
        <f>IF(A124="","",YEAR(A124))</f>
        <v/>
      </c>
    </row>
    <row r="125">
      <c r="A125" s="18" t="n"/>
      <c r="B125" s="9" t="n"/>
      <c r="C125" s="13">
        <f>IF(B125="","",IFERROR(INDEX(Produits!$B$5:$B$44,MATCH(B125,Produits!$A$5:$A$44,0)),""))</f>
        <v/>
      </c>
      <c r="D125" s="13">
        <f>IF(B125="","",IFERROR(INDEX(Produits!$C$5:$C$44,MATCH(B125,Produits!$A$5:$A$44,0)),""))</f>
        <v/>
      </c>
      <c r="E125" s="10" t="n"/>
      <c r="F125" s="10" t="n"/>
      <c r="G125" s="10" t="n"/>
      <c r="H125" s="13">
        <f>IF(OR(F125="",G125=""),"",G125-F125)</f>
        <v/>
      </c>
      <c r="I125" s="13">
        <f>IF(A125="","","S"&amp;MIN(4,INT((DAY(A125)-1)/7)+1))</f>
        <v/>
      </c>
      <c r="J125" s="13">
        <f>IF(A125="","",MONTH(A125))</f>
        <v/>
      </c>
      <c r="K125" s="13">
        <f>IF(A125="","",YEAR(A125))</f>
        <v/>
      </c>
    </row>
    <row r="126">
      <c r="A126" s="18" t="n"/>
      <c r="B126" s="9" t="n"/>
      <c r="C126" s="13">
        <f>IF(B126="","",IFERROR(INDEX(Produits!$B$5:$B$44,MATCH(B126,Produits!$A$5:$A$44,0)),""))</f>
        <v/>
      </c>
      <c r="D126" s="13">
        <f>IF(B126="","",IFERROR(INDEX(Produits!$C$5:$C$44,MATCH(B126,Produits!$A$5:$A$44,0)),""))</f>
        <v/>
      </c>
      <c r="E126" s="10" t="n"/>
      <c r="F126" s="10" t="n"/>
      <c r="G126" s="10" t="n"/>
      <c r="H126" s="13">
        <f>IF(OR(F126="",G126=""),"",G126-F126)</f>
        <v/>
      </c>
      <c r="I126" s="13">
        <f>IF(A126="","","S"&amp;MIN(4,INT((DAY(A126)-1)/7)+1))</f>
        <v/>
      </c>
      <c r="J126" s="13">
        <f>IF(A126="","",MONTH(A126))</f>
        <v/>
      </c>
      <c r="K126" s="13">
        <f>IF(A126="","",YEAR(A126))</f>
        <v/>
      </c>
    </row>
    <row r="127">
      <c r="A127" s="18" t="n"/>
      <c r="B127" s="9" t="n"/>
      <c r="C127" s="13">
        <f>IF(B127="","",IFERROR(INDEX(Produits!$B$5:$B$44,MATCH(B127,Produits!$A$5:$A$44,0)),""))</f>
        <v/>
      </c>
      <c r="D127" s="13">
        <f>IF(B127="","",IFERROR(INDEX(Produits!$C$5:$C$44,MATCH(B127,Produits!$A$5:$A$44,0)),""))</f>
        <v/>
      </c>
      <c r="E127" s="10" t="n"/>
      <c r="F127" s="10" t="n"/>
      <c r="G127" s="10" t="n"/>
      <c r="H127" s="13">
        <f>IF(OR(F127="",G127=""),"",G127-F127)</f>
        <v/>
      </c>
      <c r="I127" s="13">
        <f>IF(A127="","","S"&amp;MIN(4,INT((DAY(A127)-1)/7)+1))</f>
        <v/>
      </c>
      <c r="J127" s="13">
        <f>IF(A127="","",MONTH(A127))</f>
        <v/>
      </c>
      <c r="K127" s="13">
        <f>IF(A127="","",YEAR(A127))</f>
        <v/>
      </c>
    </row>
    <row r="128">
      <c r="A128" s="18" t="n"/>
      <c r="B128" s="9" t="n"/>
      <c r="C128" s="13">
        <f>IF(B128="","",IFERROR(INDEX(Produits!$B$5:$B$44,MATCH(B128,Produits!$A$5:$A$44,0)),""))</f>
        <v/>
      </c>
      <c r="D128" s="13">
        <f>IF(B128="","",IFERROR(INDEX(Produits!$C$5:$C$44,MATCH(B128,Produits!$A$5:$A$44,0)),""))</f>
        <v/>
      </c>
      <c r="E128" s="10" t="n"/>
      <c r="F128" s="10" t="n"/>
      <c r="G128" s="10" t="n"/>
      <c r="H128" s="13">
        <f>IF(OR(F128="",G128=""),"",G128-F128)</f>
        <v/>
      </c>
      <c r="I128" s="13">
        <f>IF(A128="","","S"&amp;MIN(4,INT((DAY(A128)-1)/7)+1))</f>
        <v/>
      </c>
      <c r="J128" s="13">
        <f>IF(A128="","",MONTH(A128))</f>
        <v/>
      </c>
      <c r="K128" s="13">
        <f>IF(A128="","",YEAR(A128))</f>
        <v/>
      </c>
    </row>
    <row r="129">
      <c r="A129" s="18" t="n"/>
      <c r="B129" s="9" t="n"/>
      <c r="C129" s="13">
        <f>IF(B129="","",IFERROR(INDEX(Produits!$B$5:$B$44,MATCH(B129,Produits!$A$5:$A$44,0)),""))</f>
        <v/>
      </c>
      <c r="D129" s="13">
        <f>IF(B129="","",IFERROR(INDEX(Produits!$C$5:$C$44,MATCH(B129,Produits!$A$5:$A$44,0)),""))</f>
        <v/>
      </c>
      <c r="E129" s="10" t="n"/>
      <c r="F129" s="10" t="n"/>
      <c r="G129" s="10" t="n"/>
      <c r="H129" s="13">
        <f>IF(OR(F129="",G129=""),"",G129-F129)</f>
        <v/>
      </c>
      <c r="I129" s="13">
        <f>IF(A129="","","S"&amp;MIN(4,INT((DAY(A129)-1)/7)+1))</f>
        <v/>
      </c>
      <c r="J129" s="13">
        <f>IF(A129="","",MONTH(A129))</f>
        <v/>
      </c>
      <c r="K129" s="13">
        <f>IF(A129="","",YEAR(A129))</f>
        <v/>
      </c>
    </row>
    <row r="130">
      <c r="A130" s="18" t="n"/>
      <c r="B130" s="9" t="n"/>
      <c r="C130" s="13">
        <f>IF(B130="","",IFERROR(INDEX(Produits!$B$5:$B$44,MATCH(B130,Produits!$A$5:$A$44,0)),""))</f>
        <v/>
      </c>
      <c r="D130" s="13">
        <f>IF(B130="","",IFERROR(INDEX(Produits!$C$5:$C$44,MATCH(B130,Produits!$A$5:$A$44,0)),""))</f>
        <v/>
      </c>
      <c r="E130" s="10" t="n"/>
      <c r="F130" s="10" t="n"/>
      <c r="G130" s="10" t="n"/>
      <c r="H130" s="13">
        <f>IF(OR(F130="",G130=""),"",G130-F130)</f>
        <v/>
      </c>
      <c r="I130" s="13">
        <f>IF(A130="","","S"&amp;MIN(4,INT((DAY(A130)-1)/7)+1))</f>
        <v/>
      </c>
      <c r="J130" s="13">
        <f>IF(A130="","",MONTH(A130))</f>
        <v/>
      </c>
      <c r="K130" s="13">
        <f>IF(A130="","",YEAR(A130))</f>
        <v/>
      </c>
    </row>
    <row r="131">
      <c r="A131" s="18" t="n"/>
      <c r="B131" s="9" t="n"/>
      <c r="C131" s="13">
        <f>IF(B131="","",IFERROR(INDEX(Produits!$B$5:$B$44,MATCH(B131,Produits!$A$5:$A$44,0)),""))</f>
        <v/>
      </c>
      <c r="D131" s="13">
        <f>IF(B131="","",IFERROR(INDEX(Produits!$C$5:$C$44,MATCH(B131,Produits!$A$5:$A$44,0)),""))</f>
        <v/>
      </c>
      <c r="E131" s="10" t="n"/>
      <c r="F131" s="10" t="n"/>
      <c r="G131" s="10" t="n"/>
      <c r="H131" s="13">
        <f>IF(OR(F131="",G131=""),"",G131-F131)</f>
        <v/>
      </c>
      <c r="I131" s="13">
        <f>IF(A131="","","S"&amp;MIN(4,INT((DAY(A131)-1)/7)+1))</f>
        <v/>
      </c>
      <c r="J131" s="13">
        <f>IF(A131="","",MONTH(A131))</f>
        <v/>
      </c>
      <c r="K131" s="13">
        <f>IF(A131="","",YEAR(A131))</f>
        <v/>
      </c>
    </row>
    <row r="132">
      <c r="A132" s="18" t="n"/>
      <c r="B132" s="9" t="n"/>
      <c r="C132" s="13">
        <f>IF(B132="","",IFERROR(INDEX(Produits!$B$5:$B$44,MATCH(B132,Produits!$A$5:$A$44,0)),""))</f>
        <v/>
      </c>
      <c r="D132" s="13">
        <f>IF(B132="","",IFERROR(INDEX(Produits!$C$5:$C$44,MATCH(B132,Produits!$A$5:$A$44,0)),""))</f>
        <v/>
      </c>
      <c r="E132" s="10" t="n"/>
      <c r="F132" s="10" t="n"/>
      <c r="G132" s="10" t="n"/>
      <c r="H132" s="13">
        <f>IF(OR(F132="",G132=""),"",G132-F132)</f>
        <v/>
      </c>
      <c r="I132" s="13">
        <f>IF(A132="","","S"&amp;MIN(4,INT((DAY(A132)-1)/7)+1))</f>
        <v/>
      </c>
      <c r="J132" s="13">
        <f>IF(A132="","",MONTH(A132))</f>
        <v/>
      </c>
      <c r="K132" s="13">
        <f>IF(A132="","",YEAR(A132))</f>
        <v/>
      </c>
    </row>
    <row r="133">
      <c r="A133" s="18" t="n"/>
      <c r="B133" s="9" t="n"/>
      <c r="C133" s="13">
        <f>IF(B133="","",IFERROR(INDEX(Produits!$B$5:$B$44,MATCH(B133,Produits!$A$5:$A$44,0)),""))</f>
        <v/>
      </c>
      <c r="D133" s="13">
        <f>IF(B133="","",IFERROR(INDEX(Produits!$C$5:$C$44,MATCH(B133,Produits!$A$5:$A$44,0)),""))</f>
        <v/>
      </c>
      <c r="E133" s="10" t="n"/>
      <c r="F133" s="10" t="n"/>
      <c r="G133" s="10" t="n"/>
      <c r="H133" s="13">
        <f>IF(OR(F133="",G133=""),"",G133-F133)</f>
        <v/>
      </c>
      <c r="I133" s="13">
        <f>IF(A133="","","S"&amp;MIN(4,INT((DAY(A133)-1)/7)+1))</f>
        <v/>
      </c>
      <c r="J133" s="13">
        <f>IF(A133="","",MONTH(A133))</f>
        <v/>
      </c>
      <c r="K133" s="13">
        <f>IF(A133="","",YEAR(A133))</f>
        <v/>
      </c>
    </row>
    <row r="134">
      <c r="A134" s="18" t="n"/>
      <c r="B134" s="9" t="n"/>
      <c r="C134" s="13">
        <f>IF(B134="","",IFERROR(INDEX(Produits!$B$5:$B$44,MATCH(B134,Produits!$A$5:$A$44,0)),""))</f>
        <v/>
      </c>
      <c r="D134" s="13">
        <f>IF(B134="","",IFERROR(INDEX(Produits!$C$5:$C$44,MATCH(B134,Produits!$A$5:$A$44,0)),""))</f>
        <v/>
      </c>
      <c r="E134" s="10" t="n"/>
      <c r="F134" s="10" t="n"/>
      <c r="G134" s="10" t="n"/>
      <c r="H134" s="13">
        <f>IF(OR(F134="",G134=""),"",G134-F134)</f>
        <v/>
      </c>
      <c r="I134" s="13">
        <f>IF(A134="","","S"&amp;MIN(4,INT((DAY(A134)-1)/7)+1))</f>
        <v/>
      </c>
      <c r="J134" s="13">
        <f>IF(A134="","",MONTH(A134))</f>
        <v/>
      </c>
      <c r="K134" s="13">
        <f>IF(A134="","",YEAR(A134))</f>
        <v/>
      </c>
    </row>
    <row r="135">
      <c r="A135" s="18" t="n"/>
      <c r="B135" s="9" t="n"/>
      <c r="C135" s="13">
        <f>IF(B135="","",IFERROR(INDEX(Produits!$B$5:$B$44,MATCH(B135,Produits!$A$5:$A$44,0)),""))</f>
        <v/>
      </c>
      <c r="D135" s="13">
        <f>IF(B135="","",IFERROR(INDEX(Produits!$C$5:$C$44,MATCH(B135,Produits!$A$5:$A$44,0)),""))</f>
        <v/>
      </c>
      <c r="E135" s="10" t="n"/>
      <c r="F135" s="10" t="n"/>
      <c r="G135" s="10" t="n"/>
      <c r="H135" s="13">
        <f>IF(OR(F135="",G135=""),"",G135-F135)</f>
        <v/>
      </c>
      <c r="I135" s="13">
        <f>IF(A135="","","S"&amp;MIN(4,INT((DAY(A135)-1)/7)+1))</f>
        <v/>
      </c>
      <c r="J135" s="13">
        <f>IF(A135="","",MONTH(A135))</f>
        <v/>
      </c>
      <c r="K135" s="13">
        <f>IF(A135="","",YEAR(A135))</f>
        <v/>
      </c>
    </row>
    <row r="136">
      <c r="A136" s="18" t="n"/>
      <c r="B136" s="9" t="n"/>
      <c r="C136" s="13">
        <f>IF(B136="","",IFERROR(INDEX(Produits!$B$5:$B$44,MATCH(B136,Produits!$A$5:$A$44,0)),""))</f>
        <v/>
      </c>
      <c r="D136" s="13">
        <f>IF(B136="","",IFERROR(INDEX(Produits!$C$5:$C$44,MATCH(B136,Produits!$A$5:$A$44,0)),""))</f>
        <v/>
      </c>
      <c r="E136" s="10" t="n"/>
      <c r="F136" s="10" t="n"/>
      <c r="G136" s="10" t="n"/>
      <c r="H136" s="13">
        <f>IF(OR(F136="",G136=""),"",G136-F136)</f>
        <v/>
      </c>
      <c r="I136" s="13">
        <f>IF(A136="","","S"&amp;MIN(4,INT((DAY(A136)-1)/7)+1))</f>
        <v/>
      </c>
      <c r="J136" s="13">
        <f>IF(A136="","",MONTH(A136))</f>
        <v/>
      </c>
      <c r="K136" s="13">
        <f>IF(A136="","",YEAR(A136))</f>
        <v/>
      </c>
    </row>
    <row r="137">
      <c r="A137" s="18" t="n"/>
      <c r="B137" s="9" t="n"/>
      <c r="C137" s="13">
        <f>IF(B137="","",IFERROR(INDEX(Produits!$B$5:$B$44,MATCH(B137,Produits!$A$5:$A$44,0)),""))</f>
        <v/>
      </c>
      <c r="D137" s="13">
        <f>IF(B137="","",IFERROR(INDEX(Produits!$C$5:$C$44,MATCH(B137,Produits!$A$5:$A$44,0)),""))</f>
        <v/>
      </c>
      <c r="E137" s="10" t="n"/>
      <c r="F137" s="10" t="n"/>
      <c r="G137" s="10" t="n"/>
      <c r="H137" s="13">
        <f>IF(OR(F137="",G137=""),"",G137-F137)</f>
        <v/>
      </c>
      <c r="I137" s="13">
        <f>IF(A137="","","S"&amp;MIN(4,INT((DAY(A137)-1)/7)+1))</f>
        <v/>
      </c>
      <c r="J137" s="13">
        <f>IF(A137="","",MONTH(A137))</f>
        <v/>
      </c>
      <c r="K137" s="13">
        <f>IF(A137="","",YEAR(A137))</f>
        <v/>
      </c>
    </row>
    <row r="138">
      <c r="A138" s="18" t="n"/>
      <c r="B138" s="9" t="n"/>
      <c r="C138" s="13">
        <f>IF(B138="","",IFERROR(INDEX(Produits!$B$5:$B$44,MATCH(B138,Produits!$A$5:$A$44,0)),""))</f>
        <v/>
      </c>
      <c r="D138" s="13">
        <f>IF(B138="","",IFERROR(INDEX(Produits!$C$5:$C$44,MATCH(B138,Produits!$A$5:$A$44,0)),""))</f>
        <v/>
      </c>
      <c r="E138" s="10" t="n"/>
      <c r="F138" s="10" t="n"/>
      <c r="G138" s="10" t="n"/>
      <c r="H138" s="13">
        <f>IF(OR(F138="",G138=""),"",G138-F138)</f>
        <v/>
      </c>
      <c r="I138" s="13">
        <f>IF(A138="","","S"&amp;MIN(4,INT((DAY(A138)-1)/7)+1))</f>
        <v/>
      </c>
      <c r="J138" s="13">
        <f>IF(A138="","",MONTH(A138))</f>
        <v/>
      </c>
      <c r="K138" s="13">
        <f>IF(A138="","",YEAR(A138))</f>
        <v/>
      </c>
    </row>
    <row r="139">
      <c r="A139" s="18" t="n"/>
      <c r="B139" s="9" t="n"/>
      <c r="C139" s="13">
        <f>IF(B139="","",IFERROR(INDEX(Produits!$B$5:$B$44,MATCH(B139,Produits!$A$5:$A$44,0)),""))</f>
        <v/>
      </c>
      <c r="D139" s="13">
        <f>IF(B139="","",IFERROR(INDEX(Produits!$C$5:$C$44,MATCH(B139,Produits!$A$5:$A$44,0)),""))</f>
        <v/>
      </c>
      <c r="E139" s="10" t="n"/>
      <c r="F139" s="10" t="n"/>
      <c r="G139" s="10" t="n"/>
      <c r="H139" s="13">
        <f>IF(OR(F139="",G139=""),"",G139-F139)</f>
        <v/>
      </c>
      <c r="I139" s="13">
        <f>IF(A139="","","S"&amp;MIN(4,INT((DAY(A139)-1)/7)+1))</f>
        <v/>
      </c>
      <c r="J139" s="13">
        <f>IF(A139="","",MONTH(A139))</f>
        <v/>
      </c>
      <c r="K139" s="13">
        <f>IF(A139="","",YEAR(A139))</f>
        <v/>
      </c>
    </row>
    <row r="140">
      <c r="A140" s="18" t="n"/>
      <c r="B140" s="9" t="n"/>
      <c r="C140" s="13">
        <f>IF(B140="","",IFERROR(INDEX(Produits!$B$5:$B$44,MATCH(B140,Produits!$A$5:$A$44,0)),""))</f>
        <v/>
      </c>
      <c r="D140" s="13">
        <f>IF(B140="","",IFERROR(INDEX(Produits!$C$5:$C$44,MATCH(B140,Produits!$A$5:$A$44,0)),""))</f>
        <v/>
      </c>
      <c r="E140" s="10" t="n"/>
      <c r="F140" s="10" t="n"/>
      <c r="G140" s="10" t="n"/>
      <c r="H140" s="13">
        <f>IF(OR(F140="",G140=""),"",G140-F140)</f>
        <v/>
      </c>
      <c r="I140" s="13">
        <f>IF(A140="","","S"&amp;MIN(4,INT((DAY(A140)-1)/7)+1))</f>
        <v/>
      </c>
      <c r="J140" s="13">
        <f>IF(A140="","",MONTH(A140))</f>
        <v/>
      </c>
      <c r="K140" s="13">
        <f>IF(A140="","",YEAR(A140))</f>
        <v/>
      </c>
    </row>
    <row r="141">
      <c r="A141" s="18" t="n"/>
      <c r="B141" s="9" t="n"/>
      <c r="C141" s="13">
        <f>IF(B141="","",IFERROR(INDEX(Produits!$B$5:$B$44,MATCH(B141,Produits!$A$5:$A$44,0)),""))</f>
        <v/>
      </c>
      <c r="D141" s="13">
        <f>IF(B141="","",IFERROR(INDEX(Produits!$C$5:$C$44,MATCH(B141,Produits!$A$5:$A$44,0)),""))</f>
        <v/>
      </c>
      <c r="E141" s="10" t="n"/>
      <c r="F141" s="10" t="n"/>
      <c r="G141" s="10" t="n"/>
      <c r="H141" s="13">
        <f>IF(OR(F141="",G141=""),"",G141-F141)</f>
        <v/>
      </c>
      <c r="I141" s="13">
        <f>IF(A141="","","S"&amp;MIN(4,INT((DAY(A141)-1)/7)+1))</f>
        <v/>
      </c>
      <c r="J141" s="13">
        <f>IF(A141="","",MONTH(A141))</f>
        <v/>
      </c>
      <c r="K141" s="13">
        <f>IF(A141="","",YEAR(A141))</f>
        <v/>
      </c>
    </row>
    <row r="142">
      <c r="A142" s="18" t="n"/>
      <c r="B142" s="9" t="n"/>
      <c r="C142" s="13">
        <f>IF(B142="","",IFERROR(INDEX(Produits!$B$5:$B$44,MATCH(B142,Produits!$A$5:$A$44,0)),""))</f>
        <v/>
      </c>
      <c r="D142" s="13">
        <f>IF(B142="","",IFERROR(INDEX(Produits!$C$5:$C$44,MATCH(B142,Produits!$A$5:$A$44,0)),""))</f>
        <v/>
      </c>
      <c r="E142" s="10" t="n"/>
      <c r="F142" s="10" t="n"/>
      <c r="G142" s="10" t="n"/>
      <c r="H142" s="13">
        <f>IF(OR(F142="",G142=""),"",G142-F142)</f>
        <v/>
      </c>
      <c r="I142" s="13">
        <f>IF(A142="","","S"&amp;MIN(4,INT((DAY(A142)-1)/7)+1))</f>
        <v/>
      </c>
      <c r="J142" s="13">
        <f>IF(A142="","",MONTH(A142))</f>
        <v/>
      </c>
      <c r="K142" s="13">
        <f>IF(A142="","",YEAR(A142))</f>
        <v/>
      </c>
    </row>
    <row r="143">
      <c r="A143" s="18" t="n"/>
      <c r="B143" s="9" t="n"/>
      <c r="C143" s="13">
        <f>IF(B143="","",IFERROR(INDEX(Produits!$B$5:$B$44,MATCH(B143,Produits!$A$5:$A$44,0)),""))</f>
        <v/>
      </c>
      <c r="D143" s="13">
        <f>IF(B143="","",IFERROR(INDEX(Produits!$C$5:$C$44,MATCH(B143,Produits!$A$5:$A$44,0)),""))</f>
        <v/>
      </c>
      <c r="E143" s="10" t="n"/>
      <c r="F143" s="10" t="n"/>
      <c r="G143" s="10" t="n"/>
      <c r="H143" s="13">
        <f>IF(OR(F143="",G143=""),"",G143-F143)</f>
        <v/>
      </c>
      <c r="I143" s="13">
        <f>IF(A143="","","S"&amp;MIN(4,INT((DAY(A143)-1)/7)+1))</f>
        <v/>
      </c>
      <c r="J143" s="13">
        <f>IF(A143="","",MONTH(A143))</f>
        <v/>
      </c>
      <c r="K143" s="13">
        <f>IF(A143="","",YEAR(A143))</f>
        <v/>
      </c>
    </row>
    <row r="144">
      <c r="A144" s="18" t="n"/>
      <c r="B144" s="9" t="n"/>
      <c r="C144" s="13">
        <f>IF(B144="","",IFERROR(INDEX(Produits!$B$5:$B$44,MATCH(B144,Produits!$A$5:$A$44,0)),""))</f>
        <v/>
      </c>
      <c r="D144" s="13">
        <f>IF(B144="","",IFERROR(INDEX(Produits!$C$5:$C$44,MATCH(B144,Produits!$A$5:$A$44,0)),""))</f>
        <v/>
      </c>
      <c r="E144" s="10" t="n"/>
      <c r="F144" s="10" t="n"/>
      <c r="G144" s="10" t="n"/>
      <c r="H144" s="13">
        <f>IF(OR(F144="",G144=""),"",G144-F144)</f>
        <v/>
      </c>
      <c r="I144" s="13">
        <f>IF(A144="","","S"&amp;MIN(4,INT((DAY(A144)-1)/7)+1))</f>
        <v/>
      </c>
      <c r="J144" s="13">
        <f>IF(A144="","",MONTH(A144))</f>
        <v/>
      </c>
      <c r="K144" s="13">
        <f>IF(A144="","",YEAR(A144))</f>
        <v/>
      </c>
    </row>
    <row r="145">
      <c r="A145" s="18" t="n"/>
      <c r="B145" s="9" t="n"/>
      <c r="C145" s="13">
        <f>IF(B145="","",IFERROR(INDEX(Produits!$B$5:$B$44,MATCH(B145,Produits!$A$5:$A$44,0)),""))</f>
        <v/>
      </c>
      <c r="D145" s="13">
        <f>IF(B145="","",IFERROR(INDEX(Produits!$C$5:$C$44,MATCH(B145,Produits!$A$5:$A$44,0)),""))</f>
        <v/>
      </c>
      <c r="E145" s="10" t="n"/>
      <c r="F145" s="10" t="n"/>
      <c r="G145" s="10" t="n"/>
      <c r="H145" s="13">
        <f>IF(OR(F145="",G145=""),"",G145-F145)</f>
        <v/>
      </c>
      <c r="I145" s="13">
        <f>IF(A145="","","S"&amp;MIN(4,INT((DAY(A145)-1)/7)+1))</f>
        <v/>
      </c>
      <c r="J145" s="13">
        <f>IF(A145="","",MONTH(A145))</f>
        <v/>
      </c>
      <c r="K145" s="13">
        <f>IF(A145="","",YEAR(A145))</f>
        <v/>
      </c>
    </row>
    <row r="146">
      <c r="A146" s="18" t="n"/>
      <c r="B146" s="9" t="n"/>
      <c r="C146" s="13">
        <f>IF(B146="","",IFERROR(INDEX(Produits!$B$5:$B$44,MATCH(B146,Produits!$A$5:$A$44,0)),""))</f>
        <v/>
      </c>
      <c r="D146" s="13">
        <f>IF(B146="","",IFERROR(INDEX(Produits!$C$5:$C$44,MATCH(B146,Produits!$A$5:$A$44,0)),""))</f>
        <v/>
      </c>
      <c r="E146" s="10" t="n"/>
      <c r="F146" s="10" t="n"/>
      <c r="G146" s="10" t="n"/>
      <c r="H146" s="13">
        <f>IF(OR(F146="",G146=""),"",G146-F146)</f>
        <v/>
      </c>
      <c r="I146" s="13">
        <f>IF(A146="","","S"&amp;MIN(4,INT((DAY(A146)-1)/7)+1))</f>
        <v/>
      </c>
      <c r="J146" s="13">
        <f>IF(A146="","",MONTH(A146))</f>
        <v/>
      </c>
      <c r="K146" s="13">
        <f>IF(A146="","",YEAR(A146))</f>
        <v/>
      </c>
    </row>
    <row r="147">
      <c r="A147" s="18" t="n"/>
      <c r="B147" s="9" t="n"/>
      <c r="C147" s="13">
        <f>IF(B147="","",IFERROR(INDEX(Produits!$B$5:$B$44,MATCH(B147,Produits!$A$5:$A$44,0)),""))</f>
        <v/>
      </c>
      <c r="D147" s="13">
        <f>IF(B147="","",IFERROR(INDEX(Produits!$C$5:$C$44,MATCH(B147,Produits!$A$5:$A$44,0)),""))</f>
        <v/>
      </c>
      <c r="E147" s="10" t="n"/>
      <c r="F147" s="10" t="n"/>
      <c r="G147" s="10" t="n"/>
      <c r="H147" s="13">
        <f>IF(OR(F147="",G147=""),"",G147-F147)</f>
        <v/>
      </c>
      <c r="I147" s="13">
        <f>IF(A147="","","S"&amp;MIN(4,INT((DAY(A147)-1)/7)+1))</f>
        <v/>
      </c>
      <c r="J147" s="13">
        <f>IF(A147="","",MONTH(A147))</f>
        <v/>
      </c>
      <c r="K147" s="13">
        <f>IF(A147="","",YEAR(A147))</f>
        <v/>
      </c>
    </row>
    <row r="148">
      <c r="A148" s="18" t="n"/>
      <c r="B148" s="9" t="n"/>
      <c r="C148" s="13">
        <f>IF(B148="","",IFERROR(INDEX(Produits!$B$5:$B$44,MATCH(B148,Produits!$A$5:$A$44,0)),""))</f>
        <v/>
      </c>
      <c r="D148" s="13">
        <f>IF(B148="","",IFERROR(INDEX(Produits!$C$5:$C$44,MATCH(B148,Produits!$A$5:$A$44,0)),""))</f>
        <v/>
      </c>
      <c r="E148" s="10" t="n"/>
      <c r="F148" s="10" t="n"/>
      <c r="G148" s="10" t="n"/>
      <c r="H148" s="13">
        <f>IF(OR(F148="",G148=""),"",G148-F148)</f>
        <v/>
      </c>
      <c r="I148" s="13">
        <f>IF(A148="","","S"&amp;MIN(4,INT((DAY(A148)-1)/7)+1))</f>
        <v/>
      </c>
      <c r="J148" s="13">
        <f>IF(A148="","",MONTH(A148))</f>
        <v/>
      </c>
      <c r="K148" s="13">
        <f>IF(A148="","",YEAR(A148))</f>
        <v/>
      </c>
    </row>
    <row r="149">
      <c r="A149" s="18" t="n"/>
      <c r="B149" s="9" t="n"/>
      <c r="C149" s="13">
        <f>IF(B149="","",IFERROR(INDEX(Produits!$B$5:$B$44,MATCH(B149,Produits!$A$5:$A$44,0)),""))</f>
        <v/>
      </c>
      <c r="D149" s="13">
        <f>IF(B149="","",IFERROR(INDEX(Produits!$C$5:$C$44,MATCH(B149,Produits!$A$5:$A$44,0)),""))</f>
        <v/>
      </c>
      <c r="E149" s="10" t="n"/>
      <c r="F149" s="10" t="n"/>
      <c r="G149" s="10" t="n"/>
      <c r="H149" s="13">
        <f>IF(OR(F149="",G149=""),"",G149-F149)</f>
        <v/>
      </c>
      <c r="I149" s="13">
        <f>IF(A149="","","S"&amp;MIN(4,INT((DAY(A149)-1)/7)+1))</f>
        <v/>
      </c>
      <c r="J149" s="13">
        <f>IF(A149="","",MONTH(A149))</f>
        <v/>
      </c>
      <c r="K149" s="13">
        <f>IF(A149="","",YEAR(A149))</f>
        <v/>
      </c>
    </row>
    <row r="150">
      <c r="A150" s="18" t="n"/>
      <c r="B150" s="9" t="n"/>
      <c r="C150" s="13">
        <f>IF(B150="","",IFERROR(INDEX(Produits!$B$5:$B$44,MATCH(B150,Produits!$A$5:$A$44,0)),""))</f>
        <v/>
      </c>
      <c r="D150" s="13">
        <f>IF(B150="","",IFERROR(INDEX(Produits!$C$5:$C$44,MATCH(B150,Produits!$A$5:$A$44,0)),""))</f>
        <v/>
      </c>
      <c r="E150" s="10" t="n"/>
      <c r="F150" s="10" t="n"/>
      <c r="G150" s="10" t="n"/>
      <c r="H150" s="13">
        <f>IF(OR(F150="",G150=""),"",G150-F150)</f>
        <v/>
      </c>
      <c r="I150" s="13">
        <f>IF(A150="","","S"&amp;MIN(4,INT((DAY(A150)-1)/7)+1))</f>
        <v/>
      </c>
      <c r="J150" s="13">
        <f>IF(A150="","",MONTH(A150))</f>
        <v/>
      </c>
      <c r="K150" s="13">
        <f>IF(A150="","",YEAR(A150))</f>
        <v/>
      </c>
    </row>
    <row r="151">
      <c r="A151" s="18" t="n"/>
      <c r="B151" s="9" t="n"/>
      <c r="C151" s="13">
        <f>IF(B151="","",IFERROR(INDEX(Produits!$B$5:$B$44,MATCH(B151,Produits!$A$5:$A$44,0)),""))</f>
        <v/>
      </c>
      <c r="D151" s="13">
        <f>IF(B151="","",IFERROR(INDEX(Produits!$C$5:$C$44,MATCH(B151,Produits!$A$5:$A$44,0)),""))</f>
        <v/>
      </c>
      <c r="E151" s="10" t="n"/>
      <c r="F151" s="10" t="n"/>
      <c r="G151" s="10" t="n"/>
      <c r="H151" s="13">
        <f>IF(OR(F151="",G151=""),"",G151-F151)</f>
        <v/>
      </c>
      <c r="I151" s="13">
        <f>IF(A151="","","S"&amp;MIN(4,INT((DAY(A151)-1)/7)+1))</f>
        <v/>
      </c>
      <c r="J151" s="13">
        <f>IF(A151="","",MONTH(A151))</f>
        <v/>
      </c>
      <c r="K151" s="13">
        <f>IF(A151="","",YEAR(A151))</f>
        <v/>
      </c>
    </row>
    <row r="152">
      <c r="A152" s="18" t="n"/>
      <c r="B152" s="9" t="n"/>
      <c r="C152" s="13">
        <f>IF(B152="","",IFERROR(INDEX(Produits!$B$5:$B$44,MATCH(B152,Produits!$A$5:$A$44,0)),""))</f>
        <v/>
      </c>
      <c r="D152" s="13">
        <f>IF(B152="","",IFERROR(INDEX(Produits!$C$5:$C$44,MATCH(B152,Produits!$A$5:$A$44,0)),""))</f>
        <v/>
      </c>
      <c r="E152" s="10" t="n"/>
      <c r="F152" s="10" t="n"/>
      <c r="G152" s="10" t="n"/>
      <c r="H152" s="13">
        <f>IF(OR(F152="",G152=""),"",G152-F152)</f>
        <v/>
      </c>
      <c r="I152" s="13">
        <f>IF(A152="","","S"&amp;MIN(4,INT((DAY(A152)-1)/7)+1))</f>
        <v/>
      </c>
      <c r="J152" s="13">
        <f>IF(A152="","",MONTH(A152))</f>
        <v/>
      </c>
      <c r="K152" s="13">
        <f>IF(A152="","",YEAR(A152))</f>
        <v/>
      </c>
    </row>
    <row r="153">
      <c r="A153" s="18" t="n"/>
      <c r="B153" s="9" t="n"/>
      <c r="C153" s="13">
        <f>IF(B153="","",IFERROR(INDEX(Produits!$B$5:$B$44,MATCH(B153,Produits!$A$5:$A$44,0)),""))</f>
        <v/>
      </c>
      <c r="D153" s="13">
        <f>IF(B153="","",IFERROR(INDEX(Produits!$C$5:$C$44,MATCH(B153,Produits!$A$5:$A$44,0)),""))</f>
        <v/>
      </c>
      <c r="E153" s="10" t="n"/>
      <c r="F153" s="10" t="n"/>
      <c r="G153" s="10" t="n"/>
      <c r="H153" s="13">
        <f>IF(OR(F153="",G153=""),"",G153-F153)</f>
        <v/>
      </c>
      <c r="I153" s="13">
        <f>IF(A153="","","S"&amp;MIN(4,INT((DAY(A153)-1)/7)+1))</f>
        <v/>
      </c>
      <c r="J153" s="13">
        <f>IF(A153="","",MONTH(A153))</f>
        <v/>
      </c>
      <c r="K153" s="13">
        <f>IF(A153="","",YEAR(A153))</f>
        <v/>
      </c>
    </row>
    <row r="154">
      <c r="A154" s="18" t="n"/>
      <c r="B154" s="9" t="n"/>
      <c r="C154" s="13">
        <f>IF(B154="","",IFERROR(INDEX(Produits!$B$5:$B$44,MATCH(B154,Produits!$A$5:$A$44,0)),""))</f>
        <v/>
      </c>
      <c r="D154" s="13">
        <f>IF(B154="","",IFERROR(INDEX(Produits!$C$5:$C$44,MATCH(B154,Produits!$A$5:$A$44,0)),""))</f>
        <v/>
      </c>
      <c r="E154" s="10" t="n"/>
      <c r="F154" s="10" t="n"/>
      <c r="G154" s="10" t="n"/>
      <c r="H154" s="13">
        <f>IF(OR(F154="",G154=""),"",G154-F154)</f>
        <v/>
      </c>
      <c r="I154" s="13">
        <f>IF(A154="","","S"&amp;MIN(4,INT((DAY(A154)-1)/7)+1))</f>
        <v/>
      </c>
      <c r="J154" s="13">
        <f>IF(A154="","",MONTH(A154))</f>
        <v/>
      </c>
      <c r="K154" s="13">
        <f>IF(A154="","",YEAR(A154))</f>
        <v/>
      </c>
    </row>
    <row r="155">
      <c r="A155" s="18" t="n"/>
      <c r="B155" s="9" t="n"/>
      <c r="C155" s="13">
        <f>IF(B155="","",IFERROR(INDEX(Produits!$B$5:$B$44,MATCH(B155,Produits!$A$5:$A$44,0)),""))</f>
        <v/>
      </c>
      <c r="D155" s="13">
        <f>IF(B155="","",IFERROR(INDEX(Produits!$C$5:$C$44,MATCH(B155,Produits!$A$5:$A$44,0)),""))</f>
        <v/>
      </c>
      <c r="E155" s="10" t="n"/>
      <c r="F155" s="10" t="n"/>
      <c r="G155" s="10" t="n"/>
      <c r="H155" s="13">
        <f>IF(OR(F155="",G155=""),"",G155-F155)</f>
        <v/>
      </c>
      <c r="I155" s="13">
        <f>IF(A155="","","S"&amp;MIN(4,INT((DAY(A155)-1)/7)+1))</f>
        <v/>
      </c>
      <c r="J155" s="13">
        <f>IF(A155="","",MONTH(A155))</f>
        <v/>
      </c>
      <c r="K155" s="13">
        <f>IF(A155="","",YEAR(A155))</f>
        <v/>
      </c>
    </row>
    <row r="156">
      <c r="A156" s="18" t="n"/>
      <c r="B156" s="9" t="n"/>
      <c r="C156" s="13">
        <f>IF(B156="","",IFERROR(INDEX(Produits!$B$5:$B$44,MATCH(B156,Produits!$A$5:$A$44,0)),""))</f>
        <v/>
      </c>
      <c r="D156" s="13">
        <f>IF(B156="","",IFERROR(INDEX(Produits!$C$5:$C$44,MATCH(B156,Produits!$A$5:$A$44,0)),""))</f>
        <v/>
      </c>
      <c r="E156" s="10" t="n"/>
      <c r="F156" s="10" t="n"/>
      <c r="G156" s="10" t="n"/>
      <c r="H156" s="13">
        <f>IF(OR(F156="",G156=""),"",G156-F156)</f>
        <v/>
      </c>
      <c r="I156" s="13">
        <f>IF(A156="","","S"&amp;MIN(4,INT((DAY(A156)-1)/7)+1))</f>
        <v/>
      </c>
      <c r="J156" s="13">
        <f>IF(A156="","",MONTH(A156))</f>
        <v/>
      </c>
      <c r="K156" s="13">
        <f>IF(A156="","",YEAR(A156))</f>
        <v/>
      </c>
    </row>
    <row r="157">
      <c r="A157" s="18" t="n"/>
      <c r="B157" s="9" t="n"/>
      <c r="C157" s="13">
        <f>IF(B157="","",IFERROR(INDEX(Produits!$B$5:$B$44,MATCH(B157,Produits!$A$5:$A$44,0)),""))</f>
        <v/>
      </c>
      <c r="D157" s="13">
        <f>IF(B157="","",IFERROR(INDEX(Produits!$C$5:$C$44,MATCH(B157,Produits!$A$5:$A$44,0)),""))</f>
        <v/>
      </c>
      <c r="E157" s="10" t="n"/>
      <c r="F157" s="10" t="n"/>
      <c r="G157" s="10" t="n"/>
      <c r="H157" s="13">
        <f>IF(OR(F157="",G157=""),"",G157-F157)</f>
        <v/>
      </c>
      <c r="I157" s="13">
        <f>IF(A157="","","S"&amp;MIN(4,INT((DAY(A157)-1)/7)+1))</f>
        <v/>
      </c>
      <c r="J157" s="13">
        <f>IF(A157="","",MONTH(A157))</f>
        <v/>
      </c>
      <c r="K157" s="13">
        <f>IF(A157="","",YEAR(A157))</f>
        <v/>
      </c>
    </row>
    <row r="158">
      <c r="A158" s="18" t="n"/>
      <c r="B158" s="9" t="n"/>
      <c r="C158" s="13">
        <f>IF(B158="","",IFERROR(INDEX(Produits!$B$5:$B$44,MATCH(B158,Produits!$A$5:$A$44,0)),""))</f>
        <v/>
      </c>
      <c r="D158" s="13">
        <f>IF(B158="","",IFERROR(INDEX(Produits!$C$5:$C$44,MATCH(B158,Produits!$A$5:$A$44,0)),""))</f>
        <v/>
      </c>
      <c r="E158" s="10" t="n"/>
      <c r="F158" s="10" t="n"/>
      <c r="G158" s="10" t="n"/>
      <c r="H158" s="13">
        <f>IF(OR(F158="",G158=""),"",G158-F158)</f>
        <v/>
      </c>
      <c r="I158" s="13">
        <f>IF(A158="","","S"&amp;MIN(4,INT((DAY(A158)-1)/7)+1))</f>
        <v/>
      </c>
      <c r="J158" s="13">
        <f>IF(A158="","",MONTH(A158))</f>
        <v/>
      </c>
      <c r="K158" s="13">
        <f>IF(A158="","",YEAR(A158))</f>
        <v/>
      </c>
    </row>
    <row r="159">
      <c r="A159" s="18" t="n"/>
      <c r="B159" s="9" t="n"/>
      <c r="C159" s="13">
        <f>IF(B159="","",IFERROR(INDEX(Produits!$B$5:$B$44,MATCH(B159,Produits!$A$5:$A$44,0)),""))</f>
        <v/>
      </c>
      <c r="D159" s="13">
        <f>IF(B159="","",IFERROR(INDEX(Produits!$C$5:$C$44,MATCH(B159,Produits!$A$5:$A$44,0)),""))</f>
        <v/>
      </c>
      <c r="E159" s="10" t="n"/>
      <c r="F159" s="10" t="n"/>
      <c r="G159" s="10" t="n"/>
      <c r="H159" s="13">
        <f>IF(OR(F159="",G159=""),"",G159-F159)</f>
        <v/>
      </c>
      <c r="I159" s="13">
        <f>IF(A159="","","S"&amp;MIN(4,INT((DAY(A159)-1)/7)+1))</f>
        <v/>
      </c>
      <c r="J159" s="13">
        <f>IF(A159="","",MONTH(A159))</f>
        <v/>
      </c>
      <c r="K159" s="13">
        <f>IF(A159="","",YEAR(A159))</f>
        <v/>
      </c>
    </row>
    <row r="160">
      <c r="A160" s="18" t="n"/>
      <c r="B160" s="9" t="n"/>
      <c r="C160" s="13">
        <f>IF(B160="","",IFERROR(INDEX(Produits!$B$5:$B$44,MATCH(B160,Produits!$A$5:$A$44,0)),""))</f>
        <v/>
      </c>
      <c r="D160" s="13">
        <f>IF(B160="","",IFERROR(INDEX(Produits!$C$5:$C$44,MATCH(B160,Produits!$A$5:$A$44,0)),""))</f>
        <v/>
      </c>
      <c r="E160" s="10" t="n"/>
      <c r="F160" s="10" t="n"/>
      <c r="G160" s="10" t="n"/>
      <c r="H160" s="13">
        <f>IF(OR(F160="",G160=""),"",G160-F160)</f>
        <v/>
      </c>
      <c r="I160" s="13">
        <f>IF(A160="","","S"&amp;MIN(4,INT((DAY(A160)-1)/7)+1))</f>
        <v/>
      </c>
      <c r="J160" s="13">
        <f>IF(A160="","",MONTH(A160))</f>
        <v/>
      </c>
      <c r="K160" s="13">
        <f>IF(A160="","",YEAR(A160))</f>
        <v/>
      </c>
    </row>
    <row r="161">
      <c r="A161" s="18" t="n"/>
      <c r="B161" s="9" t="n"/>
      <c r="C161" s="13">
        <f>IF(B161="","",IFERROR(INDEX(Produits!$B$5:$B$44,MATCH(B161,Produits!$A$5:$A$44,0)),""))</f>
        <v/>
      </c>
      <c r="D161" s="13">
        <f>IF(B161="","",IFERROR(INDEX(Produits!$C$5:$C$44,MATCH(B161,Produits!$A$5:$A$44,0)),""))</f>
        <v/>
      </c>
      <c r="E161" s="10" t="n"/>
      <c r="F161" s="10" t="n"/>
      <c r="G161" s="10" t="n"/>
      <c r="H161" s="13">
        <f>IF(OR(F161="",G161=""),"",G161-F161)</f>
        <v/>
      </c>
      <c r="I161" s="13">
        <f>IF(A161="","","S"&amp;MIN(4,INT((DAY(A161)-1)/7)+1))</f>
        <v/>
      </c>
      <c r="J161" s="13">
        <f>IF(A161="","",MONTH(A161))</f>
        <v/>
      </c>
      <c r="K161" s="13">
        <f>IF(A161="","",YEAR(A161))</f>
        <v/>
      </c>
    </row>
    <row r="162">
      <c r="A162" s="18" t="n"/>
      <c r="B162" s="9" t="n"/>
      <c r="C162" s="13">
        <f>IF(B162="","",IFERROR(INDEX(Produits!$B$5:$B$44,MATCH(B162,Produits!$A$5:$A$44,0)),""))</f>
        <v/>
      </c>
      <c r="D162" s="13">
        <f>IF(B162="","",IFERROR(INDEX(Produits!$C$5:$C$44,MATCH(B162,Produits!$A$5:$A$44,0)),""))</f>
        <v/>
      </c>
      <c r="E162" s="10" t="n"/>
      <c r="F162" s="10" t="n"/>
      <c r="G162" s="10" t="n"/>
      <c r="H162" s="13">
        <f>IF(OR(F162="",G162=""),"",G162-F162)</f>
        <v/>
      </c>
      <c r="I162" s="13">
        <f>IF(A162="","","S"&amp;MIN(4,INT((DAY(A162)-1)/7)+1))</f>
        <v/>
      </c>
      <c r="J162" s="13">
        <f>IF(A162="","",MONTH(A162))</f>
        <v/>
      </c>
      <c r="K162" s="13">
        <f>IF(A162="","",YEAR(A162))</f>
        <v/>
      </c>
    </row>
    <row r="163">
      <c r="A163" s="18" t="n"/>
      <c r="B163" s="9" t="n"/>
      <c r="C163" s="13">
        <f>IF(B163="","",IFERROR(INDEX(Produits!$B$5:$B$44,MATCH(B163,Produits!$A$5:$A$44,0)),""))</f>
        <v/>
      </c>
      <c r="D163" s="13">
        <f>IF(B163="","",IFERROR(INDEX(Produits!$C$5:$C$44,MATCH(B163,Produits!$A$5:$A$44,0)),""))</f>
        <v/>
      </c>
      <c r="E163" s="10" t="n"/>
      <c r="F163" s="10" t="n"/>
      <c r="G163" s="10" t="n"/>
      <c r="H163" s="13">
        <f>IF(OR(F163="",G163=""),"",G163-F163)</f>
        <v/>
      </c>
      <c r="I163" s="13">
        <f>IF(A163="","","S"&amp;MIN(4,INT((DAY(A163)-1)/7)+1))</f>
        <v/>
      </c>
      <c r="J163" s="13">
        <f>IF(A163="","",MONTH(A163))</f>
        <v/>
      </c>
      <c r="K163" s="13">
        <f>IF(A163="","",YEAR(A163))</f>
        <v/>
      </c>
    </row>
    <row r="164">
      <c r="A164" s="18" t="n"/>
      <c r="B164" s="9" t="n"/>
      <c r="C164" s="13">
        <f>IF(B164="","",IFERROR(INDEX(Produits!$B$5:$B$44,MATCH(B164,Produits!$A$5:$A$44,0)),""))</f>
        <v/>
      </c>
      <c r="D164" s="13">
        <f>IF(B164="","",IFERROR(INDEX(Produits!$C$5:$C$44,MATCH(B164,Produits!$A$5:$A$44,0)),""))</f>
        <v/>
      </c>
      <c r="E164" s="10" t="n"/>
      <c r="F164" s="10" t="n"/>
      <c r="G164" s="10" t="n"/>
      <c r="H164" s="13">
        <f>IF(OR(F164="",G164=""),"",G164-F164)</f>
        <v/>
      </c>
      <c r="I164" s="13">
        <f>IF(A164="","","S"&amp;MIN(4,INT((DAY(A164)-1)/7)+1))</f>
        <v/>
      </c>
      <c r="J164" s="13">
        <f>IF(A164="","",MONTH(A164))</f>
        <v/>
      </c>
      <c r="K164" s="13">
        <f>IF(A164="","",YEAR(A164))</f>
        <v/>
      </c>
    </row>
    <row r="165">
      <c r="A165" s="18" t="n"/>
      <c r="B165" s="9" t="n"/>
      <c r="C165" s="13">
        <f>IF(B165="","",IFERROR(INDEX(Produits!$B$5:$B$44,MATCH(B165,Produits!$A$5:$A$44,0)),""))</f>
        <v/>
      </c>
      <c r="D165" s="13">
        <f>IF(B165="","",IFERROR(INDEX(Produits!$C$5:$C$44,MATCH(B165,Produits!$A$5:$A$44,0)),""))</f>
        <v/>
      </c>
      <c r="E165" s="10" t="n"/>
      <c r="F165" s="10" t="n"/>
      <c r="G165" s="10" t="n"/>
      <c r="H165" s="13">
        <f>IF(OR(F165="",G165=""),"",G165-F165)</f>
        <v/>
      </c>
      <c r="I165" s="13">
        <f>IF(A165="","","S"&amp;MIN(4,INT((DAY(A165)-1)/7)+1))</f>
        <v/>
      </c>
      <c r="J165" s="13">
        <f>IF(A165="","",MONTH(A165))</f>
        <v/>
      </c>
      <c r="K165" s="13">
        <f>IF(A165="","",YEAR(A165))</f>
        <v/>
      </c>
    </row>
    <row r="166">
      <c r="A166" s="18" t="n"/>
      <c r="B166" s="9" t="n"/>
      <c r="C166" s="13">
        <f>IF(B166="","",IFERROR(INDEX(Produits!$B$5:$B$44,MATCH(B166,Produits!$A$5:$A$44,0)),""))</f>
        <v/>
      </c>
      <c r="D166" s="13">
        <f>IF(B166="","",IFERROR(INDEX(Produits!$C$5:$C$44,MATCH(B166,Produits!$A$5:$A$44,0)),""))</f>
        <v/>
      </c>
      <c r="E166" s="10" t="n"/>
      <c r="F166" s="10" t="n"/>
      <c r="G166" s="10" t="n"/>
      <c r="H166" s="13">
        <f>IF(OR(F166="",G166=""),"",G166-F166)</f>
        <v/>
      </c>
      <c r="I166" s="13">
        <f>IF(A166="","","S"&amp;MIN(4,INT((DAY(A166)-1)/7)+1))</f>
        <v/>
      </c>
      <c r="J166" s="13">
        <f>IF(A166="","",MONTH(A166))</f>
        <v/>
      </c>
      <c r="K166" s="13">
        <f>IF(A166="","",YEAR(A166))</f>
        <v/>
      </c>
    </row>
    <row r="167">
      <c r="A167" s="18" t="n"/>
      <c r="B167" s="9" t="n"/>
      <c r="C167" s="13">
        <f>IF(B167="","",IFERROR(INDEX(Produits!$B$5:$B$44,MATCH(B167,Produits!$A$5:$A$44,0)),""))</f>
        <v/>
      </c>
      <c r="D167" s="13">
        <f>IF(B167="","",IFERROR(INDEX(Produits!$C$5:$C$44,MATCH(B167,Produits!$A$5:$A$44,0)),""))</f>
        <v/>
      </c>
      <c r="E167" s="10" t="n"/>
      <c r="F167" s="10" t="n"/>
      <c r="G167" s="10" t="n"/>
      <c r="H167" s="13">
        <f>IF(OR(F167="",G167=""),"",G167-F167)</f>
        <v/>
      </c>
      <c r="I167" s="13">
        <f>IF(A167="","","S"&amp;MIN(4,INT((DAY(A167)-1)/7)+1))</f>
        <v/>
      </c>
      <c r="J167" s="13">
        <f>IF(A167="","",MONTH(A167))</f>
        <v/>
      </c>
      <c r="K167" s="13">
        <f>IF(A167="","",YEAR(A167))</f>
        <v/>
      </c>
    </row>
    <row r="168">
      <c r="A168" s="18" t="n"/>
      <c r="B168" s="9" t="n"/>
      <c r="C168" s="13">
        <f>IF(B168="","",IFERROR(INDEX(Produits!$B$5:$B$44,MATCH(B168,Produits!$A$5:$A$44,0)),""))</f>
        <v/>
      </c>
      <c r="D168" s="13">
        <f>IF(B168="","",IFERROR(INDEX(Produits!$C$5:$C$44,MATCH(B168,Produits!$A$5:$A$44,0)),""))</f>
        <v/>
      </c>
      <c r="E168" s="10" t="n"/>
      <c r="F168" s="10" t="n"/>
      <c r="G168" s="10" t="n"/>
      <c r="H168" s="13">
        <f>IF(OR(F168="",G168=""),"",G168-F168)</f>
        <v/>
      </c>
      <c r="I168" s="13">
        <f>IF(A168="","","S"&amp;MIN(4,INT((DAY(A168)-1)/7)+1))</f>
        <v/>
      </c>
      <c r="J168" s="13">
        <f>IF(A168="","",MONTH(A168))</f>
        <v/>
      </c>
      <c r="K168" s="13">
        <f>IF(A168="","",YEAR(A168))</f>
        <v/>
      </c>
    </row>
    <row r="169">
      <c r="A169" s="18" t="n"/>
      <c r="B169" s="9" t="n"/>
      <c r="C169" s="13">
        <f>IF(B169="","",IFERROR(INDEX(Produits!$B$5:$B$44,MATCH(B169,Produits!$A$5:$A$44,0)),""))</f>
        <v/>
      </c>
      <c r="D169" s="13">
        <f>IF(B169="","",IFERROR(INDEX(Produits!$C$5:$C$44,MATCH(B169,Produits!$A$5:$A$44,0)),""))</f>
        <v/>
      </c>
      <c r="E169" s="10" t="n"/>
      <c r="F169" s="10" t="n"/>
      <c r="G169" s="10" t="n"/>
      <c r="H169" s="13">
        <f>IF(OR(F169="",G169=""),"",G169-F169)</f>
        <v/>
      </c>
      <c r="I169" s="13">
        <f>IF(A169="","","S"&amp;MIN(4,INT((DAY(A169)-1)/7)+1))</f>
        <v/>
      </c>
      <c r="J169" s="13">
        <f>IF(A169="","",MONTH(A169))</f>
        <v/>
      </c>
      <c r="K169" s="13">
        <f>IF(A169="","",YEAR(A169))</f>
        <v/>
      </c>
    </row>
    <row r="170">
      <c r="A170" s="18" t="n"/>
      <c r="B170" s="9" t="n"/>
      <c r="C170" s="13">
        <f>IF(B170="","",IFERROR(INDEX(Produits!$B$5:$B$44,MATCH(B170,Produits!$A$5:$A$44,0)),""))</f>
        <v/>
      </c>
      <c r="D170" s="13">
        <f>IF(B170="","",IFERROR(INDEX(Produits!$C$5:$C$44,MATCH(B170,Produits!$A$5:$A$44,0)),""))</f>
        <v/>
      </c>
      <c r="E170" s="10" t="n"/>
      <c r="F170" s="10" t="n"/>
      <c r="G170" s="10" t="n"/>
      <c r="H170" s="13">
        <f>IF(OR(F170="",G170=""),"",G170-F170)</f>
        <v/>
      </c>
      <c r="I170" s="13">
        <f>IF(A170="","","S"&amp;MIN(4,INT((DAY(A170)-1)/7)+1))</f>
        <v/>
      </c>
      <c r="J170" s="13">
        <f>IF(A170="","",MONTH(A170))</f>
        <v/>
      </c>
      <c r="K170" s="13">
        <f>IF(A170="","",YEAR(A170))</f>
        <v/>
      </c>
    </row>
    <row r="171">
      <c r="A171" s="18" t="n"/>
      <c r="B171" s="9" t="n"/>
      <c r="C171" s="13">
        <f>IF(B171="","",IFERROR(INDEX(Produits!$B$5:$B$44,MATCH(B171,Produits!$A$5:$A$44,0)),""))</f>
        <v/>
      </c>
      <c r="D171" s="13">
        <f>IF(B171="","",IFERROR(INDEX(Produits!$C$5:$C$44,MATCH(B171,Produits!$A$5:$A$44,0)),""))</f>
        <v/>
      </c>
      <c r="E171" s="10" t="n"/>
      <c r="F171" s="10" t="n"/>
      <c r="G171" s="10" t="n"/>
      <c r="H171" s="13">
        <f>IF(OR(F171="",G171=""),"",G171-F171)</f>
        <v/>
      </c>
      <c r="I171" s="13">
        <f>IF(A171="","","S"&amp;MIN(4,INT((DAY(A171)-1)/7)+1))</f>
        <v/>
      </c>
      <c r="J171" s="13">
        <f>IF(A171="","",MONTH(A171))</f>
        <v/>
      </c>
      <c r="K171" s="13">
        <f>IF(A171="","",YEAR(A171))</f>
        <v/>
      </c>
    </row>
    <row r="172">
      <c r="A172" s="18" t="n"/>
      <c r="B172" s="9" t="n"/>
      <c r="C172" s="13">
        <f>IF(B172="","",IFERROR(INDEX(Produits!$B$5:$B$44,MATCH(B172,Produits!$A$5:$A$44,0)),""))</f>
        <v/>
      </c>
      <c r="D172" s="13">
        <f>IF(B172="","",IFERROR(INDEX(Produits!$C$5:$C$44,MATCH(B172,Produits!$A$5:$A$44,0)),""))</f>
        <v/>
      </c>
      <c r="E172" s="10" t="n"/>
      <c r="F172" s="10" t="n"/>
      <c r="G172" s="10" t="n"/>
      <c r="H172" s="13">
        <f>IF(OR(F172="",G172=""),"",G172-F172)</f>
        <v/>
      </c>
      <c r="I172" s="13">
        <f>IF(A172="","","S"&amp;MIN(4,INT((DAY(A172)-1)/7)+1))</f>
        <v/>
      </c>
      <c r="J172" s="13">
        <f>IF(A172="","",MONTH(A172))</f>
        <v/>
      </c>
      <c r="K172" s="13">
        <f>IF(A172="","",YEAR(A172))</f>
        <v/>
      </c>
    </row>
    <row r="173">
      <c r="A173" s="18" t="n"/>
      <c r="B173" s="9" t="n"/>
      <c r="C173" s="13">
        <f>IF(B173="","",IFERROR(INDEX(Produits!$B$5:$B$44,MATCH(B173,Produits!$A$5:$A$44,0)),""))</f>
        <v/>
      </c>
      <c r="D173" s="13">
        <f>IF(B173="","",IFERROR(INDEX(Produits!$C$5:$C$44,MATCH(B173,Produits!$A$5:$A$44,0)),""))</f>
        <v/>
      </c>
      <c r="E173" s="10" t="n"/>
      <c r="F173" s="10" t="n"/>
      <c r="G173" s="10" t="n"/>
      <c r="H173" s="13">
        <f>IF(OR(F173="",G173=""),"",G173-F173)</f>
        <v/>
      </c>
      <c r="I173" s="13">
        <f>IF(A173="","","S"&amp;MIN(4,INT((DAY(A173)-1)/7)+1))</f>
        <v/>
      </c>
      <c r="J173" s="13">
        <f>IF(A173="","",MONTH(A173))</f>
        <v/>
      </c>
      <c r="K173" s="13">
        <f>IF(A173="","",YEAR(A173))</f>
        <v/>
      </c>
    </row>
    <row r="174">
      <c r="A174" s="18" t="n"/>
      <c r="B174" s="9" t="n"/>
      <c r="C174" s="13">
        <f>IF(B174="","",IFERROR(INDEX(Produits!$B$5:$B$44,MATCH(B174,Produits!$A$5:$A$44,0)),""))</f>
        <v/>
      </c>
      <c r="D174" s="13">
        <f>IF(B174="","",IFERROR(INDEX(Produits!$C$5:$C$44,MATCH(B174,Produits!$A$5:$A$44,0)),""))</f>
        <v/>
      </c>
      <c r="E174" s="10" t="n"/>
      <c r="F174" s="10" t="n"/>
      <c r="G174" s="10" t="n"/>
      <c r="H174" s="13">
        <f>IF(OR(F174="",G174=""),"",G174-F174)</f>
        <v/>
      </c>
      <c r="I174" s="13">
        <f>IF(A174="","","S"&amp;MIN(4,INT((DAY(A174)-1)/7)+1))</f>
        <v/>
      </c>
      <c r="J174" s="13">
        <f>IF(A174="","",MONTH(A174))</f>
        <v/>
      </c>
      <c r="K174" s="13">
        <f>IF(A174="","",YEAR(A174))</f>
        <v/>
      </c>
    </row>
    <row r="175">
      <c r="A175" s="18" t="n"/>
      <c r="B175" s="9" t="n"/>
      <c r="C175" s="13">
        <f>IF(B175="","",IFERROR(INDEX(Produits!$B$5:$B$44,MATCH(B175,Produits!$A$5:$A$44,0)),""))</f>
        <v/>
      </c>
      <c r="D175" s="13">
        <f>IF(B175="","",IFERROR(INDEX(Produits!$C$5:$C$44,MATCH(B175,Produits!$A$5:$A$44,0)),""))</f>
        <v/>
      </c>
      <c r="E175" s="10" t="n"/>
      <c r="F175" s="10" t="n"/>
      <c r="G175" s="10" t="n"/>
      <c r="H175" s="13">
        <f>IF(OR(F175="",G175=""),"",G175-F175)</f>
        <v/>
      </c>
      <c r="I175" s="13">
        <f>IF(A175="","","S"&amp;MIN(4,INT((DAY(A175)-1)/7)+1))</f>
        <v/>
      </c>
      <c r="J175" s="13">
        <f>IF(A175="","",MONTH(A175))</f>
        <v/>
      </c>
      <c r="K175" s="13">
        <f>IF(A175="","",YEAR(A175))</f>
        <v/>
      </c>
    </row>
    <row r="176">
      <c r="A176" s="18" t="n"/>
      <c r="B176" s="9" t="n"/>
      <c r="C176" s="13">
        <f>IF(B176="","",IFERROR(INDEX(Produits!$B$5:$B$44,MATCH(B176,Produits!$A$5:$A$44,0)),""))</f>
        <v/>
      </c>
      <c r="D176" s="13">
        <f>IF(B176="","",IFERROR(INDEX(Produits!$C$5:$C$44,MATCH(B176,Produits!$A$5:$A$44,0)),""))</f>
        <v/>
      </c>
      <c r="E176" s="10" t="n"/>
      <c r="F176" s="10" t="n"/>
      <c r="G176" s="10" t="n"/>
      <c r="H176" s="13">
        <f>IF(OR(F176="",G176=""),"",G176-F176)</f>
        <v/>
      </c>
      <c r="I176" s="13">
        <f>IF(A176="","","S"&amp;MIN(4,INT((DAY(A176)-1)/7)+1))</f>
        <v/>
      </c>
      <c r="J176" s="13">
        <f>IF(A176="","",MONTH(A176))</f>
        <v/>
      </c>
      <c r="K176" s="13">
        <f>IF(A176="","",YEAR(A176))</f>
        <v/>
      </c>
    </row>
    <row r="177">
      <c r="A177" s="18" t="n"/>
      <c r="B177" s="9" t="n"/>
      <c r="C177" s="13">
        <f>IF(B177="","",IFERROR(INDEX(Produits!$B$5:$B$44,MATCH(B177,Produits!$A$5:$A$44,0)),""))</f>
        <v/>
      </c>
      <c r="D177" s="13">
        <f>IF(B177="","",IFERROR(INDEX(Produits!$C$5:$C$44,MATCH(B177,Produits!$A$5:$A$44,0)),""))</f>
        <v/>
      </c>
      <c r="E177" s="10" t="n"/>
      <c r="F177" s="10" t="n"/>
      <c r="G177" s="10" t="n"/>
      <c r="H177" s="13">
        <f>IF(OR(F177="",G177=""),"",G177-F177)</f>
        <v/>
      </c>
      <c r="I177" s="13">
        <f>IF(A177="","","S"&amp;MIN(4,INT((DAY(A177)-1)/7)+1))</f>
        <v/>
      </c>
      <c r="J177" s="13">
        <f>IF(A177="","",MONTH(A177))</f>
        <v/>
      </c>
      <c r="K177" s="13">
        <f>IF(A177="","",YEAR(A177))</f>
        <v/>
      </c>
    </row>
    <row r="178">
      <c r="A178" s="18" t="n"/>
      <c r="B178" s="9" t="n"/>
      <c r="C178" s="13">
        <f>IF(B178="","",IFERROR(INDEX(Produits!$B$5:$B$44,MATCH(B178,Produits!$A$5:$A$44,0)),""))</f>
        <v/>
      </c>
      <c r="D178" s="13">
        <f>IF(B178="","",IFERROR(INDEX(Produits!$C$5:$C$44,MATCH(B178,Produits!$A$5:$A$44,0)),""))</f>
        <v/>
      </c>
      <c r="E178" s="10" t="n"/>
      <c r="F178" s="10" t="n"/>
      <c r="G178" s="10" t="n"/>
      <c r="H178" s="13">
        <f>IF(OR(F178="",G178=""),"",G178-F178)</f>
        <v/>
      </c>
      <c r="I178" s="13">
        <f>IF(A178="","","S"&amp;MIN(4,INT((DAY(A178)-1)/7)+1))</f>
        <v/>
      </c>
      <c r="J178" s="13">
        <f>IF(A178="","",MONTH(A178))</f>
        <v/>
      </c>
      <c r="K178" s="13">
        <f>IF(A178="","",YEAR(A178))</f>
        <v/>
      </c>
    </row>
    <row r="179">
      <c r="A179" s="18" t="n"/>
      <c r="B179" s="9" t="n"/>
      <c r="C179" s="13">
        <f>IF(B179="","",IFERROR(INDEX(Produits!$B$5:$B$44,MATCH(B179,Produits!$A$5:$A$44,0)),""))</f>
        <v/>
      </c>
      <c r="D179" s="13">
        <f>IF(B179="","",IFERROR(INDEX(Produits!$C$5:$C$44,MATCH(B179,Produits!$A$5:$A$44,0)),""))</f>
        <v/>
      </c>
      <c r="E179" s="10" t="n"/>
      <c r="F179" s="10" t="n"/>
      <c r="G179" s="10" t="n"/>
      <c r="H179" s="13">
        <f>IF(OR(F179="",G179=""),"",G179-F179)</f>
        <v/>
      </c>
      <c r="I179" s="13">
        <f>IF(A179="","","S"&amp;MIN(4,INT((DAY(A179)-1)/7)+1))</f>
        <v/>
      </c>
      <c r="J179" s="13">
        <f>IF(A179="","",MONTH(A179))</f>
        <v/>
      </c>
      <c r="K179" s="13">
        <f>IF(A179="","",YEAR(A179))</f>
        <v/>
      </c>
    </row>
    <row r="180">
      <c r="A180" s="18" t="n"/>
      <c r="B180" s="9" t="n"/>
      <c r="C180" s="13">
        <f>IF(B180="","",IFERROR(INDEX(Produits!$B$5:$B$44,MATCH(B180,Produits!$A$5:$A$44,0)),""))</f>
        <v/>
      </c>
      <c r="D180" s="13">
        <f>IF(B180="","",IFERROR(INDEX(Produits!$C$5:$C$44,MATCH(B180,Produits!$A$5:$A$44,0)),""))</f>
        <v/>
      </c>
      <c r="E180" s="10" t="n"/>
      <c r="F180" s="10" t="n"/>
      <c r="G180" s="10" t="n"/>
      <c r="H180" s="13">
        <f>IF(OR(F180="",G180=""),"",G180-F180)</f>
        <v/>
      </c>
      <c r="I180" s="13">
        <f>IF(A180="","","S"&amp;MIN(4,INT((DAY(A180)-1)/7)+1))</f>
        <v/>
      </c>
      <c r="J180" s="13">
        <f>IF(A180="","",MONTH(A180))</f>
        <v/>
      </c>
      <c r="K180" s="13">
        <f>IF(A180="","",YEAR(A180))</f>
        <v/>
      </c>
    </row>
    <row r="181">
      <c r="A181" s="18" t="n"/>
      <c r="B181" s="9" t="n"/>
      <c r="C181" s="13">
        <f>IF(B181="","",IFERROR(INDEX(Produits!$B$5:$B$44,MATCH(B181,Produits!$A$5:$A$44,0)),""))</f>
        <v/>
      </c>
      <c r="D181" s="13">
        <f>IF(B181="","",IFERROR(INDEX(Produits!$C$5:$C$44,MATCH(B181,Produits!$A$5:$A$44,0)),""))</f>
        <v/>
      </c>
      <c r="E181" s="10" t="n"/>
      <c r="F181" s="10" t="n"/>
      <c r="G181" s="10" t="n"/>
      <c r="H181" s="13">
        <f>IF(OR(F181="",G181=""),"",G181-F181)</f>
        <v/>
      </c>
      <c r="I181" s="13">
        <f>IF(A181="","","S"&amp;MIN(4,INT((DAY(A181)-1)/7)+1))</f>
        <v/>
      </c>
      <c r="J181" s="13">
        <f>IF(A181="","",MONTH(A181))</f>
        <v/>
      </c>
      <c r="K181" s="13">
        <f>IF(A181="","",YEAR(A181))</f>
        <v/>
      </c>
    </row>
    <row r="182">
      <c r="A182" s="18" t="n"/>
      <c r="B182" s="9" t="n"/>
      <c r="C182" s="13">
        <f>IF(B182="","",IFERROR(INDEX(Produits!$B$5:$B$44,MATCH(B182,Produits!$A$5:$A$44,0)),""))</f>
        <v/>
      </c>
      <c r="D182" s="13">
        <f>IF(B182="","",IFERROR(INDEX(Produits!$C$5:$C$44,MATCH(B182,Produits!$A$5:$A$44,0)),""))</f>
        <v/>
      </c>
      <c r="E182" s="10" t="n"/>
      <c r="F182" s="10" t="n"/>
      <c r="G182" s="10" t="n"/>
      <c r="H182" s="13">
        <f>IF(OR(F182="",G182=""),"",G182-F182)</f>
        <v/>
      </c>
      <c r="I182" s="13">
        <f>IF(A182="","","S"&amp;MIN(4,INT((DAY(A182)-1)/7)+1))</f>
        <v/>
      </c>
      <c r="J182" s="13">
        <f>IF(A182="","",MONTH(A182))</f>
        <v/>
      </c>
      <c r="K182" s="13">
        <f>IF(A182="","",YEAR(A182))</f>
        <v/>
      </c>
    </row>
    <row r="183">
      <c r="A183" s="18" t="n"/>
      <c r="B183" s="9" t="n"/>
      <c r="C183" s="13">
        <f>IF(B183="","",IFERROR(INDEX(Produits!$B$5:$B$44,MATCH(B183,Produits!$A$5:$A$44,0)),""))</f>
        <v/>
      </c>
      <c r="D183" s="13">
        <f>IF(B183="","",IFERROR(INDEX(Produits!$C$5:$C$44,MATCH(B183,Produits!$A$5:$A$44,0)),""))</f>
        <v/>
      </c>
      <c r="E183" s="10" t="n"/>
      <c r="F183" s="10" t="n"/>
      <c r="G183" s="10" t="n"/>
      <c r="H183" s="13">
        <f>IF(OR(F183="",G183=""),"",G183-F183)</f>
        <v/>
      </c>
      <c r="I183" s="13">
        <f>IF(A183="","","S"&amp;MIN(4,INT((DAY(A183)-1)/7)+1))</f>
        <v/>
      </c>
      <c r="J183" s="13">
        <f>IF(A183="","",MONTH(A183))</f>
        <v/>
      </c>
      <c r="K183" s="13">
        <f>IF(A183="","",YEAR(A183))</f>
        <v/>
      </c>
    </row>
    <row r="184">
      <c r="A184" s="18" t="n"/>
      <c r="B184" s="9" t="n"/>
      <c r="C184" s="13">
        <f>IF(B184="","",IFERROR(INDEX(Produits!$B$5:$B$44,MATCH(B184,Produits!$A$5:$A$44,0)),""))</f>
        <v/>
      </c>
      <c r="D184" s="13">
        <f>IF(B184="","",IFERROR(INDEX(Produits!$C$5:$C$44,MATCH(B184,Produits!$A$5:$A$44,0)),""))</f>
        <v/>
      </c>
      <c r="E184" s="10" t="n"/>
      <c r="F184" s="10" t="n"/>
      <c r="G184" s="10" t="n"/>
      <c r="H184" s="13">
        <f>IF(OR(F184="",G184=""),"",G184-F184)</f>
        <v/>
      </c>
      <c r="I184" s="13">
        <f>IF(A184="","","S"&amp;MIN(4,INT((DAY(A184)-1)/7)+1))</f>
        <v/>
      </c>
      <c r="J184" s="13">
        <f>IF(A184="","",MONTH(A184))</f>
        <v/>
      </c>
      <c r="K184" s="13">
        <f>IF(A184="","",YEAR(A184))</f>
        <v/>
      </c>
    </row>
    <row r="185">
      <c r="A185" s="18" t="n"/>
      <c r="B185" s="9" t="n"/>
      <c r="C185" s="13">
        <f>IF(B185="","",IFERROR(INDEX(Produits!$B$5:$B$44,MATCH(B185,Produits!$A$5:$A$44,0)),""))</f>
        <v/>
      </c>
      <c r="D185" s="13">
        <f>IF(B185="","",IFERROR(INDEX(Produits!$C$5:$C$44,MATCH(B185,Produits!$A$5:$A$44,0)),""))</f>
        <v/>
      </c>
      <c r="E185" s="10" t="n"/>
      <c r="F185" s="10" t="n"/>
      <c r="G185" s="10" t="n"/>
      <c r="H185" s="13">
        <f>IF(OR(F185="",G185=""),"",G185-F185)</f>
        <v/>
      </c>
      <c r="I185" s="13">
        <f>IF(A185="","","S"&amp;MIN(4,INT((DAY(A185)-1)/7)+1))</f>
        <v/>
      </c>
      <c r="J185" s="13">
        <f>IF(A185="","",MONTH(A185))</f>
        <v/>
      </c>
      <c r="K185" s="13">
        <f>IF(A185="","",YEAR(A185))</f>
        <v/>
      </c>
    </row>
    <row r="186">
      <c r="A186" s="18" t="n"/>
      <c r="B186" s="9" t="n"/>
      <c r="C186" s="13">
        <f>IF(B186="","",IFERROR(INDEX(Produits!$B$5:$B$44,MATCH(B186,Produits!$A$5:$A$44,0)),""))</f>
        <v/>
      </c>
      <c r="D186" s="13">
        <f>IF(B186="","",IFERROR(INDEX(Produits!$C$5:$C$44,MATCH(B186,Produits!$A$5:$A$44,0)),""))</f>
        <v/>
      </c>
      <c r="E186" s="10" t="n"/>
      <c r="F186" s="10" t="n"/>
      <c r="G186" s="10" t="n"/>
      <c r="H186" s="13">
        <f>IF(OR(F186="",G186=""),"",G186-F186)</f>
        <v/>
      </c>
      <c r="I186" s="13">
        <f>IF(A186="","","S"&amp;MIN(4,INT((DAY(A186)-1)/7)+1))</f>
        <v/>
      </c>
      <c r="J186" s="13">
        <f>IF(A186="","",MONTH(A186))</f>
        <v/>
      </c>
      <c r="K186" s="13">
        <f>IF(A186="","",YEAR(A186))</f>
        <v/>
      </c>
    </row>
    <row r="187">
      <c r="A187" s="18" t="n"/>
      <c r="B187" s="9" t="n"/>
      <c r="C187" s="13">
        <f>IF(B187="","",IFERROR(INDEX(Produits!$B$5:$B$44,MATCH(B187,Produits!$A$5:$A$44,0)),""))</f>
        <v/>
      </c>
      <c r="D187" s="13">
        <f>IF(B187="","",IFERROR(INDEX(Produits!$C$5:$C$44,MATCH(B187,Produits!$A$5:$A$44,0)),""))</f>
        <v/>
      </c>
      <c r="E187" s="10" t="n"/>
      <c r="F187" s="10" t="n"/>
      <c r="G187" s="10" t="n"/>
      <c r="H187" s="13">
        <f>IF(OR(F187="",G187=""),"",G187-F187)</f>
        <v/>
      </c>
      <c r="I187" s="13">
        <f>IF(A187="","","S"&amp;MIN(4,INT((DAY(A187)-1)/7)+1))</f>
        <v/>
      </c>
      <c r="J187" s="13">
        <f>IF(A187="","",MONTH(A187))</f>
        <v/>
      </c>
      <c r="K187" s="13">
        <f>IF(A187="","",YEAR(A187))</f>
        <v/>
      </c>
    </row>
    <row r="188">
      <c r="A188" s="18" t="n"/>
      <c r="B188" s="9" t="n"/>
      <c r="C188" s="13">
        <f>IF(B188="","",IFERROR(INDEX(Produits!$B$5:$B$44,MATCH(B188,Produits!$A$5:$A$44,0)),""))</f>
        <v/>
      </c>
      <c r="D188" s="13">
        <f>IF(B188="","",IFERROR(INDEX(Produits!$C$5:$C$44,MATCH(B188,Produits!$A$5:$A$44,0)),""))</f>
        <v/>
      </c>
      <c r="E188" s="10" t="n"/>
      <c r="F188" s="10" t="n"/>
      <c r="G188" s="10" t="n"/>
      <c r="H188" s="13">
        <f>IF(OR(F188="",G188=""),"",G188-F188)</f>
        <v/>
      </c>
      <c r="I188" s="13">
        <f>IF(A188="","","S"&amp;MIN(4,INT((DAY(A188)-1)/7)+1))</f>
        <v/>
      </c>
      <c r="J188" s="13">
        <f>IF(A188="","",MONTH(A188))</f>
        <v/>
      </c>
      <c r="K188" s="13">
        <f>IF(A188="","",YEAR(A188))</f>
        <v/>
      </c>
    </row>
    <row r="189">
      <c r="A189" s="18" t="n"/>
      <c r="B189" s="9" t="n"/>
      <c r="C189" s="13">
        <f>IF(B189="","",IFERROR(INDEX(Produits!$B$5:$B$44,MATCH(B189,Produits!$A$5:$A$44,0)),""))</f>
        <v/>
      </c>
      <c r="D189" s="13">
        <f>IF(B189="","",IFERROR(INDEX(Produits!$C$5:$C$44,MATCH(B189,Produits!$A$5:$A$44,0)),""))</f>
        <v/>
      </c>
      <c r="E189" s="10" t="n"/>
      <c r="F189" s="10" t="n"/>
      <c r="G189" s="10" t="n"/>
      <c r="H189" s="13">
        <f>IF(OR(F189="",G189=""),"",G189-F189)</f>
        <v/>
      </c>
      <c r="I189" s="13">
        <f>IF(A189="","","S"&amp;MIN(4,INT((DAY(A189)-1)/7)+1))</f>
        <v/>
      </c>
      <c r="J189" s="13">
        <f>IF(A189="","",MONTH(A189))</f>
        <v/>
      </c>
      <c r="K189" s="13">
        <f>IF(A189="","",YEAR(A189))</f>
        <v/>
      </c>
    </row>
    <row r="190">
      <c r="A190" s="18" t="n"/>
      <c r="B190" s="9" t="n"/>
      <c r="C190" s="13">
        <f>IF(B190="","",IFERROR(INDEX(Produits!$B$5:$B$44,MATCH(B190,Produits!$A$5:$A$44,0)),""))</f>
        <v/>
      </c>
      <c r="D190" s="13">
        <f>IF(B190="","",IFERROR(INDEX(Produits!$C$5:$C$44,MATCH(B190,Produits!$A$5:$A$44,0)),""))</f>
        <v/>
      </c>
      <c r="E190" s="10" t="n"/>
      <c r="F190" s="10" t="n"/>
      <c r="G190" s="10" t="n"/>
      <c r="H190" s="13">
        <f>IF(OR(F190="",G190=""),"",G190-F190)</f>
        <v/>
      </c>
      <c r="I190" s="13">
        <f>IF(A190="","","S"&amp;MIN(4,INT((DAY(A190)-1)/7)+1))</f>
        <v/>
      </c>
      <c r="J190" s="13">
        <f>IF(A190="","",MONTH(A190))</f>
        <v/>
      </c>
      <c r="K190" s="13">
        <f>IF(A190="","",YEAR(A190))</f>
        <v/>
      </c>
    </row>
    <row r="191">
      <c r="A191" s="18" t="n"/>
      <c r="B191" s="9" t="n"/>
      <c r="C191" s="13">
        <f>IF(B191="","",IFERROR(INDEX(Produits!$B$5:$B$44,MATCH(B191,Produits!$A$5:$A$44,0)),""))</f>
        <v/>
      </c>
      <c r="D191" s="13">
        <f>IF(B191="","",IFERROR(INDEX(Produits!$C$5:$C$44,MATCH(B191,Produits!$A$5:$A$44,0)),""))</f>
        <v/>
      </c>
      <c r="E191" s="10" t="n"/>
      <c r="F191" s="10" t="n"/>
      <c r="G191" s="10" t="n"/>
      <c r="H191" s="13">
        <f>IF(OR(F191="",G191=""),"",G191-F191)</f>
        <v/>
      </c>
      <c r="I191" s="13">
        <f>IF(A191="","","S"&amp;MIN(4,INT((DAY(A191)-1)/7)+1))</f>
        <v/>
      </c>
      <c r="J191" s="13">
        <f>IF(A191="","",MONTH(A191))</f>
        <v/>
      </c>
      <c r="K191" s="13">
        <f>IF(A191="","",YEAR(A191))</f>
        <v/>
      </c>
    </row>
    <row r="192">
      <c r="A192" s="18" t="n"/>
      <c r="B192" s="9" t="n"/>
      <c r="C192" s="13">
        <f>IF(B192="","",IFERROR(INDEX(Produits!$B$5:$B$44,MATCH(B192,Produits!$A$5:$A$44,0)),""))</f>
        <v/>
      </c>
      <c r="D192" s="13">
        <f>IF(B192="","",IFERROR(INDEX(Produits!$C$5:$C$44,MATCH(B192,Produits!$A$5:$A$44,0)),""))</f>
        <v/>
      </c>
      <c r="E192" s="10" t="n"/>
      <c r="F192" s="10" t="n"/>
      <c r="G192" s="10" t="n"/>
      <c r="H192" s="13">
        <f>IF(OR(F192="",G192=""),"",G192-F192)</f>
        <v/>
      </c>
      <c r="I192" s="13">
        <f>IF(A192="","","S"&amp;MIN(4,INT((DAY(A192)-1)/7)+1))</f>
        <v/>
      </c>
      <c r="J192" s="13">
        <f>IF(A192="","",MONTH(A192))</f>
        <v/>
      </c>
      <c r="K192" s="13">
        <f>IF(A192="","",YEAR(A192))</f>
        <v/>
      </c>
    </row>
    <row r="193">
      <c r="A193" s="18" t="n"/>
      <c r="B193" s="9" t="n"/>
      <c r="C193" s="13">
        <f>IF(B193="","",IFERROR(INDEX(Produits!$B$5:$B$44,MATCH(B193,Produits!$A$5:$A$44,0)),""))</f>
        <v/>
      </c>
      <c r="D193" s="13">
        <f>IF(B193="","",IFERROR(INDEX(Produits!$C$5:$C$44,MATCH(B193,Produits!$A$5:$A$44,0)),""))</f>
        <v/>
      </c>
      <c r="E193" s="10" t="n"/>
      <c r="F193" s="10" t="n"/>
      <c r="G193" s="10" t="n"/>
      <c r="H193" s="13">
        <f>IF(OR(F193="",G193=""),"",G193-F193)</f>
        <v/>
      </c>
      <c r="I193" s="13">
        <f>IF(A193="","","S"&amp;MIN(4,INT((DAY(A193)-1)/7)+1))</f>
        <v/>
      </c>
      <c r="J193" s="13">
        <f>IF(A193="","",MONTH(A193))</f>
        <v/>
      </c>
      <c r="K193" s="13">
        <f>IF(A193="","",YEAR(A193))</f>
        <v/>
      </c>
    </row>
    <row r="194">
      <c r="A194" s="18" t="n"/>
      <c r="B194" s="9" t="n"/>
      <c r="C194" s="13">
        <f>IF(B194="","",IFERROR(INDEX(Produits!$B$5:$B$44,MATCH(B194,Produits!$A$5:$A$44,0)),""))</f>
        <v/>
      </c>
      <c r="D194" s="13">
        <f>IF(B194="","",IFERROR(INDEX(Produits!$C$5:$C$44,MATCH(B194,Produits!$A$5:$A$44,0)),""))</f>
        <v/>
      </c>
      <c r="E194" s="10" t="n"/>
      <c r="F194" s="10" t="n"/>
      <c r="G194" s="10" t="n"/>
      <c r="H194" s="13">
        <f>IF(OR(F194="",G194=""),"",G194-F194)</f>
        <v/>
      </c>
      <c r="I194" s="13">
        <f>IF(A194="","","S"&amp;MIN(4,INT((DAY(A194)-1)/7)+1))</f>
        <v/>
      </c>
      <c r="J194" s="13">
        <f>IF(A194="","",MONTH(A194))</f>
        <v/>
      </c>
      <c r="K194" s="13">
        <f>IF(A194="","",YEAR(A194))</f>
        <v/>
      </c>
    </row>
    <row r="195">
      <c r="A195" s="18" t="n"/>
      <c r="B195" s="9" t="n"/>
      <c r="C195" s="13">
        <f>IF(B195="","",IFERROR(INDEX(Produits!$B$5:$B$44,MATCH(B195,Produits!$A$5:$A$44,0)),""))</f>
        <v/>
      </c>
      <c r="D195" s="13">
        <f>IF(B195="","",IFERROR(INDEX(Produits!$C$5:$C$44,MATCH(B195,Produits!$A$5:$A$44,0)),""))</f>
        <v/>
      </c>
      <c r="E195" s="10" t="n"/>
      <c r="F195" s="10" t="n"/>
      <c r="G195" s="10" t="n"/>
      <c r="H195" s="13">
        <f>IF(OR(F195="",G195=""),"",G195-F195)</f>
        <v/>
      </c>
      <c r="I195" s="13">
        <f>IF(A195="","","S"&amp;MIN(4,INT((DAY(A195)-1)/7)+1))</f>
        <v/>
      </c>
      <c r="J195" s="13">
        <f>IF(A195="","",MONTH(A195))</f>
        <v/>
      </c>
      <c r="K195" s="13">
        <f>IF(A195="","",YEAR(A195))</f>
        <v/>
      </c>
    </row>
    <row r="196">
      <c r="A196" s="18" t="n"/>
      <c r="B196" s="9" t="n"/>
      <c r="C196" s="13">
        <f>IF(B196="","",IFERROR(INDEX(Produits!$B$5:$B$44,MATCH(B196,Produits!$A$5:$A$44,0)),""))</f>
        <v/>
      </c>
      <c r="D196" s="13">
        <f>IF(B196="","",IFERROR(INDEX(Produits!$C$5:$C$44,MATCH(B196,Produits!$A$5:$A$44,0)),""))</f>
        <v/>
      </c>
      <c r="E196" s="10" t="n"/>
      <c r="F196" s="10" t="n"/>
      <c r="G196" s="10" t="n"/>
      <c r="H196" s="13">
        <f>IF(OR(F196="",G196=""),"",G196-F196)</f>
        <v/>
      </c>
      <c r="I196" s="13">
        <f>IF(A196="","","S"&amp;MIN(4,INT((DAY(A196)-1)/7)+1))</f>
        <v/>
      </c>
      <c r="J196" s="13">
        <f>IF(A196="","",MONTH(A196))</f>
        <v/>
      </c>
      <c r="K196" s="13">
        <f>IF(A196="","",YEAR(A196))</f>
        <v/>
      </c>
    </row>
    <row r="197">
      <c r="A197" s="18" t="n"/>
      <c r="B197" s="9" t="n"/>
      <c r="C197" s="13">
        <f>IF(B197="","",IFERROR(INDEX(Produits!$B$5:$B$44,MATCH(B197,Produits!$A$5:$A$44,0)),""))</f>
        <v/>
      </c>
      <c r="D197" s="13">
        <f>IF(B197="","",IFERROR(INDEX(Produits!$C$5:$C$44,MATCH(B197,Produits!$A$5:$A$44,0)),""))</f>
        <v/>
      </c>
      <c r="E197" s="10" t="n"/>
      <c r="F197" s="10" t="n"/>
      <c r="G197" s="10" t="n"/>
      <c r="H197" s="13">
        <f>IF(OR(F197="",G197=""),"",G197-F197)</f>
        <v/>
      </c>
      <c r="I197" s="13">
        <f>IF(A197="","","S"&amp;MIN(4,INT((DAY(A197)-1)/7)+1))</f>
        <v/>
      </c>
      <c r="J197" s="13">
        <f>IF(A197="","",MONTH(A197))</f>
        <v/>
      </c>
      <c r="K197" s="13">
        <f>IF(A197="","",YEAR(A197))</f>
        <v/>
      </c>
    </row>
    <row r="198">
      <c r="A198" s="18" t="n"/>
      <c r="B198" s="9" t="n"/>
      <c r="C198" s="13">
        <f>IF(B198="","",IFERROR(INDEX(Produits!$B$5:$B$44,MATCH(B198,Produits!$A$5:$A$44,0)),""))</f>
        <v/>
      </c>
      <c r="D198" s="13">
        <f>IF(B198="","",IFERROR(INDEX(Produits!$C$5:$C$44,MATCH(B198,Produits!$A$5:$A$44,0)),""))</f>
        <v/>
      </c>
      <c r="E198" s="10" t="n"/>
      <c r="F198" s="10" t="n"/>
      <c r="G198" s="10" t="n"/>
      <c r="H198" s="13">
        <f>IF(OR(F198="",G198=""),"",G198-F198)</f>
        <v/>
      </c>
      <c r="I198" s="13">
        <f>IF(A198="","","S"&amp;MIN(4,INT((DAY(A198)-1)/7)+1))</f>
        <v/>
      </c>
      <c r="J198" s="13">
        <f>IF(A198="","",MONTH(A198))</f>
        <v/>
      </c>
      <c r="K198" s="13">
        <f>IF(A198="","",YEAR(A198))</f>
        <v/>
      </c>
    </row>
    <row r="199">
      <c r="A199" s="18" t="n"/>
      <c r="B199" s="9" t="n"/>
      <c r="C199" s="13">
        <f>IF(B199="","",IFERROR(INDEX(Produits!$B$5:$B$44,MATCH(B199,Produits!$A$5:$A$44,0)),""))</f>
        <v/>
      </c>
      <c r="D199" s="13">
        <f>IF(B199="","",IFERROR(INDEX(Produits!$C$5:$C$44,MATCH(B199,Produits!$A$5:$A$44,0)),""))</f>
        <v/>
      </c>
      <c r="E199" s="10" t="n"/>
      <c r="F199" s="10" t="n"/>
      <c r="G199" s="10" t="n"/>
      <c r="H199" s="13">
        <f>IF(OR(F199="",G199=""),"",G199-F199)</f>
        <v/>
      </c>
      <c r="I199" s="13">
        <f>IF(A199="","","S"&amp;MIN(4,INT((DAY(A199)-1)/7)+1))</f>
        <v/>
      </c>
      <c r="J199" s="13">
        <f>IF(A199="","",MONTH(A199))</f>
        <v/>
      </c>
      <c r="K199" s="13">
        <f>IF(A199="","",YEAR(A199))</f>
        <v/>
      </c>
    </row>
    <row r="200">
      <c r="A200" s="18" t="n"/>
      <c r="B200" s="9" t="n"/>
      <c r="C200" s="13">
        <f>IF(B200="","",IFERROR(INDEX(Produits!$B$5:$B$44,MATCH(B200,Produits!$A$5:$A$44,0)),""))</f>
        <v/>
      </c>
      <c r="D200" s="13">
        <f>IF(B200="","",IFERROR(INDEX(Produits!$C$5:$C$44,MATCH(B200,Produits!$A$5:$A$44,0)),""))</f>
        <v/>
      </c>
      <c r="E200" s="10" t="n"/>
      <c r="F200" s="10" t="n"/>
      <c r="G200" s="10" t="n"/>
      <c r="H200" s="13">
        <f>IF(OR(F200="",G200=""),"",G200-F200)</f>
        <v/>
      </c>
      <c r="I200" s="13">
        <f>IF(A200="","","S"&amp;MIN(4,INT((DAY(A200)-1)/7)+1))</f>
        <v/>
      </c>
      <c r="J200" s="13">
        <f>IF(A200="","",MONTH(A200))</f>
        <v/>
      </c>
      <c r="K200" s="13">
        <f>IF(A200="","",YEAR(A200))</f>
        <v/>
      </c>
    </row>
    <row r="201">
      <c r="A201" s="18" t="n"/>
      <c r="B201" s="9" t="n"/>
      <c r="C201" s="13">
        <f>IF(B201="","",IFERROR(INDEX(Produits!$B$5:$B$44,MATCH(B201,Produits!$A$5:$A$44,0)),""))</f>
        <v/>
      </c>
      <c r="D201" s="13">
        <f>IF(B201="","",IFERROR(INDEX(Produits!$C$5:$C$44,MATCH(B201,Produits!$A$5:$A$44,0)),""))</f>
        <v/>
      </c>
      <c r="E201" s="10" t="n"/>
      <c r="F201" s="10" t="n"/>
      <c r="G201" s="10" t="n"/>
      <c r="H201" s="13">
        <f>IF(OR(F201="",G201=""),"",G201-F201)</f>
        <v/>
      </c>
      <c r="I201" s="13">
        <f>IF(A201="","","S"&amp;MIN(4,INT((DAY(A201)-1)/7)+1))</f>
        <v/>
      </c>
      <c r="J201" s="13">
        <f>IF(A201="","",MONTH(A201))</f>
        <v/>
      </c>
      <c r="K201" s="13">
        <f>IF(A201="","",YEAR(A201))</f>
        <v/>
      </c>
    </row>
    <row r="202">
      <c r="A202" s="18" t="n"/>
      <c r="B202" s="9" t="n"/>
      <c r="C202" s="13">
        <f>IF(B202="","",IFERROR(INDEX(Produits!$B$5:$B$44,MATCH(B202,Produits!$A$5:$A$44,0)),""))</f>
        <v/>
      </c>
      <c r="D202" s="13">
        <f>IF(B202="","",IFERROR(INDEX(Produits!$C$5:$C$44,MATCH(B202,Produits!$A$5:$A$44,0)),""))</f>
        <v/>
      </c>
      <c r="E202" s="10" t="n"/>
      <c r="F202" s="10" t="n"/>
      <c r="G202" s="10" t="n"/>
      <c r="H202" s="13">
        <f>IF(OR(F202="",G202=""),"",G202-F202)</f>
        <v/>
      </c>
      <c r="I202" s="13">
        <f>IF(A202="","","S"&amp;MIN(4,INT((DAY(A202)-1)/7)+1))</f>
        <v/>
      </c>
      <c r="J202" s="13">
        <f>IF(A202="","",MONTH(A202))</f>
        <v/>
      </c>
      <c r="K202" s="13">
        <f>IF(A202="","",YEAR(A202))</f>
        <v/>
      </c>
    </row>
    <row r="203">
      <c r="A203" s="18" t="n"/>
      <c r="B203" s="9" t="n"/>
      <c r="C203" s="13">
        <f>IF(B203="","",IFERROR(INDEX(Produits!$B$5:$B$44,MATCH(B203,Produits!$A$5:$A$44,0)),""))</f>
        <v/>
      </c>
      <c r="D203" s="13">
        <f>IF(B203="","",IFERROR(INDEX(Produits!$C$5:$C$44,MATCH(B203,Produits!$A$5:$A$44,0)),""))</f>
        <v/>
      </c>
      <c r="E203" s="10" t="n"/>
      <c r="F203" s="10" t="n"/>
      <c r="G203" s="10" t="n"/>
      <c r="H203" s="13">
        <f>IF(OR(F203="",G203=""),"",G203-F203)</f>
        <v/>
      </c>
      <c r="I203" s="13">
        <f>IF(A203="","","S"&amp;MIN(4,INT((DAY(A203)-1)/7)+1))</f>
        <v/>
      </c>
      <c r="J203" s="13">
        <f>IF(A203="","",MONTH(A203))</f>
        <v/>
      </c>
      <c r="K203" s="13">
        <f>IF(A203="","",YEAR(A203))</f>
        <v/>
      </c>
    </row>
    <row r="204">
      <c r="A204" s="18" t="n"/>
      <c r="B204" s="9" t="n"/>
      <c r="C204" s="13">
        <f>IF(B204="","",IFERROR(INDEX(Produits!$B$5:$B$44,MATCH(B204,Produits!$A$5:$A$44,0)),""))</f>
        <v/>
      </c>
      <c r="D204" s="13">
        <f>IF(B204="","",IFERROR(INDEX(Produits!$C$5:$C$44,MATCH(B204,Produits!$A$5:$A$44,0)),""))</f>
        <v/>
      </c>
      <c r="E204" s="10" t="n"/>
      <c r="F204" s="10" t="n"/>
      <c r="G204" s="10" t="n"/>
      <c r="H204" s="13">
        <f>IF(OR(F204="",G204=""),"",G204-F204)</f>
        <v/>
      </c>
      <c r="I204" s="13">
        <f>IF(A204="","","S"&amp;MIN(4,INT((DAY(A204)-1)/7)+1))</f>
        <v/>
      </c>
      <c r="J204" s="13">
        <f>IF(A204="","",MONTH(A204))</f>
        <v/>
      </c>
      <c r="K204" s="13">
        <f>IF(A204="","",YEAR(A204))</f>
        <v/>
      </c>
    </row>
    <row r="205">
      <c r="A205" s="18" t="n"/>
      <c r="B205" s="9" t="n"/>
      <c r="C205" s="13">
        <f>IF(B205="","",IFERROR(INDEX(Produits!$B$5:$B$44,MATCH(B205,Produits!$A$5:$A$44,0)),""))</f>
        <v/>
      </c>
      <c r="D205" s="13">
        <f>IF(B205="","",IFERROR(INDEX(Produits!$C$5:$C$44,MATCH(B205,Produits!$A$5:$A$44,0)),""))</f>
        <v/>
      </c>
      <c r="E205" s="10" t="n"/>
      <c r="F205" s="10" t="n"/>
      <c r="G205" s="10" t="n"/>
      <c r="H205" s="13">
        <f>IF(OR(F205="",G205=""),"",G205-F205)</f>
        <v/>
      </c>
      <c r="I205" s="13">
        <f>IF(A205="","","S"&amp;MIN(4,INT((DAY(A205)-1)/7)+1))</f>
        <v/>
      </c>
      <c r="J205" s="13">
        <f>IF(A205="","",MONTH(A205))</f>
        <v/>
      </c>
      <c r="K205" s="13">
        <f>IF(A205="","",YEAR(A205))</f>
        <v/>
      </c>
    </row>
    <row r="206">
      <c r="A206" s="18" t="n"/>
      <c r="B206" s="9" t="n"/>
      <c r="C206" s="13">
        <f>IF(B206="","",IFERROR(INDEX(Produits!$B$5:$B$44,MATCH(B206,Produits!$A$5:$A$44,0)),""))</f>
        <v/>
      </c>
      <c r="D206" s="13">
        <f>IF(B206="","",IFERROR(INDEX(Produits!$C$5:$C$44,MATCH(B206,Produits!$A$5:$A$44,0)),""))</f>
        <v/>
      </c>
      <c r="E206" s="10" t="n"/>
      <c r="F206" s="10" t="n"/>
      <c r="G206" s="10" t="n"/>
      <c r="H206" s="13">
        <f>IF(OR(F206="",G206=""),"",G206-F206)</f>
        <v/>
      </c>
      <c r="I206" s="13">
        <f>IF(A206="","","S"&amp;MIN(4,INT((DAY(A206)-1)/7)+1))</f>
        <v/>
      </c>
      <c r="J206" s="13">
        <f>IF(A206="","",MONTH(A206))</f>
        <v/>
      </c>
      <c r="K206" s="13">
        <f>IF(A206="","",YEAR(A206))</f>
        <v/>
      </c>
    </row>
    <row r="207">
      <c r="A207" s="18" t="n"/>
      <c r="B207" s="9" t="n"/>
      <c r="C207" s="13">
        <f>IF(B207="","",IFERROR(INDEX(Produits!$B$5:$B$44,MATCH(B207,Produits!$A$5:$A$44,0)),""))</f>
        <v/>
      </c>
      <c r="D207" s="13">
        <f>IF(B207="","",IFERROR(INDEX(Produits!$C$5:$C$44,MATCH(B207,Produits!$A$5:$A$44,0)),""))</f>
        <v/>
      </c>
      <c r="E207" s="10" t="n"/>
      <c r="F207" s="10" t="n"/>
      <c r="G207" s="10" t="n"/>
      <c r="H207" s="13">
        <f>IF(OR(F207="",G207=""),"",G207-F207)</f>
        <v/>
      </c>
      <c r="I207" s="13">
        <f>IF(A207="","","S"&amp;MIN(4,INT((DAY(A207)-1)/7)+1))</f>
        <v/>
      </c>
      <c r="J207" s="13">
        <f>IF(A207="","",MONTH(A207))</f>
        <v/>
      </c>
      <c r="K207" s="13">
        <f>IF(A207="","",YEAR(A207))</f>
        <v/>
      </c>
    </row>
    <row r="208">
      <c r="A208" s="18" t="n"/>
      <c r="B208" s="9" t="n"/>
      <c r="C208" s="13">
        <f>IF(B208="","",IFERROR(INDEX(Produits!$B$5:$B$44,MATCH(B208,Produits!$A$5:$A$44,0)),""))</f>
        <v/>
      </c>
      <c r="D208" s="13">
        <f>IF(B208="","",IFERROR(INDEX(Produits!$C$5:$C$44,MATCH(B208,Produits!$A$5:$A$44,0)),""))</f>
        <v/>
      </c>
      <c r="E208" s="10" t="n"/>
      <c r="F208" s="10" t="n"/>
      <c r="G208" s="10" t="n"/>
      <c r="H208" s="13">
        <f>IF(OR(F208="",G208=""),"",G208-F208)</f>
        <v/>
      </c>
      <c r="I208" s="13">
        <f>IF(A208="","","S"&amp;MIN(4,INT((DAY(A208)-1)/7)+1))</f>
        <v/>
      </c>
      <c r="J208" s="13">
        <f>IF(A208="","",MONTH(A208))</f>
        <v/>
      </c>
      <c r="K208" s="13">
        <f>IF(A208="","",YEAR(A208))</f>
        <v/>
      </c>
    </row>
    <row r="209">
      <c r="A209" s="18" t="n"/>
      <c r="B209" s="9" t="n"/>
      <c r="C209" s="13">
        <f>IF(B209="","",IFERROR(INDEX(Produits!$B$5:$B$44,MATCH(B209,Produits!$A$5:$A$44,0)),""))</f>
        <v/>
      </c>
      <c r="D209" s="13">
        <f>IF(B209="","",IFERROR(INDEX(Produits!$C$5:$C$44,MATCH(B209,Produits!$A$5:$A$44,0)),""))</f>
        <v/>
      </c>
      <c r="E209" s="10" t="n"/>
      <c r="F209" s="10" t="n"/>
      <c r="G209" s="10" t="n"/>
      <c r="H209" s="13">
        <f>IF(OR(F209="",G209=""),"",G209-F209)</f>
        <v/>
      </c>
      <c r="I209" s="13">
        <f>IF(A209="","","S"&amp;MIN(4,INT((DAY(A209)-1)/7)+1))</f>
        <v/>
      </c>
      <c r="J209" s="13">
        <f>IF(A209="","",MONTH(A209))</f>
        <v/>
      </c>
      <c r="K209" s="13">
        <f>IF(A209="","",YEAR(A209))</f>
        <v/>
      </c>
    </row>
    <row r="210">
      <c r="A210" s="18" t="n"/>
      <c r="B210" s="9" t="n"/>
      <c r="C210" s="13">
        <f>IF(B210="","",IFERROR(INDEX(Produits!$B$5:$B$44,MATCH(B210,Produits!$A$5:$A$44,0)),""))</f>
        <v/>
      </c>
      <c r="D210" s="13">
        <f>IF(B210="","",IFERROR(INDEX(Produits!$C$5:$C$44,MATCH(B210,Produits!$A$5:$A$44,0)),""))</f>
        <v/>
      </c>
      <c r="E210" s="10" t="n"/>
      <c r="F210" s="10" t="n"/>
      <c r="G210" s="10" t="n"/>
      <c r="H210" s="13">
        <f>IF(OR(F210="",G210=""),"",G210-F210)</f>
        <v/>
      </c>
      <c r="I210" s="13">
        <f>IF(A210="","","S"&amp;MIN(4,INT((DAY(A210)-1)/7)+1))</f>
        <v/>
      </c>
      <c r="J210" s="13">
        <f>IF(A210="","",MONTH(A210))</f>
        <v/>
      </c>
      <c r="K210" s="13">
        <f>IF(A210="","",YEAR(A210))</f>
        <v/>
      </c>
    </row>
    <row r="211">
      <c r="A211" s="18" t="n"/>
      <c r="B211" s="9" t="n"/>
      <c r="C211" s="13">
        <f>IF(B211="","",IFERROR(INDEX(Produits!$B$5:$B$44,MATCH(B211,Produits!$A$5:$A$44,0)),""))</f>
        <v/>
      </c>
      <c r="D211" s="13">
        <f>IF(B211="","",IFERROR(INDEX(Produits!$C$5:$C$44,MATCH(B211,Produits!$A$5:$A$44,0)),""))</f>
        <v/>
      </c>
      <c r="E211" s="10" t="n"/>
      <c r="F211" s="10" t="n"/>
      <c r="G211" s="10" t="n"/>
      <c r="H211" s="13">
        <f>IF(OR(F211="",G211=""),"",G211-F211)</f>
        <v/>
      </c>
      <c r="I211" s="13">
        <f>IF(A211="","","S"&amp;MIN(4,INT((DAY(A211)-1)/7)+1))</f>
        <v/>
      </c>
      <c r="J211" s="13">
        <f>IF(A211="","",MONTH(A211))</f>
        <v/>
      </c>
      <c r="K211" s="13">
        <f>IF(A211="","",YEAR(A211))</f>
        <v/>
      </c>
    </row>
    <row r="212">
      <c r="A212" s="18" t="n"/>
      <c r="B212" s="9" t="n"/>
      <c r="C212" s="13">
        <f>IF(B212="","",IFERROR(INDEX(Produits!$B$5:$B$44,MATCH(B212,Produits!$A$5:$A$44,0)),""))</f>
        <v/>
      </c>
      <c r="D212" s="13">
        <f>IF(B212="","",IFERROR(INDEX(Produits!$C$5:$C$44,MATCH(B212,Produits!$A$5:$A$44,0)),""))</f>
        <v/>
      </c>
      <c r="E212" s="10" t="n"/>
      <c r="F212" s="10" t="n"/>
      <c r="G212" s="10" t="n"/>
      <c r="H212" s="13">
        <f>IF(OR(F212="",G212=""),"",G212-F212)</f>
        <v/>
      </c>
      <c r="I212" s="13">
        <f>IF(A212="","","S"&amp;MIN(4,INT((DAY(A212)-1)/7)+1))</f>
        <v/>
      </c>
      <c r="J212" s="13">
        <f>IF(A212="","",MONTH(A212))</f>
        <v/>
      </c>
      <c r="K212" s="13">
        <f>IF(A212="","",YEAR(A212))</f>
        <v/>
      </c>
    </row>
    <row r="213">
      <c r="A213" s="18" t="n"/>
      <c r="B213" s="9" t="n"/>
      <c r="C213" s="13">
        <f>IF(B213="","",IFERROR(INDEX(Produits!$B$5:$B$44,MATCH(B213,Produits!$A$5:$A$44,0)),""))</f>
        <v/>
      </c>
      <c r="D213" s="13">
        <f>IF(B213="","",IFERROR(INDEX(Produits!$C$5:$C$44,MATCH(B213,Produits!$A$5:$A$44,0)),""))</f>
        <v/>
      </c>
      <c r="E213" s="10" t="n"/>
      <c r="F213" s="10" t="n"/>
      <c r="G213" s="10" t="n"/>
      <c r="H213" s="13">
        <f>IF(OR(F213="",G213=""),"",G213-F213)</f>
        <v/>
      </c>
      <c r="I213" s="13">
        <f>IF(A213="","","S"&amp;MIN(4,INT((DAY(A213)-1)/7)+1))</f>
        <v/>
      </c>
      <c r="J213" s="13">
        <f>IF(A213="","",MONTH(A213))</f>
        <v/>
      </c>
      <c r="K213" s="13">
        <f>IF(A213="","",YEAR(A213))</f>
        <v/>
      </c>
    </row>
    <row r="214">
      <c r="A214" s="18" t="n"/>
      <c r="B214" s="9" t="n"/>
      <c r="C214" s="13">
        <f>IF(B214="","",IFERROR(INDEX(Produits!$B$5:$B$44,MATCH(B214,Produits!$A$5:$A$44,0)),""))</f>
        <v/>
      </c>
      <c r="D214" s="13">
        <f>IF(B214="","",IFERROR(INDEX(Produits!$C$5:$C$44,MATCH(B214,Produits!$A$5:$A$44,0)),""))</f>
        <v/>
      </c>
      <c r="E214" s="10" t="n"/>
      <c r="F214" s="10" t="n"/>
      <c r="G214" s="10" t="n"/>
      <c r="H214" s="13">
        <f>IF(OR(F214="",G214=""),"",G214-F214)</f>
        <v/>
      </c>
      <c r="I214" s="13">
        <f>IF(A214="","","S"&amp;MIN(4,INT((DAY(A214)-1)/7)+1))</f>
        <v/>
      </c>
      <c r="J214" s="13">
        <f>IF(A214="","",MONTH(A214))</f>
        <v/>
      </c>
      <c r="K214" s="13">
        <f>IF(A214="","",YEAR(A214))</f>
        <v/>
      </c>
    </row>
    <row r="215">
      <c r="A215" s="18" t="n"/>
      <c r="B215" s="9" t="n"/>
      <c r="C215" s="13">
        <f>IF(B215="","",IFERROR(INDEX(Produits!$B$5:$B$44,MATCH(B215,Produits!$A$5:$A$44,0)),""))</f>
        <v/>
      </c>
      <c r="D215" s="13">
        <f>IF(B215="","",IFERROR(INDEX(Produits!$C$5:$C$44,MATCH(B215,Produits!$A$5:$A$44,0)),""))</f>
        <v/>
      </c>
      <c r="E215" s="10" t="n"/>
      <c r="F215" s="10" t="n"/>
      <c r="G215" s="10" t="n"/>
      <c r="H215" s="13">
        <f>IF(OR(F215="",G215=""),"",G215-F215)</f>
        <v/>
      </c>
      <c r="I215" s="13">
        <f>IF(A215="","","S"&amp;MIN(4,INT((DAY(A215)-1)/7)+1))</f>
        <v/>
      </c>
      <c r="J215" s="13">
        <f>IF(A215="","",MONTH(A215))</f>
        <v/>
      </c>
      <c r="K215" s="13">
        <f>IF(A215="","",YEAR(A215))</f>
        <v/>
      </c>
    </row>
    <row r="216">
      <c r="A216" s="18" t="n"/>
      <c r="B216" s="9" t="n"/>
      <c r="C216" s="13">
        <f>IF(B216="","",IFERROR(INDEX(Produits!$B$5:$B$44,MATCH(B216,Produits!$A$5:$A$44,0)),""))</f>
        <v/>
      </c>
      <c r="D216" s="13">
        <f>IF(B216="","",IFERROR(INDEX(Produits!$C$5:$C$44,MATCH(B216,Produits!$A$5:$A$44,0)),""))</f>
        <v/>
      </c>
      <c r="E216" s="10" t="n"/>
      <c r="F216" s="10" t="n"/>
      <c r="G216" s="10" t="n"/>
      <c r="H216" s="13">
        <f>IF(OR(F216="",G216=""),"",G216-F216)</f>
        <v/>
      </c>
      <c r="I216" s="13">
        <f>IF(A216="","","S"&amp;MIN(4,INT((DAY(A216)-1)/7)+1))</f>
        <v/>
      </c>
      <c r="J216" s="13">
        <f>IF(A216="","",MONTH(A216))</f>
        <v/>
      </c>
      <c r="K216" s="13">
        <f>IF(A216="","",YEAR(A216))</f>
        <v/>
      </c>
    </row>
    <row r="217">
      <c r="A217" s="18" t="n"/>
      <c r="B217" s="9" t="n"/>
      <c r="C217" s="13">
        <f>IF(B217="","",IFERROR(INDEX(Produits!$B$5:$B$44,MATCH(B217,Produits!$A$5:$A$44,0)),""))</f>
        <v/>
      </c>
      <c r="D217" s="13">
        <f>IF(B217="","",IFERROR(INDEX(Produits!$C$5:$C$44,MATCH(B217,Produits!$A$5:$A$44,0)),""))</f>
        <v/>
      </c>
      <c r="E217" s="10" t="n"/>
      <c r="F217" s="10" t="n"/>
      <c r="G217" s="10" t="n"/>
      <c r="H217" s="13">
        <f>IF(OR(F217="",G217=""),"",G217-F217)</f>
        <v/>
      </c>
      <c r="I217" s="13">
        <f>IF(A217="","","S"&amp;MIN(4,INT((DAY(A217)-1)/7)+1))</f>
        <v/>
      </c>
      <c r="J217" s="13">
        <f>IF(A217="","",MONTH(A217))</f>
        <v/>
      </c>
      <c r="K217" s="13">
        <f>IF(A217="","",YEAR(A217))</f>
        <v/>
      </c>
    </row>
    <row r="218">
      <c r="A218" s="18" t="n"/>
      <c r="B218" s="9" t="n"/>
      <c r="C218" s="13">
        <f>IF(B218="","",IFERROR(INDEX(Produits!$B$5:$B$44,MATCH(B218,Produits!$A$5:$A$44,0)),""))</f>
        <v/>
      </c>
      <c r="D218" s="13">
        <f>IF(B218="","",IFERROR(INDEX(Produits!$C$5:$C$44,MATCH(B218,Produits!$A$5:$A$44,0)),""))</f>
        <v/>
      </c>
      <c r="E218" s="10" t="n"/>
      <c r="F218" s="10" t="n"/>
      <c r="G218" s="10" t="n"/>
      <c r="H218" s="13">
        <f>IF(OR(F218="",G218=""),"",G218-F218)</f>
        <v/>
      </c>
      <c r="I218" s="13">
        <f>IF(A218="","","S"&amp;MIN(4,INT((DAY(A218)-1)/7)+1))</f>
        <v/>
      </c>
      <c r="J218" s="13">
        <f>IF(A218="","",MONTH(A218))</f>
        <v/>
      </c>
      <c r="K218" s="13">
        <f>IF(A218="","",YEAR(A218))</f>
        <v/>
      </c>
    </row>
    <row r="219">
      <c r="A219" s="18" t="n"/>
      <c r="B219" s="9" t="n"/>
      <c r="C219" s="13">
        <f>IF(B219="","",IFERROR(INDEX(Produits!$B$5:$B$44,MATCH(B219,Produits!$A$5:$A$44,0)),""))</f>
        <v/>
      </c>
      <c r="D219" s="13">
        <f>IF(B219="","",IFERROR(INDEX(Produits!$C$5:$C$44,MATCH(B219,Produits!$A$5:$A$44,0)),""))</f>
        <v/>
      </c>
      <c r="E219" s="10" t="n"/>
      <c r="F219" s="10" t="n"/>
      <c r="G219" s="10" t="n"/>
      <c r="H219" s="13">
        <f>IF(OR(F219="",G219=""),"",G219-F219)</f>
        <v/>
      </c>
      <c r="I219" s="13">
        <f>IF(A219="","","S"&amp;MIN(4,INT((DAY(A219)-1)/7)+1))</f>
        <v/>
      </c>
      <c r="J219" s="13">
        <f>IF(A219="","",MONTH(A219))</f>
        <v/>
      </c>
      <c r="K219" s="13">
        <f>IF(A219="","",YEAR(A219))</f>
        <v/>
      </c>
    </row>
    <row r="220">
      <c r="A220" s="18" t="n"/>
      <c r="B220" s="9" t="n"/>
      <c r="C220" s="13">
        <f>IF(B220="","",IFERROR(INDEX(Produits!$B$5:$B$44,MATCH(B220,Produits!$A$5:$A$44,0)),""))</f>
        <v/>
      </c>
      <c r="D220" s="13">
        <f>IF(B220="","",IFERROR(INDEX(Produits!$C$5:$C$44,MATCH(B220,Produits!$A$5:$A$44,0)),""))</f>
        <v/>
      </c>
      <c r="E220" s="10" t="n"/>
      <c r="F220" s="10" t="n"/>
      <c r="G220" s="10" t="n"/>
      <c r="H220" s="13">
        <f>IF(OR(F220="",G220=""),"",G220-F220)</f>
        <v/>
      </c>
      <c r="I220" s="13">
        <f>IF(A220="","","S"&amp;MIN(4,INT((DAY(A220)-1)/7)+1))</f>
        <v/>
      </c>
      <c r="J220" s="13">
        <f>IF(A220="","",MONTH(A220))</f>
        <v/>
      </c>
      <c r="K220" s="13">
        <f>IF(A220="","",YEAR(A220))</f>
        <v/>
      </c>
    </row>
    <row r="221">
      <c r="A221" s="18" t="n"/>
      <c r="B221" s="9" t="n"/>
      <c r="C221" s="13">
        <f>IF(B221="","",IFERROR(INDEX(Produits!$B$5:$B$44,MATCH(B221,Produits!$A$5:$A$44,0)),""))</f>
        <v/>
      </c>
      <c r="D221" s="13">
        <f>IF(B221="","",IFERROR(INDEX(Produits!$C$5:$C$44,MATCH(B221,Produits!$A$5:$A$44,0)),""))</f>
        <v/>
      </c>
      <c r="E221" s="10" t="n"/>
      <c r="F221" s="10" t="n"/>
      <c r="G221" s="10" t="n"/>
      <c r="H221" s="13">
        <f>IF(OR(F221="",G221=""),"",G221-F221)</f>
        <v/>
      </c>
      <c r="I221" s="13">
        <f>IF(A221="","","S"&amp;MIN(4,INT((DAY(A221)-1)/7)+1))</f>
        <v/>
      </c>
      <c r="J221" s="13">
        <f>IF(A221="","",MONTH(A221))</f>
        <v/>
      </c>
      <c r="K221" s="13">
        <f>IF(A221="","",YEAR(A221))</f>
        <v/>
      </c>
    </row>
    <row r="222">
      <c r="A222" s="18" t="n"/>
      <c r="B222" s="9" t="n"/>
      <c r="C222" s="13">
        <f>IF(B222="","",IFERROR(INDEX(Produits!$B$5:$B$44,MATCH(B222,Produits!$A$5:$A$44,0)),""))</f>
        <v/>
      </c>
      <c r="D222" s="13">
        <f>IF(B222="","",IFERROR(INDEX(Produits!$C$5:$C$44,MATCH(B222,Produits!$A$5:$A$44,0)),""))</f>
        <v/>
      </c>
      <c r="E222" s="10" t="n"/>
      <c r="F222" s="10" t="n"/>
      <c r="G222" s="10" t="n"/>
      <c r="H222" s="13">
        <f>IF(OR(F222="",G222=""),"",G222-F222)</f>
        <v/>
      </c>
      <c r="I222" s="13">
        <f>IF(A222="","","S"&amp;MIN(4,INT((DAY(A222)-1)/7)+1))</f>
        <v/>
      </c>
      <c r="J222" s="13">
        <f>IF(A222="","",MONTH(A222))</f>
        <v/>
      </c>
      <c r="K222" s="13">
        <f>IF(A222="","",YEAR(A222))</f>
        <v/>
      </c>
    </row>
    <row r="223">
      <c r="A223" s="18" t="n"/>
      <c r="B223" s="9" t="n"/>
      <c r="C223" s="13">
        <f>IF(B223="","",IFERROR(INDEX(Produits!$B$5:$B$44,MATCH(B223,Produits!$A$5:$A$44,0)),""))</f>
        <v/>
      </c>
      <c r="D223" s="13">
        <f>IF(B223="","",IFERROR(INDEX(Produits!$C$5:$C$44,MATCH(B223,Produits!$A$5:$A$44,0)),""))</f>
        <v/>
      </c>
      <c r="E223" s="10" t="n"/>
      <c r="F223" s="10" t="n"/>
      <c r="G223" s="10" t="n"/>
      <c r="H223" s="13">
        <f>IF(OR(F223="",G223=""),"",G223-F223)</f>
        <v/>
      </c>
      <c r="I223" s="13">
        <f>IF(A223="","","S"&amp;MIN(4,INT((DAY(A223)-1)/7)+1))</f>
        <v/>
      </c>
      <c r="J223" s="13">
        <f>IF(A223="","",MONTH(A223))</f>
        <v/>
      </c>
      <c r="K223" s="13">
        <f>IF(A223="","",YEAR(A223))</f>
        <v/>
      </c>
    </row>
    <row r="224">
      <c r="A224" s="18" t="n"/>
      <c r="B224" s="9" t="n"/>
      <c r="C224" s="13">
        <f>IF(B224="","",IFERROR(INDEX(Produits!$B$5:$B$44,MATCH(B224,Produits!$A$5:$A$44,0)),""))</f>
        <v/>
      </c>
      <c r="D224" s="13">
        <f>IF(B224="","",IFERROR(INDEX(Produits!$C$5:$C$44,MATCH(B224,Produits!$A$5:$A$44,0)),""))</f>
        <v/>
      </c>
      <c r="E224" s="10" t="n"/>
      <c r="F224" s="10" t="n"/>
      <c r="G224" s="10" t="n"/>
      <c r="H224" s="13">
        <f>IF(OR(F224="",G224=""),"",G224-F224)</f>
        <v/>
      </c>
      <c r="I224" s="13">
        <f>IF(A224="","","S"&amp;MIN(4,INT((DAY(A224)-1)/7)+1))</f>
        <v/>
      </c>
      <c r="J224" s="13">
        <f>IF(A224="","",MONTH(A224))</f>
        <v/>
      </c>
      <c r="K224" s="13">
        <f>IF(A224="","",YEAR(A224))</f>
        <v/>
      </c>
    </row>
    <row r="225">
      <c r="A225" s="18" t="n"/>
      <c r="B225" s="9" t="n"/>
      <c r="C225" s="13">
        <f>IF(B225="","",IFERROR(INDEX(Produits!$B$5:$B$44,MATCH(B225,Produits!$A$5:$A$44,0)),""))</f>
        <v/>
      </c>
      <c r="D225" s="13">
        <f>IF(B225="","",IFERROR(INDEX(Produits!$C$5:$C$44,MATCH(B225,Produits!$A$5:$A$44,0)),""))</f>
        <v/>
      </c>
      <c r="E225" s="10" t="n"/>
      <c r="F225" s="10" t="n"/>
      <c r="G225" s="10" t="n"/>
      <c r="H225" s="13">
        <f>IF(OR(F225="",G225=""),"",G225-F225)</f>
        <v/>
      </c>
      <c r="I225" s="13">
        <f>IF(A225="","","S"&amp;MIN(4,INT((DAY(A225)-1)/7)+1))</f>
        <v/>
      </c>
      <c r="J225" s="13">
        <f>IF(A225="","",MONTH(A225))</f>
        <v/>
      </c>
      <c r="K225" s="13">
        <f>IF(A225="","",YEAR(A225))</f>
        <v/>
      </c>
    </row>
    <row r="226">
      <c r="A226" s="18" t="n"/>
      <c r="B226" s="9" t="n"/>
      <c r="C226" s="13">
        <f>IF(B226="","",IFERROR(INDEX(Produits!$B$5:$B$44,MATCH(B226,Produits!$A$5:$A$44,0)),""))</f>
        <v/>
      </c>
      <c r="D226" s="13">
        <f>IF(B226="","",IFERROR(INDEX(Produits!$C$5:$C$44,MATCH(B226,Produits!$A$5:$A$44,0)),""))</f>
        <v/>
      </c>
      <c r="E226" s="10" t="n"/>
      <c r="F226" s="10" t="n"/>
      <c r="G226" s="10" t="n"/>
      <c r="H226" s="13">
        <f>IF(OR(F226="",G226=""),"",G226-F226)</f>
        <v/>
      </c>
      <c r="I226" s="13">
        <f>IF(A226="","","S"&amp;MIN(4,INT((DAY(A226)-1)/7)+1))</f>
        <v/>
      </c>
      <c r="J226" s="13">
        <f>IF(A226="","",MONTH(A226))</f>
        <v/>
      </c>
      <c r="K226" s="13">
        <f>IF(A226="","",YEAR(A226))</f>
        <v/>
      </c>
    </row>
    <row r="227">
      <c r="A227" s="18" t="n"/>
      <c r="B227" s="9" t="n"/>
      <c r="C227" s="13">
        <f>IF(B227="","",IFERROR(INDEX(Produits!$B$5:$B$44,MATCH(B227,Produits!$A$5:$A$44,0)),""))</f>
        <v/>
      </c>
      <c r="D227" s="13">
        <f>IF(B227="","",IFERROR(INDEX(Produits!$C$5:$C$44,MATCH(B227,Produits!$A$5:$A$44,0)),""))</f>
        <v/>
      </c>
      <c r="E227" s="10" t="n"/>
      <c r="F227" s="10" t="n"/>
      <c r="G227" s="10" t="n"/>
      <c r="H227" s="13">
        <f>IF(OR(F227="",G227=""),"",G227-F227)</f>
        <v/>
      </c>
      <c r="I227" s="13">
        <f>IF(A227="","","S"&amp;MIN(4,INT((DAY(A227)-1)/7)+1))</f>
        <v/>
      </c>
      <c r="J227" s="13">
        <f>IF(A227="","",MONTH(A227))</f>
        <v/>
      </c>
      <c r="K227" s="13">
        <f>IF(A227="","",YEAR(A227))</f>
        <v/>
      </c>
    </row>
    <row r="228">
      <c r="A228" s="18" t="n"/>
      <c r="B228" s="9" t="n"/>
      <c r="C228" s="13">
        <f>IF(B228="","",IFERROR(INDEX(Produits!$B$5:$B$44,MATCH(B228,Produits!$A$5:$A$44,0)),""))</f>
        <v/>
      </c>
      <c r="D228" s="13">
        <f>IF(B228="","",IFERROR(INDEX(Produits!$C$5:$C$44,MATCH(B228,Produits!$A$5:$A$44,0)),""))</f>
        <v/>
      </c>
      <c r="E228" s="10" t="n"/>
      <c r="F228" s="10" t="n"/>
      <c r="G228" s="10" t="n"/>
      <c r="H228" s="13">
        <f>IF(OR(F228="",G228=""),"",G228-F228)</f>
        <v/>
      </c>
      <c r="I228" s="13">
        <f>IF(A228="","","S"&amp;MIN(4,INT((DAY(A228)-1)/7)+1))</f>
        <v/>
      </c>
      <c r="J228" s="13">
        <f>IF(A228="","",MONTH(A228))</f>
        <v/>
      </c>
      <c r="K228" s="13">
        <f>IF(A228="","",YEAR(A228))</f>
        <v/>
      </c>
    </row>
    <row r="229">
      <c r="A229" s="18" t="n"/>
      <c r="B229" s="9" t="n"/>
      <c r="C229" s="13">
        <f>IF(B229="","",IFERROR(INDEX(Produits!$B$5:$B$44,MATCH(B229,Produits!$A$5:$A$44,0)),""))</f>
        <v/>
      </c>
      <c r="D229" s="13">
        <f>IF(B229="","",IFERROR(INDEX(Produits!$C$5:$C$44,MATCH(B229,Produits!$A$5:$A$44,0)),""))</f>
        <v/>
      </c>
      <c r="E229" s="10" t="n"/>
      <c r="F229" s="10" t="n"/>
      <c r="G229" s="10" t="n"/>
      <c r="H229" s="13">
        <f>IF(OR(F229="",G229=""),"",G229-F229)</f>
        <v/>
      </c>
      <c r="I229" s="13">
        <f>IF(A229="","","S"&amp;MIN(4,INT((DAY(A229)-1)/7)+1))</f>
        <v/>
      </c>
      <c r="J229" s="13">
        <f>IF(A229="","",MONTH(A229))</f>
        <v/>
      </c>
      <c r="K229" s="13">
        <f>IF(A229="","",YEAR(A229))</f>
        <v/>
      </c>
    </row>
    <row r="230">
      <c r="A230" s="18" t="n"/>
      <c r="B230" s="9" t="n"/>
      <c r="C230" s="13">
        <f>IF(B230="","",IFERROR(INDEX(Produits!$B$5:$B$44,MATCH(B230,Produits!$A$5:$A$44,0)),""))</f>
        <v/>
      </c>
      <c r="D230" s="13">
        <f>IF(B230="","",IFERROR(INDEX(Produits!$C$5:$C$44,MATCH(B230,Produits!$A$5:$A$44,0)),""))</f>
        <v/>
      </c>
      <c r="E230" s="10" t="n"/>
      <c r="F230" s="10" t="n"/>
      <c r="G230" s="10" t="n"/>
      <c r="H230" s="13">
        <f>IF(OR(F230="",G230=""),"",G230-F230)</f>
        <v/>
      </c>
      <c r="I230" s="13">
        <f>IF(A230="","","S"&amp;MIN(4,INT((DAY(A230)-1)/7)+1))</f>
        <v/>
      </c>
      <c r="J230" s="13">
        <f>IF(A230="","",MONTH(A230))</f>
        <v/>
      </c>
      <c r="K230" s="13">
        <f>IF(A230="","",YEAR(A230))</f>
        <v/>
      </c>
    </row>
    <row r="231">
      <c r="A231" s="18" t="n"/>
      <c r="B231" s="9" t="n"/>
      <c r="C231" s="13">
        <f>IF(B231="","",IFERROR(INDEX(Produits!$B$5:$B$44,MATCH(B231,Produits!$A$5:$A$44,0)),""))</f>
        <v/>
      </c>
      <c r="D231" s="13">
        <f>IF(B231="","",IFERROR(INDEX(Produits!$C$5:$C$44,MATCH(B231,Produits!$A$5:$A$44,0)),""))</f>
        <v/>
      </c>
      <c r="E231" s="10" t="n"/>
      <c r="F231" s="10" t="n"/>
      <c r="G231" s="10" t="n"/>
      <c r="H231" s="13">
        <f>IF(OR(F231="",G231=""),"",G231-F231)</f>
        <v/>
      </c>
      <c r="I231" s="13">
        <f>IF(A231="","","S"&amp;MIN(4,INT((DAY(A231)-1)/7)+1))</f>
        <v/>
      </c>
      <c r="J231" s="13">
        <f>IF(A231="","",MONTH(A231))</f>
        <v/>
      </c>
      <c r="K231" s="13">
        <f>IF(A231="","",YEAR(A231))</f>
        <v/>
      </c>
    </row>
    <row r="232">
      <c r="A232" s="18" t="n"/>
      <c r="B232" s="9" t="n"/>
      <c r="C232" s="13">
        <f>IF(B232="","",IFERROR(INDEX(Produits!$B$5:$B$44,MATCH(B232,Produits!$A$5:$A$44,0)),""))</f>
        <v/>
      </c>
      <c r="D232" s="13">
        <f>IF(B232="","",IFERROR(INDEX(Produits!$C$5:$C$44,MATCH(B232,Produits!$A$5:$A$44,0)),""))</f>
        <v/>
      </c>
      <c r="E232" s="10" t="n"/>
      <c r="F232" s="10" t="n"/>
      <c r="G232" s="10" t="n"/>
      <c r="H232" s="13">
        <f>IF(OR(F232="",G232=""),"",G232-F232)</f>
        <v/>
      </c>
      <c r="I232" s="13">
        <f>IF(A232="","","S"&amp;MIN(4,INT((DAY(A232)-1)/7)+1))</f>
        <v/>
      </c>
      <c r="J232" s="13">
        <f>IF(A232="","",MONTH(A232))</f>
        <v/>
      </c>
      <c r="K232" s="13">
        <f>IF(A232="","",YEAR(A232))</f>
        <v/>
      </c>
    </row>
    <row r="233">
      <c r="A233" s="18" t="n"/>
      <c r="B233" s="9" t="n"/>
      <c r="C233" s="13">
        <f>IF(B233="","",IFERROR(INDEX(Produits!$B$5:$B$44,MATCH(B233,Produits!$A$5:$A$44,0)),""))</f>
        <v/>
      </c>
      <c r="D233" s="13">
        <f>IF(B233="","",IFERROR(INDEX(Produits!$C$5:$C$44,MATCH(B233,Produits!$A$5:$A$44,0)),""))</f>
        <v/>
      </c>
      <c r="E233" s="10" t="n"/>
      <c r="F233" s="10" t="n"/>
      <c r="G233" s="10" t="n"/>
      <c r="H233" s="13">
        <f>IF(OR(F233="",G233=""),"",G233-F233)</f>
        <v/>
      </c>
      <c r="I233" s="13">
        <f>IF(A233="","","S"&amp;MIN(4,INT((DAY(A233)-1)/7)+1))</f>
        <v/>
      </c>
      <c r="J233" s="13">
        <f>IF(A233="","",MONTH(A233))</f>
        <v/>
      </c>
      <c r="K233" s="13">
        <f>IF(A233="","",YEAR(A233))</f>
        <v/>
      </c>
    </row>
    <row r="234">
      <c r="A234" s="18" t="n"/>
      <c r="B234" s="9" t="n"/>
      <c r="C234" s="13">
        <f>IF(B234="","",IFERROR(INDEX(Produits!$B$5:$B$44,MATCH(B234,Produits!$A$5:$A$44,0)),""))</f>
        <v/>
      </c>
      <c r="D234" s="13">
        <f>IF(B234="","",IFERROR(INDEX(Produits!$C$5:$C$44,MATCH(B234,Produits!$A$5:$A$44,0)),""))</f>
        <v/>
      </c>
      <c r="E234" s="10" t="n"/>
      <c r="F234" s="10" t="n"/>
      <c r="G234" s="10" t="n"/>
      <c r="H234" s="13">
        <f>IF(OR(F234="",G234=""),"",G234-F234)</f>
        <v/>
      </c>
      <c r="I234" s="13">
        <f>IF(A234="","","S"&amp;MIN(4,INT((DAY(A234)-1)/7)+1))</f>
        <v/>
      </c>
      <c r="J234" s="13">
        <f>IF(A234="","",MONTH(A234))</f>
        <v/>
      </c>
      <c r="K234" s="13">
        <f>IF(A234="","",YEAR(A234))</f>
        <v/>
      </c>
    </row>
    <row r="235">
      <c r="A235" s="18" t="n"/>
      <c r="B235" s="9" t="n"/>
      <c r="C235" s="13">
        <f>IF(B235="","",IFERROR(INDEX(Produits!$B$5:$B$44,MATCH(B235,Produits!$A$5:$A$44,0)),""))</f>
        <v/>
      </c>
      <c r="D235" s="13">
        <f>IF(B235="","",IFERROR(INDEX(Produits!$C$5:$C$44,MATCH(B235,Produits!$A$5:$A$44,0)),""))</f>
        <v/>
      </c>
      <c r="E235" s="10" t="n"/>
      <c r="F235" s="10" t="n"/>
      <c r="G235" s="10" t="n"/>
      <c r="H235" s="13">
        <f>IF(OR(F235="",G235=""),"",G235-F235)</f>
        <v/>
      </c>
      <c r="I235" s="13">
        <f>IF(A235="","","S"&amp;MIN(4,INT((DAY(A235)-1)/7)+1))</f>
        <v/>
      </c>
      <c r="J235" s="13">
        <f>IF(A235="","",MONTH(A235))</f>
        <v/>
      </c>
      <c r="K235" s="13">
        <f>IF(A235="","",YEAR(A235))</f>
        <v/>
      </c>
    </row>
    <row r="236">
      <c r="A236" s="18" t="n"/>
      <c r="B236" s="9" t="n"/>
      <c r="C236" s="13">
        <f>IF(B236="","",IFERROR(INDEX(Produits!$B$5:$B$44,MATCH(B236,Produits!$A$5:$A$44,0)),""))</f>
        <v/>
      </c>
      <c r="D236" s="13">
        <f>IF(B236="","",IFERROR(INDEX(Produits!$C$5:$C$44,MATCH(B236,Produits!$A$5:$A$44,0)),""))</f>
        <v/>
      </c>
      <c r="E236" s="10" t="n"/>
      <c r="F236" s="10" t="n"/>
      <c r="G236" s="10" t="n"/>
      <c r="H236" s="13">
        <f>IF(OR(F236="",G236=""),"",G236-F236)</f>
        <v/>
      </c>
      <c r="I236" s="13">
        <f>IF(A236="","","S"&amp;MIN(4,INT((DAY(A236)-1)/7)+1))</f>
        <v/>
      </c>
      <c r="J236" s="13">
        <f>IF(A236="","",MONTH(A236))</f>
        <v/>
      </c>
      <c r="K236" s="13">
        <f>IF(A236="","",YEAR(A236))</f>
        <v/>
      </c>
    </row>
    <row r="237">
      <c r="A237" s="18" t="n"/>
      <c r="B237" s="9" t="n"/>
      <c r="C237" s="13">
        <f>IF(B237="","",IFERROR(INDEX(Produits!$B$5:$B$44,MATCH(B237,Produits!$A$5:$A$44,0)),""))</f>
        <v/>
      </c>
      <c r="D237" s="13">
        <f>IF(B237="","",IFERROR(INDEX(Produits!$C$5:$C$44,MATCH(B237,Produits!$A$5:$A$44,0)),""))</f>
        <v/>
      </c>
      <c r="E237" s="10" t="n"/>
      <c r="F237" s="10" t="n"/>
      <c r="G237" s="10" t="n"/>
      <c r="H237" s="13">
        <f>IF(OR(F237="",G237=""),"",G237-F237)</f>
        <v/>
      </c>
      <c r="I237" s="13">
        <f>IF(A237="","","S"&amp;MIN(4,INT((DAY(A237)-1)/7)+1))</f>
        <v/>
      </c>
      <c r="J237" s="13">
        <f>IF(A237="","",MONTH(A237))</f>
        <v/>
      </c>
      <c r="K237" s="13">
        <f>IF(A237="","",YEAR(A237))</f>
        <v/>
      </c>
    </row>
    <row r="238">
      <c r="A238" s="18" t="n"/>
      <c r="B238" s="9" t="n"/>
      <c r="C238" s="13">
        <f>IF(B238="","",IFERROR(INDEX(Produits!$B$5:$B$44,MATCH(B238,Produits!$A$5:$A$44,0)),""))</f>
        <v/>
      </c>
      <c r="D238" s="13">
        <f>IF(B238="","",IFERROR(INDEX(Produits!$C$5:$C$44,MATCH(B238,Produits!$A$5:$A$44,0)),""))</f>
        <v/>
      </c>
      <c r="E238" s="10" t="n"/>
      <c r="F238" s="10" t="n"/>
      <c r="G238" s="10" t="n"/>
      <c r="H238" s="13">
        <f>IF(OR(F238="",G238=""),"",G238-F238)</f>
        <v/>
      </c>
      <c r="I238" s="13">
        <f>IF(A238="","","S"&amp;MIN(4,INT((DAY(A238)-1)/7)+1))</f>
        <v/>
      </c>
      <c r="J238" s="13">
        <f>IF(A238="","",MONTH(A238))</f>
        <v/>
      </c>
      <c r="K238" s="13">
        <f>IF(A238="","",YEAR(A238))</f>
        <v/>
      </c>
    </row>
    <row r="239">
      <c r="A239" s="18" t="n"/>
      <c r="B239" s="9" t="n"/>
      <c r="C239" s="13">
        <f>IF(B239="","",IFERROR(INDEX(Produits!$B$5:$B$44,MATCH(B239,Produits!$A$5:$A$44,0)),""))</f>
        <v/>
      </c>
      <c r="D239" s="13">
        <f>IF(B239="","",IFERROR(INDEX(Produits!$C$5:$C$44,MATCH(B239,Produits!$A$5:$A$44,0)),""))</f>
        <v/>
      </c>
      <c r="E239" s="10" t="n"/>
      <c r="F239" s="10" t="n"/>
      <c r="G239" s="10" t="n"/>
      <c r="H239" s="13">
        <f>IF(OR(F239="",G239=""),"",G239-F239)</f>
        <v/>
      </c>
      <c r="I239" s="13">
        <f>IF(A239="","","S"&amp;MIN(4,INT((DAY(A239)-1)/7)+1))</f>
        <v/>
      </c>
      <c r="J239" s="13">
        <f>IF(A239="","",MONTH(A239))</f>
        <v/>
      </c>
      <c r="K239" s="13">
        <f>IF(A239="","",YEAR(A239))</f>
        <v/>
      </c>
    </row>
    <row r="240">
      <c r="A240" s="18" t="n"/>
      <c r="B240" s="9" t="n"/>
      <c r="C240" s="13">
        <f>IF(B240="","",IFERROR(INDEX(Produits!$B$5:$B$44,MATCH(B240,Produits!$A$5:$A$44,0)),""))</f>
        <v/>
      </c>
      <c r="D240" s="13">
        <f>IF(B240="","",IFERROR(INDEX(Produits!$C$5:$C$44,MATCH(B240,Produits!$A$5:$A$44,0)),""))</f>
        <v/>
      </c>
      <c r="E240" s="10" t="n"/>
      <c r="F240" s="10" t="n"/>
      <c r="G240" s="10" t="n"/>
      <c r="H240" s="13">
        <f>IF(OR(F240="",G240=""),"",G240-F240)</f>
        <v/>
      </c>
      <c r="I240" s="13">
        <f>IF(A240="","","S"&amp;MIN(4,INT((DAY(A240)-1)/7)+1))</f>
        <v/>
      </c>
      <c r="J240" s="13">
        <f>IF(A240="","",MONTH(A240))</f>
        <v/>
      </c>
      <c r="K240" s="13">
        <f>IF(A240="","",YEAR(A240))</f>
        <v/>
      </c>
    </row>
    <row r="241">
      <c r="A241" s="18" t="n"/>
      <c r="B241" s="9" t="n"/>
      <c r="C241" s="13">
        <f>IF(B241="","",IFERROR(INDEX(Produits!$B$5:$B$44,MATCH(B241,Produits!$A$5:$A$44,0)),""))</f>
        <v/>
      </c>
      <c r="D241" s="13">
        <f>IF(B241="","",IFERROR(INDEX(Produits!$C$5:$C$44,MATCH(B241,Produits!$A$5:$A$44,0)),""))</f>
        <v/>
      </c>
      <c r="E241" s="10" t="n"/>
      <c r="F241" s="10" t="n"/>
      <c r="G241" s="10" t="n"/>
      <c r="H241" s="13">
        <f>IF(OR(F241="",G241=""),"",G241-F241)</f>
        <v/>
      </c>
      <c r="I241" s="13">
        <f>IF(A241="","","S"&amp;MIN(4,INT((DAY(A241)-1)/7)+1))</f>
        <v/>
      </c>
      <c r="J241" s="13">
        <f>IF(A241="","",MONTH(A241))</f>
        <v/>
      </c>
      <c r="K241" s="13">
        <f>IF(A241="","",YEAR(A241))</f>
        <v/>
      </c>
    </row>
    <row r="242">
      <c r="A242" s="18" t="n"/>
      <c r="B242" s="9" t="n"/>
      <c r="C242" s="13">
        <f>IF(B242="","",IFERROR(INDEX(Produits!$B$5:$B$44,MATCH(B242,Produits!$A$5:$A$44,0)),""))</f>
        <v/>
      </c>
      <c r="D242" s="13">
        <f>IF(B242="","",IFERROR(INDEX(Produits!$C$5:$C$44,MATCH(B242,Produits!$A$5:$A$44,0)),""))</f>
        <v/>
      </c>
      <c r="E242" s="10" t="n"/>
      <c r="F242" s="10" t="n"/>
      <c r="G242" s="10" t="n"/>
      <c r="H242" s="13">
        <f>IF(OR(F242="",G242=""),"",G242-F242)</f>
        <v/>
      </c>
      <c r="I242" s="13">
        <f>IF(A242="","","S"&amp;MIN(4,INT((DAY(A242)-1)/7)+1))</f>
        <v/>
      </c>
      <c r="J242" s="13">
        <f>IF(A242="","",MONTH(A242))</f>
        <v/>
      </c>
      <c r="K242" s="13">
        <f>IF(A242="","",YEAR(A242))</f>
        <v/>
      </c>
    </row>
    <row r="243">
      <c r="A243" s="18" t="n"/>
      <c r="B243" s="9" t="n"/>
      <c r="C243" s="13">
        <f>IF(B243="","",IFERROR(INDEX(Produits!$B$5:$B$44,MATCH(B243,Produits!$A$5:$A$44,0)),""))</f>
        <v/>
      </c>
      <c r="D243" s="13">
        <f>IF(B243="","",IFERROR(INDEX(Produits!$C$5:$C$44,MATCH(B243,Produits!$A$5:$A$44,0)),""))</f>
        <v/>
      </c>
      <c r="E243" s="10" t="n"/>
      <c r="F243" s="10" t="n"/>
      <c r="G243" s="10" t="n"/>
      <c r="H243" s="13">
        <f>IF(OR(F243="",G243=""),"",G243-F243)</f>
        <v/>
      </c>
      <c r="I243" s="13">
        <f>IF(A243="","","S"&amp;MIN(4,INT((DAY(A243)-1)/7)+1))</f>
        <v/>
      </c>
      <c r="J243" s="13">
        <f>IF(A243="","",MONTH(A243))</f>
        <v/>
      </c>
      <c r="K243" s="13">
        <f>IF(A243="","",YEAR(A243))</f>
        <v/>
      </c>
    </row>
    <row r="244">
      <c r="A244" s="18" t="n"/>
      <c r="B244" s="9" t="n"/>
      <c r="C244" s="13">
        <f>IF(B244="","",IFERROR(INDEX(Produits!$B$5:$B$44,MATCH(B244,Produits!$A$5:$A$44,0)),""))</f>
        <v/>
      </c>
      <c r="D244" s="13">
        <f>IF(B244="","",IFERROR(INDEX(Produits!$C$5:$C$44,MATCH(B244,Produits!$A$5:$A$44,0)),""))</f>
        <v/>
      </c>
      <c r="E244" s="10" t="n"/>
      <c r="F244" s="10" t="n"/>
      <c r="G244" s="10" t="n"/>
      <c r="H244" s="13">
        <f>IF(OR(F244="",G244=""),"",G244-F244)</f>
        <v/>
      </c>
      <c r="I244" s="13">
        <f>IF(A244="","","S"&amp;MIN(4,INT((DAY(A244)-1)/7)+1))</f>
        <v/>
      </c>
      <c r="J244" s="13">
        <f>IF(A244="","",MONTH(A244))</f>
        <v/>
      </c>
      <c r="K244" s="13">
        <f>IF(A244="","",YEAR(A244))</f>
        <v/>
      </c>
    </row>
    <row r="245">
      <c r="A245" s="18" t="n"/>
      <c r="B245" s="9" t="n"/>
      <c r="C245" s="13">
        <f>IF(B245="","",IFERROR(INDEX(Produits!$B$5:$B$44,MATCH(B245,Produits!$A$5:$A$44,0)),""))</f>
        <v/>
      </c>
      <c r="D245" s="13">
        <f>IF(B245="","",IFERROR(INDEX(Produits!$C$5:$C$44,MATCH(B245,Produits!$A$5:$A$44,0)),""))</f>
        <v/>
      </c>
      <c r="E245" s="10" t="n"/>
      <c r="F245" s="10" t="n"/>
      <c r="G245" s="10" t="n"/>
      <c r="H245" s="13">
        <f>IF(OR(F245="",G245=""),"",G245-F245)</f>
        <v/>
      </c>
      <c r="I245" s="13">
        <f>IF(A245="","","S"&amp;MIN(4,INT((DAY(A245)-1)/7)+1))</f>
        <v/>
      </c>
      <c r="J245" s="13">
        <f>IF(A245="","",MONTH(A245))</f>
        <v/>
      </c>
      <c r="K245" s="13">
        <f>IF(A245="","",YEAR(A245))</f>
        <v/>
      </c>
    </row>
    <row r="246">
      <c r="A246" s="18" t="n"/>
      <c r="B246" s="9" t="n"/>
      <c r="C246" s="13">
        <f>IF(B246="","",IFERROR(INDEX(Produits!$B$5:$B$44,MATCH(B246,Produits!$A$5:$A$44,0)),""))</f>
        <v/>
      </c>
      <c r="D246" s="13">
        <f>IF(B246="","",IFERROR(INDEX(Produits!$C$5:$C$44,MATCH(B246,Produits!$A$5:$A$44,0)),""))</f>
        <v/>
      </c>
      <c r="E246" s="10" t="n"/>
      <c r="F246" s="10" t="n"/>
      <c r="G246" s="10" t="n"/>
      <c r="H246" s="13">
        <f>IF(OR(F246="",G246=""),"",G246-F246)</f>
        <v/>
      </c>
      <c r="I246" s="13">
        <f>IF(A246="","","S"&amp;MIN(4,INT((DAY(A246)-1)/7)+1))</f>
        <v/>
      </c>
      <c r="J246" s="13">
        <f>IF(A246="","",MONTH(A246))</f>
        <v/>
      </c>
      <c r="K246" s="13">
        <f>IF(A246="","",YEAR(A246))</f>
        <v/>
      </c>
    </row>
    <row r="247">
      <c r="A247" s="18" t="n"/>
      <c r="B247" s="9" t="n"/>
      <c r="C247" s="13">
        <f>IF(B247="","",IFERROR(INDEX(Produits!$B$5:$B$44,MATCH(B247,Produits!$A$5:$A$44,0)),""))</f>
        <v/>
      </c>
      <c r="D247" s="13">
        <f>IF(B247="","",IFERROR(INDEX(Produits!$C$5:$C$44,MATCH(B247,Produits!$A$5:$A$44,0)),""))</f>
        <v/>
      </c>
      <c r="E247" s="10" t="n"/>
      <c r="F247" s="10" t="n"/>
      <c r="G247" s="10" t="n"/>
      <c r="H247" s="13">
        <f>IF(OR(F247="",G247=""),"",G247-F247)</f>
        <v/>
      </c>
      <c r="I247" s="13">
        <f>IF(A247="","","S"&amp;MIN(4,INT((DAY(A247)-1)/7)+1))</f>
        <v/>
      </c>
      <c r="J247" s="13">
        <f>IF(A247="","",MONTH(A247))</f>
        <v/>
      </c>
      <c r="K247" s="13">
        <f>IF(A247="","",YEAR(A247))</f>
        <v/>
      </c>
    </row>
    <row r="248">
      <c r="A248" s="18" t="n"/>
      <c r="B248" s="9" t="n"/>
      <c r="C248" s="13">
        <f>IF(B248="","",IFERROR(INDEX(Produits!$B$5:$B$44,MATCH(B248,Produits!$A$5:$A$44,0)),""))</f>
        <v/>
      </c>
      <c r="D248" s="13">
        <f>IF(B248="","",IFERROR(INDEX(Produits!$C$5:$C$44,MATCH(B248,Produits!$A$5:$A$44,0)),""))</f>
        <v/>
      </c>
      <c r="E248" s="10" t="n"/>
      <c r="F248" s="10" t="n"/>
      <c r="G248" s="10" t="n"/>
      <c r="H248" s="13">
        <f>IF(OR(F248="",G248=""),"",G248-F248)</f>
        <v/>
      </c>
      <c r="I248" s="13">
        <f>IF(A248="","","S"&amp;MIN(4,INT((DAY(A248)-1)/7)+1))</f>
        <v/>
      </c>
      <c r="J248" s="13">
        <f>IF(A248="","",MONTH(A248))</f>
        <v/>
      </c>
      <c r="K248" s="13">
        <f>IF(A248="","",YEAR(A248))</f>
        <v/>
      </c>
    </row>
    <row r="249">
      <c r="A249" s="18" t="n"/>
      <c r="B249" s="9" t="n"/>
      <c r="C249" s="13">
        <f>IF(B249="","",IFERROR(INDEX(Produits!$B$5:$B$44,MATCH(B249,Produits!$A$5:$A$44,0)),""))</f>
        <v/>
      </c>
      <c r="D249" s="13">
        <f>IF(B249="","",IFERROR(INDEX(Produits!$C$5:$C$44,MATCH(B249,Produits!$A$5:$A$44,0)),""))</f>
        <v/>
      </c>
      <c r="E249" s="10" t="n"/>
      <c r="F249" s="10" t="n"/>
      <c r="G249" s="10" t="n"/>
      <c r="H249" s="13">
        <f>IF(OR(F249="",G249=""),"",G249-F249)</f>
        <v/>
      </c>
      <c r="I249" s="13">
        <f>IF(A249="","","S"&amp;MIN(4,INT((DAY(A249)-1)/7)+1))</f>
        <v/>
      </c>
      <c r="J249" s="13">
        <f>IF(A249="","",MONTH(A249))</f>
        <v/>
      </c>
      <c r="K249" s="13">
        <f>IF(A249="","",YEAR(A249))</f>
        <v/>
      </c>
    </row>
    <row r="250">
      <c r="A250" s="18" t="n"/>
      <c r="B250" s="9" t="n"/>
      <c r="C250" s="13">
        <f>IF(B250="","",IFERROR(INDEX(Produits!$B$5:$B$44,MATCH(B250,Produits!$A$5:$A$44,0)),""))</f>
        <v/>
      </c>
      <c r="D250" s="13">
        <f>IF(B250="","",IFERROR(INDEX(Produits!$C$5:$C$44,MATCH(B250,Produits!$A$5:$A$44,0)),""))</f>
        <v/>
      </c>
      <c r="E250" s="10" t="n"/>
      <c r="F250" s="10" t="n"/>
      <c r="G250" s="10" t="n"/>
      <c r="H250" s="13">
        <f>IF(OR(F250="",G250=""),"",G250-F250)</f>
        <v/>
      </c>
      <c r="I250" s="13">
        <f>IF(A250="","","S"&amp;MIN(4,INT((DAY(A250)-1)/7)+1))</f>
        <v/>
      </c>
      <c r="J250" s="13">
        <f>IF(A250="","",MONTH(A250))</f>
        <v/>
      </c>
      <c r="K250" s="13">
        <f>IF(A250="","",YEAR(A250))</f>
        <v/>
      </c>
    </row>
    <row r="251">
      <c r="A251" s="18" t="n"/>
      <c r="B251" s="9" t="n"/>
      <c r="C251" s="13">
        <f>IF(B251="","",IFERROR(INDEX(Produits!$B$5:$B$44,MATCH(B251,Produits!$A$5:$A$44,0)),""))</f>
        <v/>
      </c>
      <c r="D251" s="13">
        <f>IF(B251="","",IFERROR(INDEX(Produits!$C$5:$C$44,MATCH(B251,Produits!$A$5:$A$44,0)),""))</f>
        <v/>
      </c>
      <c r="E251" s="10" t="n"/>
      <c r="F251" s="10" t="n"/>
      <c r="G251" s="10" t="n"/>
      <c r="H251" s="13">
        <f>IF(OR(F251="",G251=""),"",G251-F251)</f>
        <v/>
      </c>
      <c r="I251" s="13">
        <f>IF(A251="","","S"&amp;MIN(4,INT((DAY(A251)-1)/7)+1))</f>
        <v/>
      </c>
      <c r="J251" s="13">
        <f>IF(A251="","",MONTH(A251))</f>
        <v/>
      </c>
      <c r="K251" s="13">
        <f>IF(A251="","",YEAR(A251))</f>
        <v/>
      </c>
    </row>
    <row r="252">
      <c r="A252" s="18" t="n"/>
      <c r="B252" s="9" t="n"/>
      <c r="C252" s="13">
        <f>IF(B252="","",IFERROR(INDEX(Produits!$B$5:$B$44,MATCH(B252,Produits!$A$5:$A$44,0)),""))</f>
        <v/>
      </c>
      <c r="D252" s="13">
        <f>IF(B252="","",IFERROR(INDEX(Produits!$C$5:$C$44,MATCH(B252,Produits!$A$5:$A$44,0)),""))</f>
        <v/>
      </c>
      <c r="E252" s="10" t="n"/>
      <c r="F252" s="10" t="n"/>
      <c r="G252" s="10" t="n"/>
      <c r="H252" s="13">
        <f>IF(OR(F252="",G252=""),"",G252-F252)</f>
        <v/>
      </c>
      <c r="I252" s="13">
        <f>IF(A252="","","S"&amp;MIN(4,INT((DAY(A252)-1)/7)+1))</f>
        <v/>
      </c>
      <c r="J252" s="13">
        <f>IF(A252="","",MONTH(A252))</f>
        <v/>
      </c>
      <c r="K252" s="13">
        <f>IF(A252="","",YEAR(A252))</f>
        <v/>
      </c>
    </row>
    <row r="253">
      <c r="A253" s="18" t="n"/>
      <c r="B253" s="9" t="n"/>
      <c r="C253" s="13">
        <f>IF(B253="","",IFERROR(INDEX(Produits!$B$5:$B$44,MATCH(B253,Produits!$A$5:$A$44,0)),""))</f>
        <v/>
      </c>
      <c r="D253" s="13">
        <f>IF(B253="","",IFERROR(INDEX(Produits!$C$5:$C$44,MATCH(B253,Produits!$A$5:$A$44,0)),""))</f>
        <v/>
      </c>
      <c r="E253" s="10" t="n"/>
      <c r="F253" s="10" t="n"/>
      <c r="G253" s="10" t="n"/>
      <c r="H253" s="13">
        <f>IF(OR(F253="",G253=""),"",G253-F253)</f>
        <v/>
      </c>
      <c r="I253" s="13">
        <f>IF(A253="","","S"&amp;MIN(4,INT((DAY(A253)-1)/7)+1))</f>
        <v/>
      </c>
      <c r="J253" s="13">
        <f>IF(A253="","",MONTH(A253))</f>
        <v/>
      </c>
      <c r="K253" s="13">
        <f>IF(A253="","",YEAR(A253))</f>
        <v/>
      </c>
    </row>
    <row r="254">
      <c r="A254" s="18" t="n"/>
      <c r="B254" s="9" t="n"/>
      <c r="C254" s="13">
        <f>IF(B254="","",IFERROR(INDEX(Produits!$B$5:$B$44,MATCH(B254,Produits!$A$5:$A$44,0)),""))</f>
        <v/>
      </c>
      <c r="D254" s="13">
        <f>IF(B254="","",IFERROR(INDEX(Produits!$C$5:$C$44,MATCH(B254,Produits!$A$5:$A$44,0)),""))</f>
        <v/>
      </c>
      <c r="E254" s="10" t="n"/>
      <c r="F254" s="10" t="n"/>
      <c r="G254" s="10" t="n"/>
      <c r="H254" s="13">
        <f>IF(OR(F254="",G254=""),"",G254-F254)</f>
        <v/>
      </c>
      <c r="I254" s="13">
        <f>IF(A254="","","S"&amp;MIN(4,INT((DAY(A254)-1)/7)+1))</f>
        <v/>
      </c>
      <c r="J254" s="13">
        <f>IF(A254="","",MONTH(A254))</f>
        <v/>
      </c>
      <c r="K254" s="13">
        <f>IF(A254="","",YEAR(A254))</f>
        <v/>
      </c>
    </row>
    <row r="255">
      <c r="A255" s="18" t="n"/>
      <c r="B255" s="9" t="n"/>
      <c r="C255" s="13">
        <f>IF(B255="","",IFERROR(INDEX(Produits!$B$5:$B$44,MATCH(B255,Produits!$A$5:$A$44,0)),""))</f>
        <v/>
      </c>
      <c r="D255" s="13">
        <f>IF(B255="","",IFERROR(INDEX(Produits!$C$5:$C$44,MATCH(B255,Produits!$A$5:$A$44,0)),""))</f>
        <v/>
      </c>
      <c r="E255" s="10" t="n"/>
      <c r="F255" s="10" t="n"/>
      <c r="G255" s="10" t="n"/>
      <c r="H255" s="13">
        <f>IF(OR(F255="",G255=""),"",G255-F255)</f>
        <v/>
      </c>
      <c r="I255" s="13">
        <f>IF(A255="","","S"&amp;MIN(4,INT((DAY(A255)-1)/7)+1))</f>
        <v/>
      </c>
      <c r="J255" s="13">
        <f>IF(A255="","",MONTH(A255))</f>
        <v/>
      </c>
      <c r="K255" s="13">
        <f>IF(A255="","",YEAR(A255))</f>
        <v/>
      </c>
    </row>
    <row r="256">
      <c r="A256" s="18" t="n"/>
      <c r="B256" s="9" t="n"/>
      <c r="C256" s="13">
        <f>IF(B256="","",IFERROR(INDEX(Produits!$B$5:$B$44,MATCH(B256,Produits!$A$5:$A$44,0)),""))</f>
        <v/>
      </c>
      <c r="D256" s="13">
        <f>IF(B256="","",IFERROR(INDEX(Produits!$C$5:$C$44,MATCH(B256,Produits!$A$5:$A$44,0)),""))</f>
        <v/>
      </c>
      <c r="E256" s="10" t="n"/>
      <c r="F256" s="10" t="n"/>
      <c r="G256" s="10" t="n"/>
      <c r="H256" s="13">
        <f>IF(OR(F256="",G256=""),"",G256-F256)</f>
        <v/>
      </c>
      <c r="I256" s="13">
        <f>IF(A256="","","S"&amp;MIN(4,INT((DAY(A256)-1)/7)+1))</f>
        <v/>
      </c>
      <c r="J256" s="13">
        <f>IF(A256="","",MONTH(A256))</f>
        <v/>
      </c>
      <c r="K256" s="13">
        <f>IF(A256="","",YEAR(A256))</f>
        <v/>
      </c>
    </row>
    <row r="257">
      <c r="A257" s="18" t="n"/>
      <c r="B257" s="9" t="n"/>
      <c r="C257" s="13">
        <f>IF(B257="","",IFERROR(INDEX(Produits!$B$5:$B$44,MATCH(B257,Produits!$A$5:$A$44,0)),""))</f>
        <v/>
      </c>
      <c r="D257" s="13">
        <f>IF(B257="","",IFERROR(INDEX(Produits!$C$5:$C$44,MATCH(B257,Produits!$A$5:$A$44,0)),""))</f>
        <v/>
      </c>
      <c r="E257" s="10" t="n"/>
      <c r="F257" s="10" t="n"/>
      <c r="G257" s="10" t="n"/>
      <c r="H257" s="13">
        <f>IF(OR(F257="",G257=""),"",G257-F257)</f>
        <v/>
      </c>
      <c r="I257" s="13">
        <f>IF(A257="","","S"&amp;MIN(4,INT((DAY(A257)-1)/7)+1))</f>
        <v/>
      </c>
      <c r="J257" s="13">
        <f>IF(A257="","",MONTH(A257))</f>
        <v/>
      </c>
      <c r="K257" s="13">
        <f>IF(A257="","",YEAR(A257))</f>
        <v/>
      </c>
    </row>
    <row r="258">
      <c r="A258" s="18" t="n"/>
      <c r="B258" s="9" t="n"/>
      <c r="C258" s="13">
        <f>IF(B258="","",IFERROR(INDEX(Produits!$B$5:$B$44,MATCH(B258,Produits!$A$5:$A$44,0)),""))</f>
        <v/>
      </c>
      <c r="D258" s="13">
        <f>IF(B258="","",IFERROR(INDEX(Produits!$C$5:$C$44,MATCH(B258,Produits!$A$5:$A$44,0)),""))</f>
        <v/>
      </c>
      <c r="E258" s="10" t="n"/>
      <c r="F258" s="10" t="n"/>
      <c r="G258" s="10" t="n"/>
      <c r="H258" s="13">
        <f>IF(OR(F258="",G258=""),"",G258-F258)</f>
        <v/>
      </c>
      <c r="I258" s="13">
        <f>IF(A258="","","S"&amp;MIN(4,INT((DAY(A258)-1)/7)+1))</f>
        <v/>
      </c>
      <c r="J258" s="13">
        <f>IF(A258="","",MONTH(A258))</f>
        <v/>
      </c>
      <c r="K258" s="13">
        <f>IF(A258="","",YEAR(A258))</f>
        <v/>
      </c>
    </row>
    <row r="259">
      <c r="A259" s="18" t="n"/>
      <c r="B259" s="9" t="n"/>
      <c r="C259" s="13">
        <f>IF(B259="","",IFERROR(INDEX(Produits!$B$5:$B$44,MATCH(B259,Produits!$A$5:$A$44,0)),""))</f>
        <v/>
      </c>
      <c r="D259" s="13">
        <f>IF(B259="","",IFERROR(INDEX(Produits!$C$5:$C$44,MATCH(B259,Produits!$A$5:$A$44,0)),""))</f>
        <v/>
      </c>
      <c r="E259" s="10" t="n"/>
      <c r="F259" s="10" t="n"/>
      <c r="G259" s="10" t="n"/>
      <c r="H259" s="13">
        <f>IF(OR(F259="",G259=""),"",G259-F259)</f>
        <v/>
      </c>
      <c r="I259" s="13">
        <f>IF(A259="","","S"&amp;MIN(4,INT((DAY(A259)-1)/7)+1))</f>
        <v/>
      </c>
      <c r="J259" s="13">
        <f>IF(A259="","",MONTH(A259))</f>
        <v/>
      </c>
      <c r="K259" s="13">
        <f>IF(A259="","",YEAR(A259))</f>
        <v/>
      </c>
    </row>
    <row r="260">
      <c r="A260" s="18" t="n"/>
      <c r="B260" s="9" t="n"/>
      <c r="C260" s="13">
        <f>IF(B260="","",IFERROR(INDEX(Produits!$B$5:$B$44,MATCH(B260,Produits!$A$5:$A$44,0)),""))</f>
        <v/>
      </c>
      <c r="D260" s="13">
        <f>IF(B260="","",IFERROR(INDEX(Produits!$C$5:$C$44,MATCH(B260,Produits!$A$5:$A$44,0)),""))</f>
        <v/>
      </c>
      <c r="E260" s="10" t="n"/>
      <c r="F260" s="10" t="n"/>
      <c r="G260" s="10" t="n"/>
      <c r="H260" s="13">
        <f>IF(OR(F260="",G260=""),"",G260-F260)</f>
        <v/>
      </c>
      <c r="I260" s="13">
        <f>IF(A260="","","S"&amp;MIN(4,INT((DAY(A260)-1)/7)+1))</f>
        <v/>
      </c>
      <c r="J260" s="13">
        <f>IF(A260="","",MONTH(A260))</f>
        <v/>
      </c>
      <c r="K260" s="13">
        <f>IF(A260="","",YEAR(A260))</f>
        <v/>
      </c>
    </row>
    <row r="261">
      <c r="A261" s="18" t="n"/>
      <c r="B261" s="9" t="n"/>
      <c r="C261" s="13">
        <f>IF(B261="","",IFERROR(INDEX(Produits!$B$5:$B$44,MATCH(B261,Produits!$A$5:$A$44,0)),""))</f>
        <v/>
      </c>
      <c r="D261" s="13">
        <f>IF(B261="","",IFERROR(INDEX(Produits!$C$5:$C$44,MATCH(B261,Produits!$A$5:$A$44,0)),""))</f>
        <v/>
      </c>
      <c r="E261" s="10" t="n"/>
      <c r="F261" s="10" t="n"/>
      <c r="G261" s="10" t="n"/>
      <c r="H261" s="13">
        <f>IF(OR(F261="",G261=""),"",G261-F261)</f>
        <v/>
      </c>
      <c r="I261" s="13">
        <f>IF(A261="","","S"&amp;MIN(4,INT((DAY(A261)-1)/7)+1))</f>
        <v/>
      </c>
      <c r="J261" s="13">
        <f>IF(A261="","",MONTH(A261))</f>
        <v/>
      </c>
      <c r="K261" s="13">
        <f>IF(A261="","",YEAR(A261))</f>
        <v/>
      </c>
    </row>
    <row r="262">
      <c r="A262" s="18" t="n"/>
      <c r="B262" s="9" t="n"/>
      <c r="C262" s="13">
        <f>IF(B262="","",IFERROR(INDEX(Produits!$B$5:$B$44,MATCH(B262,Produits!$A$5:$A$44,0)),""))</f>
        <v/>
      </c>
      <c r="D262" s="13">
        <f>IF(B262="","",IFERROR(INDEX(Produits!$C$5:$C$44,MATCH(B262,Produits!$A$5:$A$44,0)),""))</f>
        <v/>
      </c>
      <c r="E262" s="10" t="n"/>
      <c r="F262" s="10" t="n"/>
      <c r="G262" s="10" t="n"/>
      <c r="H262" s="13">
        <f>IF(OR(F262="",G262=""),"",G262-F262)</f>
        <v/>
      </c>
      <c r="I262" s="13">
        <f>IF(A262="","","S"&amp;MIN(4,INT((DAY(A262)-1)/7)+1))</f>
        <v/>
      </c>
      <c r="J262" s="13">
        <f>IF(A262="","",MONTH(A262))</f>
        <v/>
      </c>
      <c r="K262" s="13">
        <f>IF(A262="","",YEAR(A262))</f>
        <v/>
      </c>
    </row>
    <row r="263">
      <c r="A263" s="18" t="n"/>
      <c r="B263" s="9" t="n"/>
      <c r="C263" s="13">
        <f>IF(B263="","",IFERROR(INDEX(Produits!$B$5:$B$44,MATCH(B263,Produits!$A$5:$A$44,0)),""))</f>
        <v/>
      </c>
      <c r="D263" s="13">
        <f>IF(B263="","",IFERROR(INDEX(Produits!$C$5:$C$44,MATCH(B263,Produits!$A$5:$A$44,0)),""))</f>
        <v/>
      </c>
      <c r="E263" s="10" t="n"/>
      <c r="F263" s="10" t="n"/>
      <c r="G263" s="10" t="n"/>
      <c r="H263" s="13">
        <f>IF(OR(F263="",G263=""),"",G263-F263)</f>
        <v/>
      </c>
      <c r="I263" s="13">
        <f>IF(A263="","","S"&amp;MIN(4,INT((DAY(A263)-1)/7)+1))</f>
        <v/>
      </c>
      <c r="J263" s="13">
        <f>IF(A263="","",MONTH(A263))</f>
        <v/>
      </c>
      <c r="K263" s="13">
        <f>IF(A263="","",YEAR(A263))</f>
        <v/>
      </c>
    </row>
    <row r="264">
      <c r="A264" s="18" t="n"/>
      <c r="B264" s="9" t="n"/>
      <c r="C264" s="13">
        <f>IF(B264="","",IFERROR(INDEX(Produits!$B$5:$B$44,MATCH(B264,Produits!$A$5:$A$44,0)),""))</f>
        <v/>
      </c>
      <c r="D264" s="13">
        <f>IF(B264="","",IFERROR(INDEX(Produits!$C$5:$C$44,MATCH(B264,Produits!$A$5:$A$44,0)),""))</f>
        <v/>
      </c>
      <c r="E264" s="10" t="n"/>
      <c r="F264" s="10" t="n"/>
      <c r="G264" s="10" t="n"/>
      <c r="H264" s="13">
        <f>IF(OR(F264="",G264=""),"",G264-F264)</f>
        <v/>
      </c>
      <c r="I264" s="13">
        <f>IF(A264="","","S"&amp;MIN(4,INT((DAY(A264)-1)/7)+1))</f>
        <v/>
      </c>
      <c r="J264" s="13">
        <f>IF(A264="","",MONTH(A264))</f>
        <v/>
      </c>
      <c r="K264" s="13">
        <f>IF(A264="","",YEAR(A264))</f>
        <v/>
      </c>
    </row>
    <row r="265">
      <c r="A265" s="18" t="n"/>
      <c r="B265" s="9" t="n"/>
      <c r="C265" s="13">
        <f>IF(B265="","",IFERROR(INDEX(Produits!$B$5:$B$44,MATCH(B265,Produits!$A$5:$A$44,0)),""))</f>
        <v/>
      </c>
      <c r="D265" s="13">
        <f>IF(B265="","",IFERROR(INDEX(Produits!$C$5:$C$44,MATCH(B265,Produits!$A$5:$A$44,0)),""))</f>
        <v/>
      </c>
      <c r="E265" s="10" t="n"/>
      <c r="F265" s="10" t="n"/>
      <c r="G265" s="10" t="n"/>
      <c r="H265" s="13">
        <f>IF(OR(F265="",G265=""),"",G265-F265)</f>
        <v/>
      </c>
      <c r="I265" s="13">
        <f>IF(A265="","","S"&amp;MIN(4,INT((DAY(A265)-1)/7)+1))</f>
        <v/>
      </c>
      <c r="J265" s="13">
        <f>IF(A265="","",MONTH(A265))</f>
        <v/>
      </c>
      <c r="K265" s="13">
        <f>IF(A265="","",YEAR(A265))</f>
        <v/>
      </c>
    </row>
    <row r="266">
      <c r="A266" s="18" t="n"/>
      <c r="B266" s="9" t="n"/>
      <c r="C266" s="13">
        <f>IF(B266="","",IFERROR(INDEX(Produits!$B$5:$B$44,MATCH(B266,Produits!$A$5:$A$44,0)),""))</f>
        <v/>
      </c>
      <c r="D266" s="13">
        <f>IF(B266="","",IFERROR(INDEX(Produits!$C$5:$C$44,MATCH(B266,Produits!$A$5:$A$44,0)),""))</f>
        <v/>
      </c>
      <c r="E266" s="10" t="n"/>
      <c r="F266" s="10" t="n"/>
      <c r="G266" s="10" t="n"/>
      <c r="H266" s="13">
        <f>IF(OR(F266="",G266=""),"",G266-F266)</f>
        <v/>
      </c>
      <c r="I266" s="13">
        <f>IF(A266="","","S"&amp;MIN(4,INT((DAY(A266)-1)/7)+1))</f>
        <v/>
      </c>
      <c r="J266" s="13">
        <f>IF(A266="","",MONTH(A266))</f>
        <v/>
      </c>
      <c r="K266" s="13">
        <f>IF(A266="","",YEAR(A266))</f>
        <v/>
      </c>
    </row>
    <row r="267">
      <c r="A267" s="18" t="n"/>
      <c r="B267" s="9" t="n"/>
      <c r="C267" s="13">
        <f>IF(B267="","",IFERROR(INDEX(Produits!$B$5:$B$44,MATCH(B267,Produits!$A$5:$A$44,0)),""))</f>
        <v/>
      </c>
      <c r="D267" s="13">
        <f>IF(B267="","",IFERROR(INDEX(Produits!$C$5:$C$44,MATCH(B267,Produits!$A$5:$A$44,0)),""))</f>
        <v/>
      </c>
      <c r="E267" s="10" t="n"/>
      <c r="F267" s="10" t="n"/>
      <c r="G267" s="10" t="n"/>
      <c r="H267" s="13">
        <f>IF(OR(F267="",G267=""),"",G267-F267)</f>
        <v/>
      </c>
      <c r="I267" s="13">
        <f>IF(A267="","","S"&amp;MIN(4,INT((DAY(A267)-1)/7)+1))</f>
        <v/>
      </c>
      <c r="J267" s="13">
        <f>IF(A267="","",MONTH(A267))</f>
        <v/>
      </c>
      <c r="K267" s="13">
        <f>IF(A267="","",YEAR(A267))</f>
        <v/>
      </c>
    </row>
    <row r="268">
      <c r="A268" s="18" t="n"/>
      <c r="B268" s="9" t="n"/>
      <c r="C268" s="13">
        <f>IF(B268="","",IFERROR(INDEX(Produits!$B$5:$B$44,MATCH(B268,Produits!$A$5:$A$44,0)),""))</f>
        <v/>
      </c>
      <c r="D268" s="13">
        <f>IF(B268="","",IFERROR(INDEX(Produits!$C$5:$C$44,MATCH(B268,Produits!$A$5:$A$44,0)),""))</f>
        <v/>
      </c>
      <c r="E268" s="10" t="n"/>
      <c r="F268" s="10" t="n"/>
      <c r="G268" s="10" t="n"/>
      <c r="H268" s="13">
        <f>IF(OR(F268="",G268=""),"",G268-F268)</f>
        <v/>
      </c>
      <c r="I268" s="13">
        <f>IF(A268="","","S"&amp;MIN(4,INT((DAY(A268)-1)/7)+1))</f>
        <v/>
      </c>
      <c r="J268" s="13">
        <f>IF(A268="","",MONTH(A268))</f>
        <v/>
      </c>
      <c r="K268" s="13">
        <f>IF(A268="","",YEAR(A268))</f>
        <v/>
      </c>
    </row>
    <row r="269">
      <c r="A269" s="18" t="n"/>
      <c r="B269" s="9" t="n"/>
      <c r="C269" s="13">
        <f>IF(B269="","",IFERROR(INDEX(Produits!$B$5:$B$44,MATCH(B269,Produits!$A$5:$A$44,0)),""))</f>
        <v/>
      </c>
      <c r="D269" s="13">
        <f>IF(B269="","",IFERROR(INDEX(Produits!$C$5:$C$44,MATCH(B269,Produits!$A$5:$A$44,0)),""))</f>
        <v/>
      </c>
      <c r="E269" s="10" t="n"/>
      <c r="F269" s="10" t="n"/>
      <c r="G269" s="10" t="n"/>
      <c r="H269" s="13">
        <f>IF(OR(F269="",G269=""),"",G269-F269)</f>
        <v/>
      </c>
      <c r="I269" s="13">
        <f>IF(A269="","","S"&amp;MIN(4,INT((DAY(A269)-1)/7)+1))</f>
        <v/>
      </c>
      <c r="J269" s="13">
        <f>IF(A269="","",MONTH(A269))</f>
        <v/>
      </c>
      <c r="K269" s="13">
        <f>IF(A269="","",YEAR(A269))</f>
        <v/>
      </c>
    </row>
    <row r="270">
      <c r="A270" s="18" t="n"/>
      <c r="B270" s="9" t="n"/>
      <c r="C270" s="13">
        <f>IF(B270="","",IFERROR(INDEX(Produits!$B$5:$B$44,MATCH(B270,Produits!$A$5:$A$44,0)),""))</f>
        <v/>
      </c>
      <c r="D270" s="13">
        <f>IF(B270="","",IFERROR(INDEX(Produits!$C$5:$C$44,MATCH(B270,Produits!$A$5:$A$44,0)),""))</f>
        <v/>
      </c>
      <c r="E270" s="10" t="n"/>
      <c r="F270" s="10" t="n"/>
      <c r="G270" s="10" t="n"/>
      <c r="H270" s="13">
        <f>IF(OR(F270="",G270=""),"",G270-F270)</f>
        <v/>
      </c>
      <c r="I270" s="13">
        <f>IF(A270="","","S"&amp;MIN(4,INT((DAY(A270)-1)/7)+1))</f>
        <v/>
      </c>
      <c r="J270" s="13">
        <f>IF(A270="","",MONTH(A270))</f>
        <v/>
      </c>
      <c r="K270" s="13">
        <f>IF(A270="","",YEAR(A270))</f>
        <v/>
      </c>
    </row>
    <row r="271">
      <c r="A271" s="18" t="n"/>
      <c r="B271" s="9" t="n"/>
      <c r="C271" s="13">
        <f>IF(B271="","",IFERROR(INDEX(Produits!$B$5:$B$44,MATCH(B271,Produits!$A$5:$A$44,0)),""))</f>
        <v/>
      </c>
      <c r="D271" s="13">
        <f>IF(B271="","",IFERROR(INDEX(Produits!$C$5:$C$44,MATCH(B271,Produits!$A$5:$A$44,0)),""))</f>
        <v/>
      </c>
      <c r="E271" s="10" t="n"/>
      <c r="F271" s="10" t="n"/>
      <c r="G271" s="10" t="n"/>
      <c r="H271" s="13">
        <f>IF(OR(F271="",G271=""),"",G271-F271)</f>
        <v/>
      </c>
      <c r="I271" s="13">
        <f>IF(A271="","","S"&amp;MIN(4,INT((DAY(A271)-1)/7)+1))</f>
        <v/>
      </c>
      <c r="J271" s="13">
        <f>IF(A271="","",MONTH(A271))</f>
        <v/>
      </c>
      <c r="K271" s="13">
        <f>IF(A271="","",YEAR(A271))</f>
        <v/>
      </c>
    </row>
    <row r="272">
      <c r="A272" s="18" t="n"/>
      <c r="B272" s="9" t="n"/>
      <c r="C272" s="13">
        <f>IF(B272="","",IFERROR(INDEX(Produits!$B$5:$B$44,MATCH(B272,Produits!$A$5:$A$44,0)),""))</f>
        <v/>
      </c>
      <c r="D272" s="13">
        <f>IF(B272="","",IFERROR(INDEX(Produits!$C$5:$C$44,MATCH(B272,Produits!$A$5:$A$44,0)),""))</f>
        <v/>
      </c>
      <c r="E272" s="10" t="n"/>
      <c r="F272" s="10" t="n"/>
      <c r="G272" s="10" t="n"/>
      <c r="H272" s="13">
        <f>IF(OR(F272="",G272=""),"",G272-F272)</f>
        <v/>
      </c>
      <c r="I272" s="13">
        <f>IF(A272="","","S"&amp;MIN(4,INT((DAY(A272)-1)/7)+1))</f>
        <v/>
      </c>
      <c r="J272" s="13">
        <f>IF(A272="","",MONTH(A272))</f>
        <v/>
      </c>
      <c r="K272" s="13">
        <f>IF(A272="","",YEAR(A272))</f>
        <v/>
      </c>
    </row>
    <row r="273">
      <c r="A273" s="18" t="n"/>
      <c r="B273" s="9" t="n"/>
      <c r="C273" s="13">
        <f>IF(B273="","",IFERROR(INDEX(Produits!$B$5:$B$44,MATCH(B273,Produits!$A$5:$A$44,0)),""))</f>
        <v/>
      </c>
      <c r="D273" s="13">
        <f>IF(B273="","",IFERROR(INDEX(Produits!$C$5:$C$44,MATCH(B273,Produits!$A$5:$A$44,0)),""))</f>
        <v/>
      </c>
      <c r="E273" s="10" t="n"/>
      <c r="F273" s="10" t="n"/>
      <c r="G273" s="10" t="n"/>
      <c r="H273" s="13">
        <f>IF(OR(F273="",G273=""),"",G273-F273)</f>
        <v/>
      </c>
      <c r="I273" s="13">
        <f>IF(A273="","","S"&amp;MIN(4,INT((DAY(A273)-1)/7)+1))</f>
        <v/>
      </c>
      <c r="J273" s="13">
        <f>IF(A273="","",MONTH(A273))</f>
        <v/>
      </c>
      <c r="K273" s="13">
        <f>IF(A273="","",YEAR(A273))</f>
        <v/>
      </c>
    </row>
    <row r="274">
      <c r="A274" s="18" t="n"/>
      <c r="B274" s="9" t="n"/>
      <c r="C274" s="13">
        <f>IF(B274="","",IFERROR(INDEX(Produits!$B$5:$B$44,MATCH(B274,Produits!$A$5:$A$44,0)),""))</f>
        <v/>
      </c>
      <c r="D274" s="13">
        <f>IF(B274="","",IFERROR(INDEX(Produits!$C$5:$C$44,MATCH(B274,Produits!$A$5:$A$44,0)),""))</f>
        <v/>
      </c>
      <c r="E274" s="10" t="n"/>
      <c r="F274" s="10" t="n"/>
      <c r="G274" s="10" t="n"/>
      <c r="H274" s="13">
        <f>IF(OR(F274="",G274=""),"",G274-F274)</f>
        <v/>
      </c>
      <c r="I274" s="13">
        <f>IF(A274="","","S"&amp;MIN(4,INT((DAY(A274)-1)/7)+1))</f>
        <v/>
      </c>
      <c r="J274" s="13">
        <f>IF(A274="","",MONTH(A274))</f>
        <v/>
      </c>
      <c r="K274" s="13">
        <f>IF(A274="","",YEAR(A274))</f>
        <v/>
      </c>
    </row>
    <row r="275">
      <c r="A275" s="18" t="n"/>
      <c r="B275" s="9" t="n"/>
      <c r="C275" s="13">
        <f>IF(B275="","",IFERROR(INDEX(Produits!$B$5:$B$44,MATCH(B275,Produits!$A$5:$A$44,0)),""))</f>
        <v/>
      </c>
      <c r="D275" s="13">
        <f>IF(B275="","",IFERROR(INDEX(Produits!$C$5:$C$44,MATCH(B275,Produits!$A$5:$A$44,0)),""))</f>
        <v/>
      </c>
      <c r="E275" s="10" t="n"/>
      <c r="F275" s="10" t="n"/>
      <c r="G275" s="10" t="n"/>
      <c r="H275" s="13">
        <f>IF(OR(F275="",G275=""),"",G275-F275)</f>
        <v/>
      </c>
      <c r="I275" s="13">
        <f>IF(A275="","","S"&amp;MIN(4,INT((DAY(A275)-1)/7)+1))</f>
        <v/>
      </c>
      <c r="J275" s="13">
        <f>IF(A275="","",MONTH(A275))</f>
        <v/>
      </c>
      <c r="K275" s="13">
        <f>IF(A275="","",YEAR(A275))</f>
        <v/>
      </c>
    </row>
    <row r="276">
      <c r="A276" s="18" t="n"/>
      <c r="B276" s="9" t="n"/>
      <c r="C276" s="13">
        <f>IF(B276="","",IFERROR(INDEX(Produits!$B$5:$B$44,MATCH(B276,Produits!$A$5:$A$44,0)),""))</f>
        <v/>
      </c>
      <c r="D276" s="13">
        <f>IF(B276="","",IFERROR(INDEX(Produits!$C$5:$C$44,MATCH(B276,Produits!$A$5:$A$44,0)),""))</f>
        <v/>
      </c>
      <c r="E276" s="10" t="n"/>
      <c r="F276" s="10" t="n"/>
      <c r="G276" s="10" t="n"/>
      <c r="H276" s="13">
        <f>IF(OR(F276="",G276=""),"",G276-F276)</f>
        <v/>
      </c>
      <c r="I276" s="13">
        <f>IF(A276="","","S"&amp;MIN(4,INT((DAY(A276)-1)/7)+1))</f>
        <v/>
      </c>
      <c r="J276" s="13">
        <f>IF(A276="","",MONTH(A276))</f>
        <v/>
      </c>
      <c r="K276" s="13">
        <f>IF(A276="","",YEAR(A276))</f>
        <v/>
      </c>
    </row>
    <row r="277">
      <c r="A277" s="18" t="n"/>
      <c r="B277" s="9" t="n"/>
      <c r="C277" s="13">
        <f>IF(B277="","",IFERROR(INDEX(Produits!$B$5:$B$44,MATCH(B277,Produits!$A$5:$A$44,0)),""))</f>
        <v/>
      </c>
      <c r="D277" s="13">
        <f>IF(B277="","",IFERROR(INDEX(Produits!$C$5:$C$44,MATCH(B277,Produits!$A$5:$A$44,0)),""))</f>
        <v/>
      </c>
      <c r="E277" s="10" t="n"/>
      <c r="F277" s="10" t="n"/>
      <c r="G277" s="10" t="n"/>
      <c r="H277" s="13">
        <f>IF(OR(F277="",G277=""),"",G277-F277)</f>
        <v/>
      </c>
      <c r="I277" s="13">
        <f>IF(A277="","","S"&amp;MIN(4,INT((DAY(A277)-1)/7)+1))</f>
        <v/>
      </c>
      <c r="J277" s="13">
        <f>IF(A277="","",MONTH(A277))</f>
        <v/>
      </c>
      <c r="K277" s="13">
        <f>IF(A277="","",YEAR(A277))</f>
        <v/>
      </c>
    </row>
    <row r="278">
      <c r="A278" s="18" t="n"/>
      <c r="B278" s="9" t="n"/>
      <c r="C278" s="13">
        <f>IF(B278="","",IFERROR(INDEX(Produits!$B$5:$B$44,MATCH(B278,Produits!$A$5:$A$44,0)),""))</f>
        <v/>
      </c>
      <c r="D278" s="13">
        <f>IF(B278="","",IFERROR(INDEX(Produits!$C$5:$C$44,MATCH(B278,Produits!$A$5:$A$44,0)),""))</f>
        <v/>
      </c>
      <c r="E278" s="10" t="n"/>
      <c r="F278" s="10" t="n"/>
      <c r="G278" s="10" t="n"/>
      <c r="H278" s="13">
        <f>IF(OR(F278="",G278=""),"",G278-F278)</f>
        <v/>
      </c>
      <c r="I278" s="13">
        <f>IF(A278="","","S"&amp;MIN(4,INT((DAY(A278)-1)/7)+1))</f>
        <v/>
      </c>
      <c r="J278" s="13">
        <f>IF(A278="","",MONTH(A278))</f>
        <v/>
      </c>
      <c r="K278" s="13">
        <f>IF(A278="","",YEAR(A278))</f>
        <v/>
      </c>
    </row>
    <row r="279">
      <c r="A279" s="18" t="n"/>
      <c r="B279" s="9" t="n"/>
      <c r="C279" s="13">
        <f>IF(B279="","",IFERROR(INDEX(Produits!$B$5:$B$44,MATCH(B279,Produits!$A$5:$A$44,0)),""))</f>
        <v/>
      </c>
      <c r="D279" s="13">
        <f>IF(B279="","",IFERROR(INDEX(Produits!$C$5:$C$44,MATCH(B279,Produits!$A$5:$A$44,0)),""))</f>
        <v/>
      </c>
      <c r="E279" s="10" t="n"/>
      <c r="F279" s="10" t="n"/>
      <c r="G279" s="10" t="n"/>
      <c r="H279" s="13">
        <f>IF(OR(F279="",G279=""),"",G279-F279)</f>
        <v/>
      </c>
      <c r="I279" s="13">
        <f>IF(A279="","","S"&amp;MIN(4,INT((DAY(A279)-1)/7)+1))</f>
        <v/>
      </c>
      <c r="J279" s="13">
        <f>IF(A279="","",MONTH(A279))</f>
        <v/>
      </c>
      <c r="K279" s="13">
        <f>IF(A279="","",YEAR(A279))</f>
        <v/>
      </c>
    </row>
    <row r="280">
      <c r="A280" s="18" t="n"/>
      <c r="B280" s="9" t="n"/>
      <c r="C280" s="13">
        <f>IF(B280="","",IFERROR(INDEX(Produits!$B$5:$B$44,MATCH(B280,Produits!$A$5:$A$44,0)),""))</f>
        <v/>
      </c>
      <c r="D280" s="13">
        <f>IF(B280="","",IFERROR(INDEX(Produits!$C$5:$C$44,MATCH(B280,Produits!$A$5:$A$44,0)),""))</f>
        <v/>
      </c>
      <c r="E280" s="10" t="n"/>
      <c r="F280" s="10" t="n"/>
      <c r="G280" s="10" t="n"/>
      <c r="H280" s="13">
        <f>IF(OR(F280="",G280=""),"",G280-F280)</f>
        <v/>
      </c>
      <c r="I280" s="13">
        <f>IF(A280="","","S"&amp;MIN(4,INT((DAY(A280)-1)/7)+1))</f>
        <v/>
      </c>
      <c r="J280" s="13">
        <f>IF(A280="","",MONTH(A280))</f>
        <v/>
      </c>
      <c r="K280" s="13">
        <f>IF(A280="","",YEAR(A280))</f>
        <v/>
      </c>
    </row>
    <row r="281">
      <c r="A281" s="18" t="n"/>
      <c r="B281" s="9" t="n"/>
      <c r="C281" s="13">
        <f>IF(B281="","",IFERROR(INDEX(Produits!$B$5:$B$44,MATCH(B281,Produits!$A$5:$A$44,0)),""))</f>
        <v/>
      </c>
      <c r="D281" s="13">
        <f>IF(B281="","",IFERROR(INDEX(Produits!$C$5:$C$44,MATCH(B281,Produits!$A$5:$A$44,0)),""))</f>
        <v/>
      </c>
      <c r="E281" s="10" t="n"/>
      <c r="F281" s="10" t="n"/>
      <c r="G281" s="10" t="n"/>
      <c r="H281" s="13">
        <f>IF(OR(F281="",G281=""),"",G281-F281)</f>
        <v/>
      </c>
      <c r="I281" s="13">
        <f>IF(A281="","","S"&amp;MIN(4,INT((DAY(A281)-1)/7)+1))</f>
        <v/>
      </c>
      <c r="J281" s="13">
        <f>IF(A281="","",MONTH(A281))</f>
        <v/>
      </c>
      <c r="K281" s="13">
        <f>IF(A281="","",YEAR(A281))</f>
        <v/>
      </c>
    </row>
    <row r="282">
      <c r="A282" s="18" t="n"/>
      <c r="B282" s="9" t="n"/>
      <c r="C282" s="13">
        <f>IF(B282="","",IFERROR(INDEX(Produits!$B$5:$B$44,MATCH(B282,Produits!$A$5:$A$44,0)),""))</f>
        <v/>
      </c>
      <c r="D282" s="13">
        <f>IF(B282="","",IFERROR(INDEX(Produits!$C$5:$C$44,MATCH(B282,Produits!$A$5:$A$44,0)),""))</f>
        <v/>
      </c>
      <c r="E282" s="10" t="n"/>
      <c r="F282" s="10" t="n"/>
      <c r="G282" s="10" t="n"/>
      <c r="H282" s="13">
        <f>IF(OR(F282="",G282=""),"",G282-F282)</f>
        <v/>
      </c>
      <c r="I282" s="13">
        <f>IF(A282="","","S"&amp;MIN(4,INT((DAY(A282)-1)/7)+1))</f>
        <v/>
      </c>
      <c r="J282" s="13">
        <f>IF(A282="","",MONTH(A282))</f>
        <v/>
      </c>
      <c r="K282" s="13">
        <f>IF(A282="","",YEAR(A282))</f>
        <v/>
      </c>
    </row>
    <row r="283">
      <c r="A283" s="18" t="n"/>
      <c r="B283" s="9" t="n"/>
      <c r="C283" s="13">
        <f>IF(B283="","",IFERROR(INDEX(Produits!$B$5:$B$44,MATCH(B283,Produits!$A$5:$A$44,0)),""))</f>
        <v/>
      </c>
      <c r="D283" s="13">
        <f>IF(B283="","",IFERROR(INDEX(Produits!$C$5:$C$44,MATCH(B283,Produits!$A$5:$A$44,0)),""))</f>
        <v/>
      </c>
      <c r="E283" s="10" t="n"/>
      <c r="F283" s="10" t="n"/>
      <c r="G283" s="10" t="n"/>
      <c r="H283" s="13">
        <f>IF(OR(F283="",G283=""),"",G283-F283)</f>
        <v/>
      </c>
      <c r="I283" s="13">
        <f>IF(A283="","","S"&amp;MIN(4,INT((DAY(A283)-1)/7)+1))</f>
        <v/>
      </c>
      <c r="J283" s="13">
        <f>IF(A283="","",MONTH(A283))</f>
        <v/>
      </c>
      <c r="K283" s="13">
        <f>IF(A283="","",YEAR(A283))</f>
        <v/>
      </c>
    </row>
    <row r="284">
      <c r="A284" s="18" t="n"/>
      <c r="B284" s="9" t="n"/>
      <c r="C284" s="13">
        <f>IF(B284="","",IFERROR(INDEX(Produits!$B$5:$B$44,MATCH(B284,Produits!$A$5:$A$44,0)),""))</f>
        <v/>
      </c>
      <c r="D284" s="13">
        <f>IF(B284="","",IFERROR(INDEX(Produits!$C$5:$C$44,MATCH(B284,Produits!$A$5:$A$44,0)),""))</f>
        <v/>
      </c>
      <c r="E284" s="10" t="n"/>
      <c r="F284" s="10" t="n"/>
      <c r="G284" s="10" t="n"/>
      <c r="H284" s="13">
        <f>IF(OR(F284="",G284=""),"",G284-F284)</f>
        <v/>
      </c>
      <c r="I284" s="13">
        <f>IF(A284="","","S"&amp;MIN(4,INT((DAY(A284)-1)/7)+1))</f>
        <v/>
      </c>
      <c r="J284" s="13">
        <f>IF(A284="","",MONTH(A284))</f>
        <v/>
      </c>
      <c r="K284" s="13">
        <f>IF(A284="","",YEAR(A284))</f>
        <v/>
      </c>
    </row>
    <row r="285">
      <c r="A285" s="18" t="n"/>
      <c r="B285" s="9" t="n"/>
      <c r="C285" s="13">
        <f>IF(B285="","",IFERROR(INDEX(Produits!$B$5:$B$44,MATCH(B285,Produits!$A$5:$A$44,0)),""))</f>
        <v/>
      </c>
      <c r="D285" s="13">
        <f>IF(B285="","",IFERROR(INDEX(Produits!$C$5:$C$44,MATCH(B285,Produits!$A$5:$A$44,0)),""))</f>
        <v/>
      </c>
      <c r="E285" s="10" t="n"/>
      <c r="F285" s="10" t="n"/>
      <c r="G285" s="10" t="n"/>
      <c r="H285" s="13">
        <f>IF(OR(F285="",G285=""),"",G285-F285)</f>
        <v/>
      </c>
      <c r="I285" s="13">
        <f>IF(A285="","","S"&amp;MIN(4,INT((DAY(A285)-1)/7)+1))</f>
        <v/>
      </c>
      <c r="J285" s="13">
        <f>IF(A285="","",MONTH(A285))</f>
        <v/>
      </c>
      <c r="K285" s="13">
        <f>IF(A285="","",YEAR(A285))</f>
        <v/>
      </c>
    </row>
    <row r="286">
      <c r="A286" s="18" t="n"/>
      <c r="B286" s="9" t="n"/>
      <c r="C286" s="13">
        <f>IF(B286="","",IFERROR(INDEX(Produits!$B$5:$B$44,MATCH(B286,Produits!$A$5:$A$44,0)),""))</f>
        <v/>
      </c>
      <c r="D286" s="13">
        <f>IF(B286="","",IFERROR(INDEX(Produits!$C$5:$C$44,MATCH(B286,Produits!$A$5:$A$44,0)),""))</f>
        <v/>
      </c>
      <c r="E286" s="10" t="n"/>
      <c r="F286" s="10" t="n"/>
      <c r="G286" s="10" t="n"/>
      <c r="H286" s="13">
        <f>IF(OR(F286="",G286=""),"",G286-F286)</f>
        <v/>
      </c>
      <c r="I286" s="13">
        <f>IF(A286="","","S"&amp;MIN(4,INT((DAY(A286)-1)/7)+1))</f>
        <v/>
      </c>
      <c r="J286" s="13">
        <f>IF(A286="","",MONTH(A286))</f>
        <v/>
      </c>
      <c r="K286" s="13">
        <f>IF(A286="","",YEAR(A286))</f>
        <v/>
      </c>
    </row>
    <row r="287">
      <c r="A287" s="18" t="n"/>
      <c r="B287" s="9" t="n"/>
      <c r="C287" s="13">
        <f>IF(B287="","",IFERROR(INDEX(Produits!$B$5:$B$44,MATCH(B287,Produits!$A$5:$A$44,0)),""))</f>
        <v/>
      </c>
      <c r="D287" s="13">
        <f>IF(B287="","",IFERROR(INDEX(Produits!$C$5:$C$44,MATCH(B287,Produits!$A$5:$A$44,0)),""))</f>
        <v/>
      </c>
      <c r="E287" s="10" t="n"/>
      <c r="F287" s="10" t="n"/>
      <c r="G287" s="10" t="n"/>
      <c r="H287" s="13">
        <f>IF(OR(F287="",G287=""),"",G287-F287)</f>
        <v/>
      </c>
      <c r="I287" s="13">
        <f>IF(A287="","","S"&amp;MIN(4,INT((DAY(A287)-1)/7)+1))</f>
        <v/>
      </c>
      <c r="J287" s="13">
        <f>IF(A287="","",MONTH(A287))</f>
        <v/>
      </c>
      <c r="K287" s="13">
        <f>IF(A287="","",YEAR(A287))</f>
        <v/>
      </c>
    </row>
    <row r="288">
      <c r="A288" s="18" t="n"/>
      <c r="B288" s="9" t="n"/>
      <c r="C288" s="13">
        <f>IF(B288="","",IFERROR(INDEX(Produits!$B$5:$B$44,MATCH(B288,Produits!$A$5:$A$44,0)),""))</f>
        <v/>
      </c>
      <c r="D288" s="13">
        <f>IF(B288="","",IFERROR(INDEX(Produits!$C$5:$C$44,MATCH(B288,Produits!$A$5:$A$44,0)),""))</f>
        <v/>
      </c>
      <c r="E288" s="10" t="n"/>
      <c r="F288" s="10" t="n"/>
      <c r="G288" s="10" t="n"/>
      <c r="H288" s="13">
        <f>IF(OR(F288="",G288=""),"",G288-F288)</f>
        <v/>
      </c>
      <c r="I288" s="13">
        <f>IF(A288="","","S"&amp;MIN(4,INT((DAY(A288)-1)/7)+1))</f>
        <v/>
      </c>
      <c r="J288" s="13">
        <f>IF(A288="","",MONTH(A288))</f>
        <v/>
      </c>
      <c r="K288" s="13">
        <f>IF(A288="","",YEAR(A288))</f>
        <v/>
      </c>
    </row>
    <row r="289">
      <c r="A289" s="18" t="n"/>
      <c r="B289" s="9" t="n"/>
      <c r="C289" s="13">
        <f>IF(B289="","",IFERROR(INDEX(Produits!$B$5:$B$44,MATCH(B289,Produits!$A$5:$A$44,0)),""))</f>
        <v/>
      </c>
      <c r="D289" s="13">
        <f>IF(B289="","",IFERROR(INDEX(Produits!$C$5:$C$44,MATCH(B289,Produits!$A$5:$A$44,0)),""))</f>
        <v/>
      </c>
      <c r="E289" s="10" t="n"/>
      <c r="F289" s="10" t="n"/>
      <c r="G289" s="10" t="n"/>
      <c r="H289" s="13">
        <f>IF(OR(F289="",G289=""),"",G289-F289)</f>
        <v/>
      </c>
      <c r="I289" s="13">
        <f>IF(A289="","","S"&amp;MIN(4,INT((DAY(A289)-1)/7)+1))</f>
        <v/>
      </c>
      <c r="J289" s="13">
        <f>IF(A289="","",MONTH(A289))</f>
        <v/>
      </c>
      <c r="K289" s="13">
        <f>IF(A289="","",YEAR(A289))</f>
        <v/>
      </c>
    </row>
    <row r="290">
      <c r="A290" s="18" t="n"/>
      <c r="B290" s="9" t="n"/>
      <c r="C290" s="13">
        <f>IF(B290="","",IFERROR(INDEX(Produits!$B$5:$B$44,MATCH(B290,Produits!$A$5:$A$44,0)),""))</f>
        <v/>
      </c>
      <c r="D290" s="13">
        <f>IF(B290="","",IFERROR(INDEX(Produits!$C$5:$C$44,MATCH(B290,Produits!$A$5:$A$44,0)),""))</f>
        <v/>
      </c>
      <c r="E290" s="10" t="n"/>
      <c r="F290" s="10" t="n"/>
      <c r="G290" s="10" t="n"/>
      <c r="H290" s="13">
        <f>IF(OR(F290="",G290=""),"",G290-F290)</f>
        <v/>
      </c>
      <c r="I290" s="13">
        <f>IF(A290="","","S"&amp;MIN(4,INT((DAY(A290)-1)/7)+1))</f>
        <v/>
      </c>
      <c r="J290" s="13">
        <f>IF(A290="","",MONTH(A290))</f>
        <v/>
      </c>
      <c r="K290" s="13">
        <f>IF(A290="","",YEAR(A290))</f>
        <v/>
      </c>
    </row>
    <row r="291">
      <c r="A291" s="18" t="n"/>
      <c r="B291" s="9" t="n"/>
      <c r="C291" s="13">
        <f>IF(B291="","",IFERROR(INDEX(Produits!$B$5:$B$44,MATCH(B291,Produits!$A$5:$A$44,0)),""))</f>
        <v/>
      </c>
      <c r="D291" s="13">
        <f>IF(B291="","",IFERROR(INDEX(Produits!$C$5:$C$44,MATCH(B291,Produits!$A$5:$A$44,0)),""))</f>
        <v/>
      </c>
      <c r="E291" s="10" t="n"/>
      <c r="F291" s="10" t="n"/>
      <c r="G291" s="10" t="n"/>
      <c r="H291" s="13">
        <f>IF(OR(F291="",G291=""),"",G291-F291)</f>
        <v/>
      </c>
      <c r="I291" s="13">
        <f>IF(A291="","","S"&amp;MIN(4,INT((DAY(A291)-1)/7)+1))</f>
        <v/>
      </c>
      <c r="J291" s="13">
        <f>IF(A291="","",MONTH(A291))</f>
        <v/>
      </c>
      <c r="K291" s="13">
        <f>IF(A291="","",YEAR(A291))</f>
        <v/>
      </c>
    </row>
    <row r="292">
      <c r="A292" s="18" t="n"/>
      <c r="B292" s="9" t="n"/>
      <c r="C292" s="13">
        <f>IF(B292="","",IFERROR(INDEX(Produits!$B$5:$B$44,MATCH(B292,Produits!$A$5:$A$44,0)),""))</f>
        <v/>
      </c>
      <c r="D292" s="13">
        <f>IF(B292="","",IFERROR(INDEX(Produits!$C$5:$C$44,MATCH(B292,Produits!$A$5:$A$44,0)),""))</f>
        <v/>
      </c>
      <c r="E292" s="10" t="n"/>
      <c r="F292" s="10" t="n"/>
      <c r="G292" s="10" t="n"/>
      <c r="H292" s="13">
        <f>IF(OR(F292="",G292=""),"",G292-F292)</f>
        <v/>
      </c>
      <c r="I292" s="13">
        <f>IF(A292="","","S"&amp;MIN(4,INT((DAY(A292)-1)/7)+1))</f>
        <v/>
      </c>
      <c r="J292" s="13">
        <f>IF(A292="","",MONTH(A292))</f>
        <v/>
      </c>
      <c r="K292" s="13">
        <f>IF(A292="","",YEAR(A292))</f>
        <v/>
      </c>
    </row>
    <row r="293">
      <c r="A293" s="18" t="n"/>
      <c r="B293" s="9" t="n"/>
      <c r="C293" s="13">
        <f>IF(B293="","",IFERROR(INDEX(Produits!$B$5:$B$44,MATCH(B293,Produits!$A$5:$A$44,0)),""))</f>
        <v/>
      </c>
      <c r="D293" s="13">
        <f>IF(B293="","",IFERROR(INDEX(Produits!$C$5:$C$44,MATCH(B293,Produits!$A$5:$A$44,0)),""))</f>
        <v/>
      </c>
      <c r="E293" s="10" t="n"/>
      <c r="F293" s="10" t="n"/>
      <c r="G293" s="10" t="n"/>
      <c r="H293" s="13">
        <f>IF(OR(F293="",G293=""),"",G293-F293)</f>
        <v/>
      </c>
      <c r="I293" s="13">
        <f>IF(A293="","","S"&amp;MIN(4,INT((DAY(A293)-1)/7)+1))</f>
        <v/>
      </c>
      <c r="J293" s="13">
        <f>IF(A293="","",MONTH(A293))</f>
        <v/>
      </c>
      <c r="K293" s="13">
        <f>IF(A293="","",YEAR(A293))</f>
        <v/>
      </c>
    </row>
    <row r="294">
      <c r="A294" s="18" t="n"/>
      <c r="B294" s="9" t="n"/>
      <c r="C294" s="13">
        <f>IF(B294="","",IFERROR(INDEX(Produits!$B$5:$B$44,MATCH(B294,Produits!$A$5:$A$44,0)),""))</f>
        <v/>
      </c>
      <c r="D294" s="13">
        <f>IF(B294="","",IFERROR(INDEX(Produits!$C$5:$C$44,MATCH(B294,Produits!$A$5:$A$44,0)),""))</f>
        <v/>
      </c>
      <c r="E294" s="10" t="n"/>
      <c r="F294" s="10" t="n"/>
      <c r="G294" s="10" t="n"/>
      <c r="H294" s="13">
        <f>IF(OR(F294="",G294=""),"",G294-F294)</f>
        <v/>
      </c>
      <c r="I294" s="13">
        <f>IF(A294="","","S"&amp;MIN(4,INT((DAY(A294)-1)/7)+1))</f>
        <v/>
      </c>
      <c r="J294" s="13">
        <f>IF(A294="","",MONTH(A294))</f>
        <v/>
      </c>
      <c r="K294" s="13">
        <f>IF(A294="","",YEAR(A294))</f>
        <v/>
      </c>
    </row>
    <row r="295">
      <c r="A295" s="18" t="n"/>
      <c r="B295" s="9" t="n"/>
      <c r="C295" s="13">
        <f>IF(B295="","",IFERROR(INDEX(Produits!$B$5:$B$44,MATCH(B295,Produits!$A$5:$A$44,0)),""))</f>
        <v/>
      </c>
      <c r="D295" s="13">
        <f>IF(B295="","",IFERROR(INDEX(Produits!$C$5:$C$44,MATCH(B295,Produits!$A$5:$A$44,0)),""))</f>
        <v/>
      </c>
      <c r="E295" s="10" t="n"/>
      <c r="F295" s="10" t="n"/>
      <c r="G295" s="10" t="n"/>
      <c r="H295" s="13">
        <f>IF(OR(F295="",G295=""),"",G295-F295)</f>
        <v/>
      </c>
      <c r="I295" s="13">
        <f>IF(A295="","","S"&amp;MIN(4,INT((DAY(A295)-1)/7)+1))</f>
        <v/>
      </c>
      <c r="J295" s="13">
        <f>IF(A295="","",MONTH(A295))</f>
        <v/>
      </c>
      <c r="K295" s="13">
        <f>IF(A295="","",YEAR(A295))</f>
        <v/>
      </c>
    </row>
    <row r="296">
      <c r="A296" s="18" t="n"/>
      <c r="B296" s="9" t="n"/>
      <c r="C296" s="13">
        <f>IF(B296="","",IFERROR(INDEX(Produits!$B$5:$B$44,MATCH(B296,Produits!$A$5:$A$44,0)),""))</f>
        <v/>
      </c>
      <c r="D296" s="13">
        <f>IF(B296="","",IFERROR(INDEX(Produits!$C$5:$C$44,MATCH(B296,Produits!$A$5:$A$44,0)),""))</f>
        <v/>
      </c>
      <c r="E296" s="10" t="n"/>
      <c r="F296" s="10" t="n"/>
      <c r="G296" s="10" t="n"/>
      <c r="H296" s="13">
        <f>IF(OR(F296="",G296=""),"",G296-F296)</f>
        <v/>
      </c>
      <c r="I296" s="13">
        <f>IF(A296="","","S"&amp;MIN(4,INT((DAY(A296)-1)/7)+1))</f>
        <v/>
      </c>
      <c r="J296" s="13">
        <f>IF(A296="","",MONTH(A296))</f>
        <v/>
      </c>
      <c r="K296" s="13">
        <f>IF(A296="","",YEAR(A296))</f>
        <v/>
      </c>
    </row>
    <row r="297">
      <c r="A297" s="18" t="n"/>
      <c r="B297" s="9" t="n"/>
      <c r="C297" s="13">
        <f>IF(B297="","",IFERROR(INDEX(Produits!$B$5:$B$44,MATCH(B297,Produits!$A$5:$A$44,0)),""))</f>
        <v/>
      </c>
      <c r="D297" s="13">
        <f>IF(B297="","",IFERROR(INDEX(Produits!$C$5:$C$44,MATCH(B297,Produits!$A$5:$A$44,0)),""))</f>
        <v/>
      </c>
      <c r="E297" s="10" t="n"/>
      <c r="F297" s="10" t="n"/>
      <c r="G297" s="10" t="n"/>
      <c r="H297" s="13">
        <f>IF(OR(F297="",G297=""),"",G297-F297)</f>
        <v/>
      </c>
      <c r="I297" s="13">
        <f>IF(A297="","","S"&amp;MIN(4,INT((DAY(A297)-1)/7)+1))</f>
        <v/>
      </c>
      <c r="J297" s="13">
        <f>IF(A297="","",MONTH(A297))</f>
        <v/>
      </c>
      <c r="K297" s="13">
        <f>IF(A297="","",YEAR(A297))</f>
        <v/>
      </c>
    </row>
    <row r="298">
      <c r="A298" s="18" t="n"/>
      <c r="B298" s="9" t="n"/>
      <c r="C298" s="13">
        <f>IF(B298="","",IFERROR(INDEX(Produits!$B$5:$B$44,MATCH(B298,Produits!$A$5:$A$44,0)),""))</f>
        <v/>
      </c>
      <c r="D298" s="13">
        <f>IF(B298="","",IFERROR(INDEX(Produits!$C$5:$C$44,MATCH(B298,Produits!$A$5:$A$44,0)),""))</f>
        <v/>
      </c>
      <c r="E298" s="10" t="n"/>
      <c r="F298" s="10" t="n"/>
      <c r="G298" s="10" t="n"/>
      <c r="H298" s="13">
        <f>IF(OR(F298="",G298=""),"",G298-F298)</f>
        <v/>
      </c>
      <c r="I298" s="13">
        <f>IF(A298="","","S"&amp;MIN(4,INT((DAY(A298)-1)/7)+1))</f>
        <v/>
      </c>
      <c r="J298" s="13">
        <f>IF(A298="","",MONTH(A298))</f>
        <v/>
      </c>
      <c r="K298" s="13">
        <f>IF(A298="","",YEAR(A298))</f>
        <v/>
      </c>
    </row>
    <row r="299">
      <c r="A299" s="18" t="n"/>
      <c r="B299" s="9" t="n"/>
      <c r="C299" s="13">
        <f>IF(B299="","",IFERROR(INDEX(Produits!$B$5:$B$44,MATCH(B299,Produits!$A$5:$A$44,0)),""))</f>
        <v/>
      </c>
      <c r="D299" s="13">
        <f>IF(B299="","",IFERROR(INDEX(Produits!$C$5:$C$44,MATCH(B299,Produits!$A$5:$A$44,0)),""))</f>
        <v/>
      </c>
      <c r="E299" s="10" t="n"/>
      <c r="F299" s="10" t="n"/>
      <c r="G299" s="10" t="n"/>
      <c r="H299" s="13">
        <f>IF(OR(F299="",G299=""),"",G299-F299)</f>
        <v/>
      </c>
      <c r="I299" s="13">
        <f>IF(A299="","","S"&amp;MIN(4,INT((DAY(A299)-1)/7)+1))</f>
        <v/>
      </c>
      <c r="J299" s="13">
        <f>IF(A299="","",MONTH(A299))</f>
        <v/>
      </c>
      <c r="K299" s="13">
        <f>IF(A299="","",YEAR(A299))</f>
        <v/>
      </c>
    </row>
    <row r="300">
      <c r="A300" s="18" t="n"/>
      <c r="B300" s="9" t="n"/>
      <c r="C300" s="13">
        <f>IF(B300="","",IFERROR(INDEX(Produits!$B$5:$B$44,MATCH(B300,Produits!$A$5:$A$44,0)),""))</f>
        <v/>
      </c>
      <c r="D300" s="13">
        <f>IF(B300="","",IFERROR(INDEX(Produits!$C$5:$C$44,MATCH(B300,Produits!$A$5:$A$44,0)),""))</f>
        <v/>
      </c>
      <c r="E300" s="10" t="n"/>
      <c r="F300" s="10" t="n"/>
      <c r="G300" s="10" t="n"/>
      <c r="H300" s="13">
        <f>IF(OR(F300="",G300=""),"",G300-F300)</f>
        <v/>
      </c>
      <c r="I300" s="13">
        <f>IF(A300="","","S"&amp;MIN(4,INT((DAY(A300)-1)/7)+1))</f>
        <v/>
      </c>
      <c r="J300" s="13">
        <f>IF(A300="","",MONTH(A300))</f>
        <v/>
      </c>
      <c r="K300" s="13">
        <f>IF(A300="","",YEAR(A300))</f>
        <v/>
      </c>
    </row>
    <row r="301">
      <c r="A301" s="18" t="n"/>
      <c r="B301" s="9" t="n"/>
      <c r="C301" s="13">
        <f>IF(B301="","",IFERROR(INDEX(Produits!$B$5:$B$44,MATCH(B301,Produits!$A$5:$A$44,0)),""))</f>
        <v/>
      </c>
      <c r="D301" s="13">
        <f>IF(B301="","",IFERROR(INDEX(Produits!$C$5:$C$44,MATCH(B301,Produits!$A$5:$A$44,0)),""))</f>
        <v/>
      </c>
      <c r="E301" s="10" t="n"/>
      <c r="F301" s="10" t="n"/>
      <c r="G301" s="10" t="n"/>
      <c r="H301" s="13">
        <f>IF(OR(F301="",G301=""),"",G301-F301)</f>
        <v/>
      </c>
      <c r="I301" s="13">
        <f>IF(A301="","","S"&amp;MIN(4,INT((DAY(A301)-1)/7)+1))</f>
        <v/>
      </c>
      <c r="J301" s="13">
        <f>IF(A301="","",MONTH(A301))</f>
        <v/>
      </c>
      <c r="K301" s="13">
        <f>IF(A301="","",YEAR(A301))</f>
        <v/>
      </c>
    </row>
    <row r="302">
      <c r="A302" s="18" t="n"/>
      <c r="B302" s="9" t="n"/>
      <c r="C302" s="13">
        <f>IF(B302="","",IFERROR(INDEX(Produits!$B$5:$B$44,MATCH(B302,Produits!$A$5:$A$44,0)),""))</f>
        <v/>
      </c>
      <c r="D302" s="13">
        <f>IF(B302="","",IFERROR(INDEX(Produits!$C$5:$C$44,MATCH(B302,Produits!$A$5:$A$44,0)),""))</f>
        <v/>
      </c>
      <c r="E302" s="10" t="n"/>
      <c r="F302" s="10" t="n"/>
      <c r="G302" s="10" t="n"/>
      <c r="H302" s="13">
        <f>IF(OR(F302="",G302=""),"",G302-F302)</f>
        <v/>
      </c>
      <c r="I302" s="13">
        <f>IF(A302="","","S"&amp;MIN(4,INT((DAY(A302)-1)/7)+1))</f>
        <v/>
      </c>
      <c r="J302" s="13">
        <f>IF(A302="","",MONTH(A302))</f>
        <v/>
      </c>
      <c r="K302" s="13">
        <f>IF(A302="","",YEAR(A302))</f>
        <v/>
      </c>
    </row>
    <row r="303">
      <c r="A303" s="18" t="n"/>
      <c r="B303" s="9" t="n"/>
      <c r="C303" s="13">
        <f>IF(B303="","",IFERROR(INDEX(Produits!$B$5:$B$44,MATCH(B303,Produits!$A$5:$A$44,0)),""))</f>
        <v/>
      </c>
      <c r="D303" s="13">
        <f>IF(B303="","",IFERROR(INDEX(Produits!$C$5:$C$44,MATCH(B303,Produits!$A$5:$A$44,0)),""))</f>
        <v/>
      </c>
      <c r="E303" s="10" t="n"/>
      <c r="F303" s="10" t="n"/>
      <c r="G303" s="10" t="n"/>
      <c r="H303" s="13">
        <f>IF(OR(F303="",G303=""),"",G303-F303)</f>
        <v/>
      </c>
      <c r="I303" s="13">
        <f>IF(A303="","","S"&amp;MIN(4,INT((DAY(A303)-1)/7)+1))</f>
        <v/>
      </c>
      <c r="J303" s="13">
        <f>IF(A303="","",MONTH(A303))</f>
        <v/>
      </c>
      <c r="K303" s="13">
        <f>IF(A303="","",YEAR(A303))</f>
        <v/>
      </c>
    </row>
    <row r="304">
      <c r="A304" s="18" t="n"/>
      <c r="B304" s="9" t="n"/>
      <c r="C304" s="13">
        <f>IF(B304="","",IFERROR(INDEX(Produits!$B$5:$B$44,MATCH(B304,Produits!$A$5:$A$44,0)),""))</f>
        <v/>
      </c>
      <c r="D304" s="13">
        <f>IF(B304="","",IFERROR(INDEX(Produits!$C$5:$C$44,MATCH(B304,Produits!$A$5:$A$44,0)),""))</f>
        <v/>
      </c>
      <c r="E304" s="10" t="n"/>
      <c r="F304" s="10" t="n"/>
      <c r="G304" s="10" t="n"/>
      <c r="H304" s="13">
        <f>IF(OR(F304="",G304=""),"",G304-F304)</f>
        <v/>
      </c>
      <c r="I304" s="13">
        <f>IF(A304="","","S"&amp;MIN(4,INT((DAY(A304)-1)/7)+1))</f>
        <v/>
      </c>
      <c r="J304" s="13">
        <f>IF(A304="","",MONTH(A304))</f>
        <v/>
      </c>
      <c r="K304" s="13">
        <f>IF(A304="","",YEAR(A304))</f>
        <v/>
      </c>
    </row>
  </sheetData>
  <conditionalFormatting sqref="H5:H304">
    <cfRule type="expression" priority="1" dxfId="0">
      <formula>AND(ISNUMBER(H5),H5&lt;0)</formula>
    </cfRule>
  </conditionalFormatting>
  <dataValidations count="2">
    <dataValidation sqref="B5:B304" showDropDown="0" showInputMessage="0" showErrorMessage="0" allowBlank="1" type="list">
      <formula1>=Produits!$A$5:$A$44</formula1>
    </dataValidation>
    <dataValidation sqref="E5:G30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2026-09-24T19:35:39Z</dcterms:created>
  <dcterms:modified xmlns:dcterms="http://purl.org/dc/terms/" xmlns:xsi="http://www.w3.org/2001/XMLSchema-instance" xsi:type="dcterms:W3CDTF">2026-09-24T19:35:40Z</dcterms:modified>
</cp:coreProperties>
</file>