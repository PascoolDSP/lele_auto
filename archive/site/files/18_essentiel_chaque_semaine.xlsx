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Produits" sheetId="2" state="visible" r:id="rId2"/>
    <sheet xmlns:r="http://schemas.openxmlformats.org/officeDocument/2006/relationships" name="Chaque semaine" sheetId="3" state="visible" r:id="rId3"/>
    <sheet xmlns:r="http://schemas.openxmlformats.org/officeDocument/2006/relationships" name="Une fois par moi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Arial"/>
      <b val="1"/>
      <color rgb="00C0762B"/>
      <sz val="16"/>
    </font>
    <font>
      <name val="Arial"/>
      <i val="1"/>
      <color rgb="00666666"/>
      <sz val="9"/>
    </font>
    <font>
      <name val="Arial"/>
      <b val="1"/>
      <color rgb="00C0762B"/>
    </font>
    <font>
      <name val="Arial"/>
    </font>
    <font>
      <name val="Arial"/>
      <b val="1"/>
      <color rgb="00FFFFFF"/>
      <sz val="10"/>
    </font>
    <font>
      <name val="Arial"/>
      <b val="1"/>
      <color rgb="00000000"/>
      <sz val="10"/>
    </font>
    <font>
      <name val="Arial"/>
      <color rgb="00000000"/>
      <sz val="10"/>
    </font>
    <font>
      <name val="Arial"/>
      <color rgb="001F4FD1"/>
    </font>
    <font>
      <name val="Arial"/>
      <color rgb="00999999"/>
      <sz val="9"/>
    </font>
    <font>
      <name val="Arial"/>
      <color rgb="00555555"/>
      <sz val="10"/>
    </font>
  </fonts>
  <fills count="5">
    <fill>
      <patternFill/>
    </fill>
    <fill>
      <patternFill patternType="gray125"/>
    </fill>
    <fill>
      <patternFill patternType="solid">
        <fgColor rgb="00C0762B"/>
      </patternFill>
    </fill>
    <fill>
      <patternFill patternType="solid">
        <fgColor rgb="00F2E3D4"/>
      </patternFill>
    </fill>
    <fill>
      <patternFill patternType="solid">
        <fgColor rgb="00FFF6D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8" fillId="4" borderId="1" applyAlignment="1" pivotButton="0" quotePrefix="0" xfId="0">
      <alignment horizontal="left" vertical="center"/>
    </xf>
    <xf numFmtId="0" fontId="8" fillId="4" borderId="1" applyAlignment="1" pivotButton="0" quotePrefix="0" xfId="0">
      <alignment horizontal="center" vertical="center"/>
    </xf>
    <xf numFmtId="0" fontId="9" fillId="0" borderId="1" applyAlignment="1" pivotButton="0" quotePrefix="0" xfId="0">
      <alignment horizontal="center" vertical="center"/>
    </xf>
    <xf numFmtId="0" fontId="7" fillId="4" borderId="1" applyAlignment="1" pivotButton="0" quotePrefix="0" xfId="0">
      <alignment horizontal="left" vertical="center"/>
    </xf>
    <xf numFmtId="0" fontId="7" fillId="4" borderId="1" applyAlignment="1" pivotButton="0" quotePrefix="0" xfId="0">
      <alignment horizontal="center" vertical="center"/>
    </xf>
    <xf numFmtId="0" fontId="0" fillId="2" borderId="1" pivotButton="0" quotePrefix="0" xfId="0"/>
    <xf numFmtId="164" fontId="7" fillId="4" borderId="1" applyAlignment="1" pivotButton="0" quotePrefix="0" xfId="0">
      <alignment horizontal="center" vertical="center"/>
    </xf>
    <xf numFmtId="0" fontId="0" fillId="4" borderId="1" pivotButton="0" quotePrefix="0" xfId="0"/>
    <xf numFmtId="0" fontId="6" fillId="0" borderId="1" applyAlignment="1" pivotButton="0" quotePrefix="0" xfId="0">
      <alignment horizontal="left" vertical="center"/>
    </xf>
    <xf numFmtId="0" fontId="10"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0" applyAlignment="1" pivotButton="0" quotePrefix="0" xfId="0">
      <alignment horizontal="left" vertical="center"/>
    </xf>
    <xf numFmtId="164" fontId="8" fillId="4" borderId="1" applyAlignment="1" pivotButton="0" quotePrefix="0" xfId="0">
      <alignment horizontal="center" vertical="center"/>
    </xf>
    <xf numFmtId="0" fontId="7" fillId="0" borderId="1" applyAlignment="1" pivotButton="0" quotePrefix="0" xfId="0">
      <alignment horizontal="center" vertical="center"/>
    </xf>
  </cellXfs>
  <cellStyles count="1">
    <cellStyle name="Normal" xfId="0" builtinId="0" hidden="0"/>
  </cellStyles>
  <dxfs count="1">
    <dxf>
      <fill>
        <patternFill patternType="solid">
          <fgColor rgb="00F8C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16" customWidth="1" min="1" max="1"/>
    <col width="100" customWidth="1" min="2" max="2"/>
  </cols>
  <sheetData>
    <row r="1" ht="26" customHeight="1">
      <c r="A1" s="1" t="inlineStr">
        <is>
          <t>18 · L'essentiel chaque semaine</t>
        </is>
      </c>
    </row>
    <row r="2">
      <c r="A2" s="2" t="inlineStr">
        <is>
          <t>Proposition de tableau de gestion des stocks — Excel et Google Sheets</t>
        </is>
      </c>
    </row>
    <row r="4">
      <c r="A4" s="3" t="inlineStr">
        <is>
          <t>L'idée</t>
        </is>
      </c>
      <c r="B4" s="4" t="inlineStr">
        <is>
          <t>Tu ne recomptes pas tout chaque vendredi : seulement tes produits essentiels (farine, sucre, beurre, crème, œufs, chocolat blanc…), ceux qui partent vite. Le reste, tu le comptes une fois par mois. Ton comptage du vendredi prend deux minutes.</t>
        </is>
      </c>
    </row>
    <row r="5">
      <c r="A5" s="5" t="inlineStr"/>
      <c r="B5" s="4" t="inlineStr"/>
    </row>
    <row r="6">
      <c r="A6" s="5" t="inlineStr">
        <is>
          <t>Comment faire</t>
        </is>
      </c>
      <c r="B6" s="4" t="inlineStr">
        <is>
          <t>1. Onglet Produits : mets Oui dans « Essentiel ? » pour les produits à suivre chaque semaine.</t>
        </is>
      </c>
    </row>
    <row r="7">
      <c r="A7" s="5" t="inlineStr"/>
      <c r="B7" s="4" t="inlineStr">
        <is>
          <t>2. Chaque vendredi, onglet « Chaque semaine » : ils apparaissent tout seuls. Stock, Commandé, Reçu.</t>
        </is>
      </c>
    </row>
    <row r="8">
      <c r="A8" s="5" t="inlineStr"/>
      <c r="B8" s="4" t="inlineStr">
        <is>
          <t>3. Une fois par mois, onglet « Une fois par mois » : tous les autres produits, stock et commande.</t>
        </is>
      </c>
    </row>
    <row r="9">
      <c r="A9" s="5" t="inlineStr"/>
      <c r="B9" s="4" t="inlineStr">
        <is>
          <t>4. Pour changer un produit de liste, change juste Oui / Non dans Produits.</t>
        </is>
      </c>
    </row>
    <row r="10">
      <c r="A10" s="5" t="inlineStr"/>
      <c r="B10" s="4" t="inlineStr"/>
    </row>
    <row r="11">
      <c r="A11" s="5" t="inlineStr">
        <is>
          <t>Les onglets</t>
        </is>
      </c>
      <c r="B11" s="4" t="inlineStr">
        <is>
          <t>Produits — ta liste, avec la colonne Essentiel.</t>
        </is>
      </c>
    </row>
    <row r="12">
      <c r="A12" s="5" t="inlineStr"/>
      <c r="B12" s="4" t="inlineStr">
        <is>
          <t>Chaque semaine — les essentiels, 4 semaines.</t>
        </is>
      </c>
    </row>
    <row r="13">
      <c r="A13" s="5" t="inlineStr"/>
      <c r="B13" s="4" t="inlineStr">
        <is>
          <t>Une fois par mois — tous les autres produits.</t>
        </is>
      </c>
    </row>
    <row r="14">
      <c r="A14" s="5" t="inlineStr"/>
      <c r="B14" s="4" t="inlineStr"/>
    </row>
    <row r="15">
      <c r="A15" s="5" t="inlineStr">
        <is>
          <t>Couleurs</t>
        </is>
      </c>
      <c r="B15" s="4" t="inlineStr">
        <is>
          <t>Cases jaunes = à remplir. Cases blanches = calculées toutes seules, ne pas y toucher.</t>
        </is>
      </c>
    </row>
    <row r="16">
      <c r="A16" s="5" t="inlineStr"/>
      <c r="B16" s="4" t="inlineStr">
        <is>
          <t>Chiffres en bleu = exemple pour montrer le fonctionnement, à effacer.</t>
        </is>
      </c>
    </row>
    <row r="17">
      <c r="A17" s="5" t="inlineStr"/>
      <c r="B17" s="4" t="inlineStr">
        <is>
          <t>Rouge = il manque quelque chose (livraison incomplète, stock trop bas).</t>
        </is>
      </c>
    </row>
    <row r="18">
      <c r="A18" s="5" t="inlineStr"/>
      <c r="B18" s="4" t="inlineStr"/>
    </row>
    <row r="19">
      <c r="A19" s="5" t="inlineStr">
        <is>
          <t>Google Sheets</t>
        </is>
      </c>
      <c r="B19" s="4" t="inlineStr">
        <is>
          <t>Fichier &gt; Importer &gt; Importer ce fichier. Tout fonctionne pareil, y compris sur téléphone.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26" customWidth="1" min="1" max="1"/>
    <col width="18" customWidth="1" min="2" max="2"/>
    <col width="9" customWidth="1" min="3" max="3"/>
    <col width="12" customWidth="1" min="4" max="4"/>
    <col width="12" customWidth="1" min="5" max="5"/>
    <col width="10" customWidth="1" min="6" max="6"/>
  </cols>
  <sheetData>
    <row r="1" ht="26" customHeight="1">
      <c r="A1" s="1" t="inlineStr">
        <is>
          <t>Mes produits</t>
        </is>
      </c>
    </row>
    <row r="2">
      <c r="A2" s="2" t="inlineStr">
        <is>
          <t>Oui = compté chaque semaine · Non = compté une fois par mois</t>
        </is>
      </c>
    </row>
    <row r="4">
      <c r="A4" s="6" t="inlineStr">
        <is>
          <t>Produit</t>
        </is>
      </c>
      <c r="B4" s="6" t="inlineStr">
        <is>
          <t>Fournisseur</t>
        </is>
      </c>
      <c r="C4" s="6" t="inlineStr">
        <is>
          <t>Unité</t>
        </is>
      </c>
      <c r="D4" s="6" t="inlineStr">
        <is>
          <t>Essentiel ?</t>
        </is>
      </c>
      <c r="E4" s="7" t="inlineStr">
        <is>
          <t>N° essentiel</t>
        </is>
      </c>
      <c r="F4" s="7" t="inlineStr">
        <is>
          <t>N° autre</t>
        </is>
      </c>
    </row>
    <row r="5">
      <c r="A5" s="8" t="inlineStr">
        <is>
          <t>Farine T55</t>
        </is>
      </c>
      <c r="B5" s="8" t="inlineStr">
        <is>
          <t>Metro</t>
        </is>
      </c>
      <c r="C5" s="9" t="inlineStr">
        <is>
          <t>kg</t>
        </is>
      </c>
      <c r="D5" s="9" t="inlineStr">
        <is>
          <t>Oui</t>
        </is>
      </c>
      <c r="E5" s="10">
        <f>IF(AND(A5&lt;&gt;"",D5="Oui"),SUMPRODUCT(($A$5:A5&lt;&gt;"")*($D$5:D5="Oui")),"")</f>
        <v/>
      </c>
      <c r="F5" s="10">
        <f>IF(AND(A5&lt;&gt;"",D5&lt;&gt;"Oui"),SUMPRODUCT(($A$5:A5&lt;&gt;"")*($D$5:D5&lt;&gt;"Oui")),"")</f>
        <v/>
      </c>
    </row>
    <row r="6">
      <c r="A6" s="8" t="inlineStr">
        <is>
          <t>Farine T45</t>
        </is>
      </c>
      <c r="B6" s="8" t="inlineStr">
        <is>
          <t>Metro</t>
        </is>
      </c>
      <c r="C6" s="9" t="inlineStr">
        <is>
          <t>kg</t>
        </is>
      </c>
      <c r="D6" s="9" t="inlineStr">
        <is>
          <t>Non</t>
        </is>
      </c>
      <c r="E6" s="10">
        <f>IF(AND(A6&lt;&gt;"",D6="Oui"),SUMPRODUCT(($A$5:A6&lt;&gt;"")*($D$5:D6="Oui")),"")</f>
        <v/>
      </c>
      <c r="F6" s="10">
        <f>IF(AND(A6&lt;&gt;"",D6&lt;&gt;"Oui"),SUMPRODUCT(($A$5:A6&lt;&gt;"")*($D$5:D6&lt;&gt;"Oui")),"")</f>
        <v/>
      </c>
    </row>
    <row r="7">
      <c r="A7" s="8" t="inlineStr">
        <is>
          <t>Sucre semoule</t>
        </is>
      </c>
      <c r="B7" s="8" t="inlineStr">
        <is>
          <t>Metro</t>
        </is>
      </c>
      <c r="C7" s="9" t="inlineStr">
        <is>
          <t>kg</t>
        </is>
      </c>
      <c r="D7" s="9" t="inlineStr">
        <is>
          <t>Oui</t>
        </is>
      </c>
      <c r="E7" s="10">
        <f>IF(AND(A7&lt;&gt;"",D7="Oui"),SUMPRODUCT(($A$5:A7&lt;&gt;"")*($D$5:D7="Oui")),"")</f>
        <v/>
      </c>
      <c r="F7" s="10">
        <f>IF(AND(A7&lt;&gt;"",D7&lt;&gt;"Oui"),SUMPRODUCT(($A$5:A7&lt;&gt;"")*($D$5:D7&lt;&gt;"Oui")),"")</f>
        <v/>
      </c>
    </row>
    <row r="8">
      <c r="A8" s="8" t="inlineStr">
        <is>
          <t>Sucre glace</t>
        </is>
      </c>
      <c r="B8" s="8" t="inlineStr">
        <is>
          <t>Metro</t>
        </is>
      </c>
      <c r="C8" s="9" t="inlineStr">
        <is>
          <t>kg</t>
        </is>
      </c>
      <c r="D8" s="9" t="inlineStr">
        <is>
          <t>Non</t>
        </is>
      </c>
      <c r="E8" s="10">
        <f>IF(AND(A8&lt;&gt;"",D8="Oui"),SUMPRODUCT(($A$5:A8&lt;&gt;"")*($D$5:D8="Oui")),"")</f>
        <v/>
      </c>
      <c r="F8" s="10">
        <f>IF(AND(A8&lt;&gt;"",D8&lt;&gt;"Oui"),SUMPRODUCT(($A$5:A8&lt;&gt;"")*($D$5:D8&lt;&gt;"Oui")),"")</f>
        <v/>
      </c>
    </row>
    <row r="9">
      <c r="A9" s="8" t="inlineStr">
        <is>
          <t>Beurre doux</t>
        </is>
      </c>
      <c r="B9" s="8" t="inlineStr">
        <is>
          <t>Crèmerie</t>
        </is>
      </c>
      <c r="C9" s="9" t="inlineStr">
        <is>
          <t>kg</t>
        </is>
      </c>
      <c r="D9" s="9" t="inlineStr">
        <is>
          <t>Oui</t>
        </is>
      </c>
      <c r="E9" s="10">
        <f>IF(AND(A9&lt;&gt;"",D9="Oui"),SUMPRODUCT(($A$5:A9&lt;&gt;"")*($D$5:D9="Oui")),"")</f>
        <v/>
      </c>
      <c r="F9" s="10">
        <f>IF(AND(A9&lt;&gt;"",D9&lt;&gt;"Oui"),SUMPRODUCT(($A$5:A9&lt;&gt;"")*($D$5:D9&lt;&gt;"Oui")),"")</f>
        <v/>
      </c>
    </row>
    <row r="10">
      <c r="A10" s="8" t="inlineStr">
        <is>
          <t>Crème liquide 35%</t>
        </is>
      </c>
      <c r="B10" s="8" t="inlineStr">
        <is>
          <t>Crèmerie</t>
        </is>
      </c>
      <c r="C10" s="9" t="inlineStr">
        <is>
          <t>L</t>
        </is>
      </c>
      <c r="D10" s="9" t="inlineStr">
        <is>
          <t>Oui</t>
        </is>
      </c>
      <c r="E10" s="10">
        <f>IF(AND(A10&lt;&gt;"",D10="Oui"),SUMPRODUCT(($A$5:A10&lt;&gt;"")*($D$5:D10="Oui")),"")</f>
        <v/>
      </c>
      <c r="F10" s="10">
        <f>IF(AND(A10&lt;&gt;"",D10&lt;&gt;"Oui"),SUMPRODUCT(($A$5:A10&lt;&gt;"")*($D$5:D10&lt;&gt;"Oui")),"")</f>
        <v/>
      </c>
    </row>
    <row r="11">
      <c r="A11" s="8" t="inlineStr">
        <is>
          <t>Lait entier</t>
        </is>
      </c>
      <c r="B11" s="8" t="inlineStr">
        <is>
          <t>Crèmerie</t>
        </is>
      </c>
      <c r="C11" s="9" t="inlineStr">
        <is>
          <t>L</t>
        </is>
      </c>
      <c r="D11" s="9" t="inlineStr">
        <is>
          <t>Non</t>
        </is>
      </c>
      <c r="E11" s="10">
        <f>IF(AND(A11&lt;&gt;"",D11="Oui"),SUMPRODUCT(($A$5:A11&lt;&gt;"")*($D$5:D11="Oui")),"")</f>
        <v/>
      </c>
      <c r="F11" s="10">
        <f>IF(AND(A11&lt;&gt;"",D11&lt;&gt;"Oui"),SUMPRODUCT(($A$5:A11&lt;&gt;"")*($D$5:D11&lt;&gt;"Oui")),"")</f>
        <v/>
      </c>
    </row>
    <row r="12">
      <c r="A12" s="8" t="inlineStr">
        <is>
          <t>Oeufs</t>
        </is>
      </c>
      <c r="B12" s="8" t="inlineStr">
        <is>
          <t>Crèmerie</t>
        </is>
      </c>
      <c r="C12" s="9" t="inlineStr">
        <is>
          <t>pièce</t>
        </is>
      </c>
      <c r="D12" s="9" t="inlineStr">
        <is>
          <t>Oui</t>
        </is>
      </c>
      <c r="E12" s="10">
        <f>IF(AND(A12&lt;&gt;"",D12="Oui"),SUMPRODUCT(($A$5:A12&lt;&gt;"")*($D$5:D12="Oui")),"")</f>
        <v/>
      </c>
      <c r="F12" s="10">
        <f>IF(AND(A12&lt;&gt;"",D12&lt;&gt;"Oui"),SUMPRODUCT(($A$5:A12&lt;&gt;"")*($D$5:D12&lt;&gt;"Oui")),"")</f>
        <v/>
      </c>
    </row>
    <row r="13">
      <c r="A13" s="8" t="inlineStr">
        <is>
          <t>Chocolat blanc</t>
        </is>
      </c>
      <c r="B13" s="8" t="inlineStr">
        <is>
          <t>Transgourmet</t>
        </is>
      </c>
      <c r="C13" s="9" t="inlineStr">
        <is>
          <t>kg</t>
        </is>
      </c>
      <c r="D13" s="9" t="inlineStr">
        <is>
          <t>Oui</t>
        </is>
      </c>
      <c r="E13" s="10">
        <f>IF(AND(A13&lt;&gt;"",D13="Oui"),SUMPRODUCT(($A$5:A13&lt;&gt;"")*($D$5:D13="Oui")),"")</f>
        <v/>
      </c>
      <c r="F13" s="10">
        <f>IF(AND(A13&lt;&gt;"",D13&lt;&gt;"Oui"),SUMPRODUCT(($A$5:A13&lt;&gt;"")*($D$5:D13&lt;&gt;"Oui")),"")</f>
        <v/>
      </c>
    </row>
    <row r="14">
      <c r="A14" s="8" t="inlineStr">
        <is>
          <t>Chocolat noir 70%</t>
        </is>
      </c>
      <c r="B14" s="8" t="inlineStr">
        <is>
          <t>Transgourmet</t>
        </is>
      </c>
      <c r="C14" s="9" t="inlineStr">
        <is>
          <t>kg</t>
        </is>
      </c>
      <c r="D14" s="9" t="inlineStr">
        <is>
          <t>Non</t>
        </is>
      </c>
      <c r="E14" s="10">
        <f>IF(AND(A14&lt;&gt;"",D14="Oui"),SUMPRODUCT(($A$5:A14&lt;&gt;"")*($D$5:D14="Oui")),"")</f>
        <v/>
      </c>
      <c r="F14" s="10">
        <f>IF(AND(A14&lt;&gt;"",D14&lt;&gt;"Oui"),SUMPRODUCT(($A$5:A14&lt;&gt;"")*($D$5:D14&lt;&gt;"Oui")),"")</f>
        <v/>
      </c>
    </row>
    <row r="15">
      <c r="A15" s="8" t="inlineStr">
        <is>
          <t>Levure chimique</t>
        </is>
      </c>
      <c r="B15" s="8" t="inlineStr">
        <is>
          <t>Transgourmet</t>
        </is>
      </c>
      <c r="C15" s="9" t="inlineStr">
        <is>
          <t>kg</t>
        </is>
      </c>
      <c r="D15" s="9" t="inlineStr">
        <is>
          <t>Non</t>
        </is>
      </c>
      <c r="E15" s="10">
        <f>IF(AND(A15&lt;&gt;"",D15="Oui"),SUMPRODUCT(($A$5:A15&lt;&gt;"")*($D$5:D15="Oui")),"")</f>
        <v/>
      </c>
      <c r="F15" s="10">
        <f>IF(AND(A15&lt;&gt;"",D15&lt;&gt;"Oui"),SUMPRODUCT(($A$5:A15&lt;&gt;"")*($D$5:D15&lt;&gt;"Oui")),"")</f>
        <v/>
      </c>
    </row>
    <row r="16">
      <c r="A16" s="8" t="inlineStr">
        <is>
          <t>Vanille (gousse)</t>
        </is>
      </c>
      <c r="B16" s="8" t="inlineStr">
        <is>
          <t>Transgourmet</t>
        </is>
      </c>
      <c r="C16" s="9" t="inlineStr">
        <is>
          <t>pièce</t>
        </is>
      </c>
      <c r="D16" s="9" t="inlineStr">
        <is>
          <t>Non</t>
        </is>
      </c>
      <c r="E16" s="10">
        <f>IF(AND(A16&lt;&gt;"",D16="Oui"),SUMPRODUCT(($A$5:A16&lt;&gt;"")*($D$5:D16="Oui")),"")</f>
        <v/>
      </c>
      <c r="F16" s="10">
        <f>IF(AND(A16&lt;&gt;"",D16&lt;&gt;"Oui"),SUMPRODUCT(($A$5:A16&lt;&gt;"")*($D$5:D16&lt;&gt;"Oui")),"")</f>
        <v/>
      </c>
    </row>
    <row r="17">
      <c r="A17" s="11" t="n"/>
      <c r="B17" s="11" t="n"/>
      <c r="C17" s="12" t="n"/>
      <c r="D17" s="12" t="n"/>
      <c r="E17" s="10">
        <f>IF(AND(A17&lt;&gt;"",D17="Oui"),SUMPRODUCT(($A$5:A17&lt;&gt;"")*($D$5:D17="Oui")),"")</f>
        <v/>
      </c>
      <c r="F17" s="10">
        <f>IF(AND(A17&lt;&gt;"",D17&lt;&gt;"Oui"),SUMPRODUCT(($A$5:A17&lt;&gt;"")*($D$5:D17&lt;&gt;"Oui")),"")</f>
        <v/>
      </c>
    </row>
    <row r="18">
      <c r="A18" s="11" t="n"/>
      <c r="B18" s="11" t="n"/>
      <c r="C18" s="12" t="n"/>
      <c r="D18" s="12" t="n"/>
      <c r="E18" s="10">
        <f>IF(AND(A18&lt;&gt;"",D18="Oui"),SUMPRODUCT(($A$5:A18&lt;&gt;"")*($D$5:D18="Oui")),"")</f>
        <v/>
      </c>
      <c r="F18" s="10">
        <f>IF(AND(A18&lt;&gt;"",D18&lt;&gt;"Oui"),SUMPRODUCT(($A$5:A18&lt;&gt;"")*($D$5:D18&lt;&gt;"Oui")),"")</f>
        <v/>
      </c>
    </row>
    <row r="19">
      <c r="A19" s="11" t="n"/>
      <c r="B19" s="11" t="n"/>
      <c r="C19" s="12" t="n"/>
      <c r="D19" s="12" t="n"/>
      <c r="E19" s="10">
        <f>IF(AND(A19&lt;&gt;"",D19="Oui"),SUMPRODUCT(($A$5:A19&lt;&gt;"")*($D$5:D19="Oui")),"")</f>
        <v/>
      </c>
      <c r="F19" s="10">
        <f>IF(AND(A19&lt;&gt;"",D19&lt;&gt;"Oui"),SUMPRODUCT(($A$5:A19&lt;&gt;"")*($D$5:D19&lt;&gt;"Oui")),"")</f>
        <v/>
      </c>
    </row>
    <row r="20">
      <c r="A20" s="11" t="n"/>
      <c r="B20" s="11" t="n"/>
      <c r="C20" s="12" t="n"/>
      <c r="D20" s="12" t="n"/>
      <c r="E20" s="10">
        <f>IF(AND(A20&lt;&gt;"",D20="Oui"),SUMPRODUCT(($A$5:A20&lt;&gt;"")*($D$5:D20="Oui")),"")</f>
        <v/>
      </c>
      <c r="F20" s="10">
        <f>IF(AND(A20&lt;&gt;"",D20&lt;&gt;"Oui"),SUMPRODUCT(($A$5:A20&lt;&gt;"")*($D$5:D20&lt;&gt;"Oui")),"")</f>
        <v/>
      </c>
    </row>
    <row r="21">
      <c r="A21" s="11" t="n"/>
      <c r="B21" s="11" t="n"/>
      <c r="C21" s="12" t="n"/>
      <c r="D21" s="12" t="n"/>
      <c r="E21" s="10">
        <f>IF(AND(A21&lt;&gt;"",D21="Oui"),SUMPRODUCT(($A$5:A21&lt;&gt;"")*($D$5:D21="Oui")),"")</f>
        <v/>
      </c>
      <c r="F21" s="10">
        <f>IF(AND(A21&lt;&gt;"",D21&lt;&gt;"Oui"),SUMPRODUCT(($A$5:A21&lt;&gt;"")*($D$5:D21&lt;&gt;"Oui")),"")</f>
        <v/>
      </c>
    </row>
    <row r="22">
      <c r="A22" s="11" t="n"/>
      <c r="B22" s="11" t="n"/>
      <c r="C22" s="12" t="n"/>
      <c r="D22" s="12" t="n"/>
      <c r="E22" s="10">
        <f>IF(AND(A22&lt;&gt;"",D22="Oui"),SUMPRODUCT(($A$5:A22&lt;&gt;"")*($D$5:D22="Oui")),"")</f>
        <v/>
      </c>
      <c r="F22" s="10">
        <f>IF(AND(A22&lt;&gt;"",D22&lt;&gt;"Oui"),SUMPRODUCT(($A$5:A22&lt;&gt;"")*($D$5:D22&lt;&gt;"Oui")),"")</f>
        <v/>
      </c>
    </row>
    <row r="23">
      <c r="A23" s="11" t="n"/>
      <c r="B23" s="11" t="n"/>
      <c r="C23" s="12" t="n"/>
      <c r="D23" s="12" t="n"/>
      <c r="E23" s="10">
        <f>IF(AND(A23&lt;&gt;"",D23="Oui"),SUMPRODUCT(($A$5:A23&lt;&gt;"")*($D$5:D23="Oui")),"")</f>
        <v/>
      </c>
      <c r="F23" s="10">
        <f>IF(AND(A23&lt;&gt;"",D23&lt;&gt;"Oui"),SUMPRODUCT(($A$5:A23&lt;&gt;"")*($D$5:D23&lt;&gt;"Oui")),"")</f>
        <v/>
      </c>
    </row>
    <row r="24">
      <c r="A24" s="11" t="n"/>
      <c r="B24" s="11" t="n"/>
      <c r="C24" s="12" t="n"/>
      <c r="D24" s="12" t="n"/>
      <c r="E24" s="10">
        <f>IF(AND(A24&lt;&gt;"",D24="Oui"),SUMPRODUCT(($A$5:A24&lt;&gt;"")*($D$5:D24="Oui")),"")</f>
        <v/>
      </c>
      <c r="F24" s="10">
        <f>IF(AND(A24&lt;&gt;"",D24&lt;&gt;"Oui"),SUMPRODUCT(($A$5:A24&lt;&gt;"")*($D$5:D24&lt;&gt;"Oui")),"")</f>
        <v/>
      </c>
    </row>
    <row r="25">
      <c r="A25" s="11" t="n"/>
      <c r="B25" s="11" t="n"/>
      <c r="C25" s="12" t="n"/>
      <c r="D25" s="12" t="n"/>
      <c r="E25" s="10">
        <f>IF(AND(A25&lt;&gt;"",D25="Oui"),SUMPRODUCT(($A$5:A25&lt;&gt;"")*($D$5:D25="Oui")),"")</f>
        <v/>
      </c>
      <c r="F25" s="10">
        <f>IF(AND(A25&lt;&gt;"",D25&lt;&gt;"Oui"),SUMPRODUCT(($A$5:A25&lt;&gt;"")*($D$5:D25&lt;&gt;"Oui")),"")</f>
        <v/>
      </c>
    </row>
    <row r="26">
      <c r="A26" s="11" t="n"/>
      <c r="B26" s="11" t="n"/>
      <c r="C26" s="12" t="n"/>
      <c r="D26" s="12" t="n"/>
      <c r="E26" s="10">
        <f>IF(AND(A26&lt;&gt;"",D26="Oui"),SUMPRODUCT(($A$5:A26&lt;&gt;"")*($D$5:D26="Oui")),"")</f>
        <v/>
      </c>
      <c r="F26" s="10">
        <f>IF(AND(A26&lt;&gt;"",D26&lt;&gt;"Oui"),SUMPRODUCT(($A$5:A26&lt;&gt;"")*($D$5:D26&lt;&gt;"Oui")),"")</f>
        <v/>
      </c>
    </row>
    <row r="27">
      <c r="A27" s="11" t="n"/>
      <c r="B27" s="11" t="n"/>
      <c r="C27" s="12" t="n"/>
      <c r="D27" s="12" t="n"/>
      <c r="E27" s="10">
        <f>IF(AND(A27&lt;&gt;"",D27="Oui"),SUMPRODUCT(($A$5:A27&lt;&gt;"")*($D$5:D27="Oui")),"")</f>
        <v/>
      </c>
      <c r="F27" s="10">
        <f>IF(AND(A27&lt;&gt;"",D27&lt;&gt;"Oui"),SUMPRODUCT(($A$5:A27&lt;&gt;"")*($D$5:D27&lt;&gt;"Oui")),"")</f>
        <v/>
      </c>
    </row>
    <row r="28">
      <c r="A28" s="11" t="n"/>
      <c r="B28" s="11" t="n"/>
      <c r="C28" s="12" t="n"/>
      <c r="D28" s="12" t="n"/>
      <c r="E28" s="10">
        <f>IF(AND(A28&lt;&gt;"",D28="Oui"),SUMPRODUCT(($A$5:A28&lt;&gt;"")*($D$5:D28="Oui")),"")</f>
        <v/>
      </c>
      <c r="F28" s="10">
        <f>IF(AND(A28&lt;&gt;"",D28&lt;&gt;"Oui"),SUMPRODUCT(($A$5:A28&lt;&gt;"")*($D$5:D28&lt;&gt;"Oui")),"")</f>
        <v/>
      </c>
    </row>
    <row r="29">
      <c r="A29" s="11" t="n"/>
      <c r="B29" s="11" t="n"/>
      <c r="C29" s="12" t="n"/>
      <c r="D29" s="12" t="n"/>
      <c r="E29" s="10">
        <f>IF(AND(A29&lt;&gt;"",D29="Oui"),SUMPRODUCT(($A$5:A29&lt;&gt;"")*($D$5:D29="Oui")),"")</f>
        <v/>
      </c>
      <c r="F29" s="10">
        <f>IF(AND(A29&lt;&gt;"",D29&lt;&gt;"Oui"),SUMPRODUCT(($A$5:A29&lt;&gt;"")*($D$5:D29&lt;&gt;"Oui")),"")</f>
        <v/>
      </c>
    </row>
    <row r="30">
      <c r="A30" s="11" t="n"/>
      <c r="B30" s="11" t="n"/>
      <c r="C30" s="12" t="n"/>
      <c r="D30" s="12" t="n"/>
      <c r="E30" s="10">
        <f>IF(AND(A30&lt;&gt;"",D30="Oui"),SUMPRODUCT(($A$5:A30&lt;&gt;"")*($D$5:D30="Oui")),"")</f>
        <v/>
      </c>
      <c r="F30" s="10">
        <f>IF(AND(A30&lt;&gt;"",D30&lt;&gt;"Oui"),SUMPRODUCT(($A$5:A30&lt;&gt;"")*($D$5:D30&lt;&gt;"Oui")),"")</f>
        <v/>
      </c>
    </row>
    <row r="31">
      <c r="A31" s="11" t="n"/>
      <c r="B31" s="11" t="n"/>
      <c r="C31" s="12" t="n"/>
      <c r="D31" s="12" t="n"/>
      <c r="E31" s="10">
        <f>IF(AND(A31&lt;&gt;"",D31="Oui"),SUMPRODUCT(($A$5:A31&lt;&gt;"")*($D$5:D31="Oui")),"")</f>
        <v/>
      </c>
      <c r="F31" s="10">
        <f>IF(AND(A31&lt;&gt;"",D31&lt;&gt;"Oui"),SUMPRODUCT(($A$5:A31&lt;&gt;"")*($D$5:D31&lt;&gt;"Oui")),"")</f>
        <v/>
      </c>
    </row>
    <row r="32">
      <c r="A32" s="11" t="n"/>
      <c r="B32" s="11" t="n"/>
      <c r="C32" s="12" t="n"/>
      <c r="D32" s="12" t="n"/>
      <c r="E32" s="10">
        <f>IF(AND(A32&lt;&gt;"",D32="Oui"),SUMPRODUCT(($A$5:A32&lt;&gt;"")*($D$5:D32="Oui")),"")</f>
        <v/>
      </c>
      <c r="F32" s="10">
        <f>IF(AND(A32&lt;&gt;"",D32&lt;&gt;"Oui"),SUMPRODUCT(($A$5:A32&lt;&gt;"")*($D$5:D32&lt;&gt;"Oui")),"")</f>
        <v/>
      </c>
    </row>
    <row r="33">
      <c r="A33" s="11" t="n"/>
      <c r="B33" s="11" t="n"/>
      <c r="C33" s="12" t="n"/>
      <c r="D33" s="12" t="n"/>
      <c r="E33" s="10">
        <f>IF(AND(A33&lt;&gt;"",D33="Oui"),SUMPRODUCT(($A$5:A33&lt;&gt;"")*($D$5:D33="Oui")),"")</f>
        <v/>
      </c>
      <c r="F33" s="10">
        <f>IF(AND(A33&lt;&gt;"",D33&lt;&gt;"Oui"),SUMPRODUCT(($A$5:A33&lt;&gt;"")*($D$5:D33&lt;&gt;"Oui")),"")</f>
        <v/>
      </c>
    </row>
    <row r="34">
      <c r="A34" s="11" t="n"/>
      <c r="B34" s="11" t="n"/>
      <c r="C34" s="12" t="n"/>
      <c r="D34" s="12" t="n"/>
      <c r="E34" s="10">
        <f>IF(AND(A34&lt;&gt;"",D34="Oui"),SUMPRODUCT(($A$5:A34&lt;&gt;"")*($D$5:D34="Oui")),"")</f>
        <v/>
      </c>
      <c r="F34" s="10">
        <f>IF(AND(A34&lt;&gt;"",D34&lt;&gt;"Oui"),SUMPRODUCT(($A$5:A34&lt;&gt;"")*($D$5:D34&lt;&gt;"Oui")),"")</f>
        <v/>
      </c>
    </row>
    <row r="35">
      <c r="A35" s="11" t="n"/>
      <c r="B35" s="11" t="n"/>
      <c r="C35" s="12" t="n"/>
      <c r="D35" s="12" t="n"/>
      <c r="E35" s="10">
        <f>IF(AND(A35&lt;&gt;"",D35="Oui"),SUMPRODUCT(($A$5:A35&lt;&gt;"")*($D$5:D35="Oui")),"")</f>
        <v/>
      </c>
      <c r="F35" s="10">
        <f>IF(AND(A35&lt;&gt;"",D35&lt;&gt;"Oui"),SUMPRODUCT(($A$5:A35&lt;&gt;"")*($D$5:D35&lt;&gt;"Oui")),"")</f>
        <v/>
      </c>
    </row>
    <row r="36">
      <c r="A36" s="11" t="n"/>
      <c r="B36" s="11" t="n"/>
      <c r="C36" s="12" t="n"/>
      <c r="D36" s="12" t="n"/>
      <c r="E36" s="10">
        <f>IF(AND(A36&lt;&gt;"",D36="Oui"),SUMPRODUCT(($A$5:A36&lt;&gt;"")*($D$5:D36="Oui")),"")</f>
        <v/>
      </c>
      <c r="F36" s="10">
        <f>IF(AND(A36&lt;&gt;"",D36&lt;&gt;"Oui"),SUMPRODUCT(($A$5:A36&lt;&gt;"")*($D$5:D36&lt;&gt;"Oui")),"")</f>
        <v/>
      </c>
    </row>
    <row r="37">
      <c r="A37" s="11" t="n"/>
      <c r="B37" s="11" t="n"/>
      <c r="C37" s="12" t="n"/>
      <c r="D37" s="12" t="n"/>
      <c r="E37" s="10">
        <f>IF(AND(A37&lt;&gt;"",D37="Oui"),SUMPRODUCT(($A$5:A37&lt;&gt;"")*($D$5:D37="Oui")),"")</f>
        <v/>
      </c>
      <c r="F37" s="10">
        <f>IF(AND(A37&lt;&gt;"",D37&lt;&gt;"Oui"),SUMPRODUCT(($A$5:A37&lt;&gt;"")*($D$5:D37&lt;&gt;"Oui")),"")</f>
        <v/>
      </c>
    </row>
    <row r="38">
      <c r="A38" s="11" t="n"/>
      <c r="B38" s="11" t="n"/>
      <c r="C38" s="12" t="n"/>
      <c r="D38" s="12" t="n"/>
      <c r="E38" s="10">
        <f>IF(AND(A38&lt;&gt;"",D38="Oui"),SUMPRODUCT(($A$5:A38&lt;&gt;"")*($D$5:D38="Oui")),"")</f>
        <v/>
      </c>
      <c r="F38" s="10">
        <f>IF(AND(A38&lt;&gt;"",D38&lt;&gt;"Oui"),SUMPRODUCT(($A$5:A38&lt;&gt;"")*($D$5:D38&lt;&gt;"Oui")),"")</f>
        <v/>
      </c>
    </row>
    <row r="39">
      <c r="A39" s="11" t="n"/>
      <c r="B39" s="11" t="n"/>
      <c r="C39" s="12" t="n"/>
      <c r="D39" s="12" t="n"/>
      <c r="E39" s="10">
        <f>IF(AND(A39&lt;&gt;"",D39="Oui"),SUMPRODUCT(($A$5:A39&lt;&gt;"")*($D$5:D39="Oui")),"")</f>
        <v/>
      </c>
      <c r="F39" s="10">
        <f>IF(AND(A39&lt;&gt;"",D39&lt;&gt;"Oui"),SUMPRODUCT(($A$5:A39&lt;&gt;"")*($D$5:D39&lt;&gt;"Oui")),"")</f>
        <v/>
      </c>
    </row>
    <row r="40">
      <c r="A40" s="11" t="n"/>
      <c r="B40" s="11" t="n"/>
      <c r="C40" s="12" t="n"/>
      <c r="D40" s="12" t="n"/>
      <c r="E40" s="10">
        <f>IF(AND(A40&lt;&gt;"",D40="Oui"),SUMPRODUCT(($A$5:A40&lt;&gt;"")*($D$5:D40="Oui")),"")</f>
        <v/>
      </c>
      <c r="F40" s="10">
        <f>IF(AND(A40&lt;&gt;"",D40&lt;&gt;"Oui"),SUMPRODUCT(($A$5:A40&lt;&gt;"")*($D$5:D40&lt;&gt;"Oui")),"")</f>
        <v/>
      </c>
    </row>
    <row r="41">
      <c r="A41" s="11" t="n"/>
      <c r="B41" s="11" t="n"/>
      <c r="C41" s="12" t="n"/>
      <c r="D41" s="12" t="n"/>
      <c r="E41" s="10">
        <f>IF(AND(A41&lt;&gt;"",D41="Oui"),SUMPRODUCT(($A$5:A41&lt;&gt;"")*($D$5:D41="Oui")),"")</f>
        <v/>
      </c>
      <c r="F41" s="10">
        <f>IF(AND(A41&lt;&gt;"",D41&lt;&gt;"Oui"),SUMPRODUCT(($A$5:A41&lt;&gt;"")*($D$5:D41&lt;&gt;"Oui")),"")</f>
        <v/>
      </c>
    </row>
    <row r="42">
      <c r="A42" s="11" t="n"/>
      <c r="B42" s="11" t="n"/>
      <c r="C42" s="12" t="n"/>
      <c r="D42" s="12" t="n"/>
      <c r="E42" s="10">
        <f>IF(AND(A42&lt;&gt;"",D42="Oui"),SUMPRODUCT(($A$5:A42&lt;&gt;"")*($D$5:D42="Oui")),"")</f>
        <v/>
      </c>
      <c r="F42" s="10">
        <f>IF(AND(A42&lt;&gt;"",D42&lt;&gt;"Oui"),SUMPRODUCT(($A$5:A42&lt;&gt;"")*($D$5:D42&lt;&gt;"Oui")),"")</f>
        <v/>
      </c>
    </row>
    <row r="43">
      <c r="A43" s="11" t="n"/>
      <c r="B43" s="11" t="n"/>
      <c r="C43" s="12" t="n"/>
      <c r="D43" s="12" t="n"/>
      <c r="E43" s="10">
        <f>IF(AND(A43&lt;&gt;"",D43="Oui"),SUMPRODUCT(($A$5:A43&lt;&gt;"")*($D$5:D43="Oui")),"")</f>
        <v/>
      </c>
      <c r="F43" s="10">
        <f>IF(AND(A43&lt;&gt;"",D43&lt;&gt;"Oui"),SUMPRODUCT(($A$5:A43&lt;&gt;"")*($D$5:D43&lt;&gt;"Oui")),"")</f>
        <v/>
      </c>
    </row>
    <row r="44">
      <c r="A44" s="11" t="n"/>
      <c r="B44" s="11" t="n"/>
      <c r="C44" s="12" t="n"/>
      <c r="D44" s="12" t="n"/>
      <c r="E44" s="10">
        <f>IF(AND(A44&lt;&gt;"",D44="Oui"),SUMPRODUCT(($A$5:A44&lt;&gt;"")*($D$5:D44="Oui")),"")</f>
        <v/>
      </c>
      <c r="F44" s="10">
        <f>IF(AND(A44&lt;&gt;"",D44&lt;&gt;"Oui"),SUMPRODUCT(($A$5:A44&lt;&gt;"")*($D$5:D44&lt;&gt;"Oui")),"")</f>
        <v/>
      </c>
    </row>
  </sheetData>
  <dataValidations count="1">
    <dataValidation sqref="D5:D44" showDropDown="0" showInputMessage="0" showErrorMessage="0" allowBlank="1" type="list">
      <formula1>"Oui,Non"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1" customWidth="1" min="15" max="15"/>
    <col width="11" customWidth="1" min="16" max="16"/>
    <col width="11" customWidth="1" min="17" max="17"/>
  </cols>
  <sheetData>
    <row r="1" ht="26" customHeight="1">
      <c r="A1" s="1" t="inlineStr">
        <is>
          <t>Chaque semaine — mes essentiels</t>
        </is>
      </c>
    </row>
    <row r="2">
      <c r="A2" s="2" t="inlineStr">
        <is>
          <t>La liste se remplit toute seule à partir des Oui de l'onglet Produits</t>
        </is>
      </c>
    </row>
    <row r="4">
      <c r="A4" s="6" t="inlineStr">
        <is>
          <t>Produit</t>
        </is>
      </c>
      <c r="B4" s="6" t="inlineStr">
        <is>
          <t>Unité</t>
        </is>
      </c>
      <c r="C4" s="6" t="inlineStr">
        <is>
          <t>Semaine 1</t>
        </is>
      </c>
      <c r="D4" s="13" t="n"/>
      <c r="E4" s="13" t="n"/>
      <c r="F4" s="6" t="inlineStr">
        <is>
          <t>Semaine 2</t>
        </is>
      </c>
      <c r="G4" s="13" t="n"/>
      <c r="H4" s="13" t="n"/>
      <c r="I4" s="6" t="inlineStr">
        <is>
          <t>Semaine 3</t>
        </is>
      </c>
      <c r="J4" s="13" t="n"/>
      <c r="K4" s="13" t="n"/>
      <c r="L4" s="6" t="inlineStr">
        <is>
          <t>Semaine 4</t>
        </is>
      </c>
      <c r="M4" s="13" t="n"/>
      <c r="N4" s="13" t="n"/>
      <c r="O4" s="6" t="inlineStr">
        <is>
          <t>Total du mois</t>
        </is>
      </c>
      <c r="P4" s="13" t="n"/>
      <c r="Q4" s="13" t="n"/>
    </row>
    <row r="5">
      <c r="A5" s="13" t="n"/>
      <c r="B5" s="13" t="n"/>
      <c r="C5" s="14" t="n"/>
      <c r="D5" s="15" t="n"/>
      <c r="E5" s="15" t="n"/>
      <c r="F5" s="14" t="n"/>
      <c r="G5" s="15" t="n"/>
      <c r="H5" s="15" t="n"/>
      <c r="I5" s="14" t="n"/>
      <c r="J5" s="15" t="n"/>
      <c r="K5" s="15" t="n"/>
      <c r="L5" s="14" t="n"/>
      <c r="M5" s="15" t="n"/>
      <c r="N5" s="15" t="n"/>
      <c r="O5" s="13" t="n"/>
      <c r="P5" s="13" t="n"/>
      <c r="Q5" s="13" t="n"/>
    </row>
    <row r="6">
      <c r="A6" s="13" t="n"/>
      <c r="B6" s="13" t="n"/>
      <c r="C6" s="7" t="inlineStr">
        <is>
          <t>Stock</t>
        </is>
      </c>
      <c r="D6" s="7" t="inlineStr">
        <is>
          <t>Commandé</t>
        </is>
      </c>
      <c r="E6" s="7" t="inlineStr">
        <is>
          <t>Reçu</t>
        </is>
      </c>
      <c r="F6" s="7" t="inlineStr">
        <is>
          <t>Stock</t>
        </is>
      </c>
      <c r="G6" s="7" t="inlineStr">
        <is>
          <t>Commandé</t>
        </is>
      </c>
      <c r="H6" s="7" t="inlineStr">
        <is>
          <t>Reçu</t>
        </is>
      </c>
      <c r="I6" s="7" t="inlineStr">
        <is>
          <t>Stock</t>
        </is>
      </c>
      <c r="J6" s="7" t="inlineStr">
        <is>
          <t>Commandé</t>
        </is>
      </c>
      <c r="K6" s="7" t="inlineStr">
        <is>
          <t>Reçu</t>
        </is>
      </c>
      <c r="L6" s="7" t="inlineStr">
        <is>
          <t>Stock</t>
        </is>
      </c>
      <c r="M6" s="7" t="inlineStr">
        <is>
          <t>Commandé</t>
        </is>
      </c>
      <c r="N6" s="7" t="inlineStr">
        <is>
          <t>Reçu</t>
        </is>
      </c>
      <c r="O6" s="7" t="inlineStr">
        <is>
          <t>Commandé</t>
        </is>
      </c>
      <c r="P6" s="7" t="inlineStr">
        <is>
          <t>Reçu</t>
        </is>
      </c>
      <c r="Q6" s="7" t="inlineStr">
        <is>
          <t>Écart</t>
        </is>
      </c>
    </row>
    <row r="7">
      <c r="A7" s="16">
        <f>IFERROR(INDEX(Produits!$A$5:$A$44,MATCH(1,Produits!$E$5:$E$44,0)),"")</f>
        <v/>
      </c>
      <c r="B7" s="17">
        <f>IFERROR(INDEX(Produits!$C$5:$C$44,MATCH(1,Produits!$E$5:$E$44,0)),"")</f>
        <v/>
      </c>
      <c r="C7" s="9" t="n">
        <v>8</v>
      </c>
      <c r="D7" s="9" t="n">
        <v>10</v>
      </c>
      <c r="E7" s="9" t="n">
        <v>7</v>
      </c>
      <c r="F7" s="9" t="n">
        <v>5</v>
      </c>
      <c r="G7" s="9" t="n">
        <v>10</v>
      </c>
      <c r="H7" s="9" t="n">
        <v>10</v>
      </c>
      <c r="I7" s="12" t="n"/>
      <c r="J7" s="12" t="n"/>
      <c r="K7" s="12" t="n"/>
      <c r="L7" s="12" t="n"/>
      <c r="M7" s="12" t="n"/>
      <c r="N7" s="12" t="n"/>
      <c r="O7" s="18">
        <f>IF(COUNT(D7,G7,J7,M7)=0,"",SUM(D7,G7,J7,M7))</f>
        <v/>
      </c>
      <c r="P7" s="18">
        <f>IF(COUNT(E7,H7,K7,N7)=0,"",SUM(E7,H7,K7,N7))</f>
        <v/>
      </c>
      <c r="Q7" s="18">
        <f>IF(OR(O7="",P7=""),"",P7-O7)</f>
        <v/>
      </c>
    </row>
    <row r="8">
      <c r="A8" s="16">
        <f>IFERROR(INDEX(Produits!$A$5:$A$44,MATCH(2,Produits!$E$5:$E$44,0)),"")</f>
        <v/>
      </c>
      <c r="B8" s="17">
        <f>IFERROR(INDEX(Produits!$C$5:$C$44,MATCH(2,Produits!$E$5:$E$44,0)),"")</f>
        <v/>
      </c>
      <c r="C8" s="9" t="n">
        <v>6</v>
      </c>
      <c r="D8" s="9" t="n">
        <v>10</v>
      </c>
      <c r="E8" s="9" t="n">
        <v>10</v>
      </c>
      <c r="F8" s="9" t="n">
        <v>7</v>
      </c>
      <c r="G8" s="9" t="n">
        <v>5</v>
      </c>
      <c r="H8" s="9" t="n">
        <v>5</v>
      </c>
      <c r="I8" s="12" t="n"/>
      <c r="J8" s="12" t="n"/>
      <c r="K8" s="12" t="n"/>
      <c r="L8" s="12" t="n"/>
      <c r="M8" s="12" t="n"/>
      <c r="N8" s="12" t="n"/>
      <c r="O8" s="18">
        <f>IF(COUNT(D8,G8,J8,M8)=0,"",SUM(D8,G8,J8,M8))</f>
        <v/>
      </c>
      <c r="P8" s="18">
        <f>IF(COUNT(E8,H8,K8,N8)=0,"",SUM(E8,H8,K8,N8))</f>
        <v/>
      </c>
      <c r="Q8" s="18">
        <f>IF(OR(O8="",P8=""),"",P8-O8)</f>
        <v/>
      </c>
    </row>
    <row r="9">
      <c r="A9" s="16">
        <f>IFERROR(INDEX(Produits!$A$5:$A$44,MATCH(3,Produits!$E$5:$E$44,0)),"")</f>
        <v/>
      </c>
      <c r="B9" s="17">
        <f>IFERROR(INDEX(Produits!$C$5:$C$44,MATCH(3,Produits!$E$5:$E$44,0)),"")</f>
        <v/>
      </c>
      <c r="C9" s="9" t="n">
        <v>3</v>
      </c>
      <c r="D9" s="9" t="n">
        <v>5</v>
      </c>
      <c r="E9" s="9" t="n">
        <v>5</v>
      </c>
      <c r="F9" s="9" t="n">
        <v>4</v>
      </c>
      <c r="G9" s="9" t="n">
        <v>5</v>
      </c>
      <c r="H9" s="9" t="n">
        <v>5</v>
      </c>
      <c r="I9" s="12" t="n"/>
      <c r="J9" s="12" t="n"/>
      <c r="K9" s="12" t="n"/>
      <c r="L9" s="12" t="n"/>
      <c r="M9" s="12" t="n"/>
      <c r="N9" s="12" t="n"/>
      <c r="O9" s="18">
        <f>IF(COUNT(D9,G9,J9,M9)=0,"",SUM(D9,G9,J9,M9))</f>
        <v/>
      </c>
      <c r="P9" s="18">
        <f>IF(COUNT(E9,H9,K9,N9)=0,"",SUM(E9,H9,K9,N9))</f>
        <v/>
      </c>
      <c r="Q9" s="18">
        <f>IF(OR(O9="",P9=""),"",P9-O9)</f>
        <v/>
      </c>
    </row>
    <row r="10">
      <c r="A10" s="16">
        <f>IFERROR(INDEX(Produits!$A$5:$A$44,MATCH(4,Produits!$E$5:$E$44,0)),"")</f>
        <v/>
      </c>
      <c r="B10" s="17">
        <f>IFERROR(INDEX(Produits!$C$5:$C$44,MATCH(4,Produits!$E$5:$E$44,0)),"")</f>
        <v/>
      </c>
      <c r="C10" s="9" t="n">
        <v>4</v>
      </c>
      <c r="D10" s="9" t="n">
        <v>12</v>
      </c>
      <c r="E10" s="9" t="n">
        <v>12</v>
      </c>
      <c r="F10" s="9" t="n">
        <v>5</v>
      </c>
      <c r="G10" s="9" t="n">
        <v>10</v>
      </c>
      <c r="H10" s="9" t="n">
        <v>10</v>
      </c>
      <c r="I10" s="12" t="n"/>
      <c r="J10" s="12" t="n"/>
      <c r="K10" s="12" t="n"/>
      <c r="L10" s="12" t="n"/>
      <c r="M10" s="12" t="n"/>
      <c r="N10" s="12" t="n"/>
      <c r="O10" s="18">
        <f>IF(COUNT(D10,G10,J10,M10)=0,"",SUM(D10,G10,J10,M10))</f>
        <v/>
      </c>
      <c r="P10" s="18">
        <f>IF(COUNT(E10,H10,K10,N10)=0,"",SUM(E10,H10,K10,N10))</f>
        <v/>
      </c>
      <c r="Q10" s="18">
        <f>IF(OR(O10="",P10=""),"",P10-O10)</f>
        <v/>
      </c>
    </row>
    <row r="11">
      <c r="A11" s="16">
        <f>IFERROR(INDEX(Produits!$A$5:$A$44,MATCH(5,Produits!$E$5:$E$44,0)),"")</f>
        <v/>
      </c>
      <c r="B11" s="17">
        <f>IFERROR(INDEX(Produits!$C$5:$C$44,MATCH(5,Produits!$E$5:$E$44,0)),"")</f>
        <v/>
      </c>
      <c r="C11" s="9" t="n">
        <v>40</v>
      </c>
      <c r="D11" s="9" t="n">
        <v>90</v>
      </c>
      <c r="E11" s="9" t="n">
        <v>90</v>
      </c>
      <c r="F11" s="9" t="n">
        <v>50</v>
      </c>
      <c r="G11" s="9" t="n">
        <v>60</v>
      </c>
      <c r="H11" s="9" t="n">
        <v>60</v>
      </c>
      <c r="I11" s="12" t="n"/>
      <c r="J11" s="12" t="n"/>
      <c r="K11" s="12" t="n"/>
      <c r="L11" s="12" t="n"/>
      <c r="M11" s="12" t="n"/>
      <c r="N11" s="12" t="n"/>
      <c r="O11" s="18">
        <f>IF(COUNT(D11,G11,J11,M11)=0,"",SUM(D11,G11,J11,M11))</f>
        <v/>
      </c>
      <c r="P11" s="18">
        <f>IF(COUNT(E11,H11,K11,N11)=0,"",SUM(E11,H11,K11,N11))</f>
        <v/>
      </c>
      <c r="Q11" s="18">
        <f>IF(OR(O11="",P11=""),"",P11-O11)</f>
        <v/>
      </c>
    </row>
    <row r="12">
      <c r="A12" s="16">
        <f>IFERROR(INDEX(Produits!$A$5:$A$44,MATCH(6,Produits!$E$5:$E$44,0)),"")</f>
        <v/>
      </c>
      <c r="B12" s="17">
        <f>IFERROR(INDEX(Produits!$C$5:$C$44,MATCH(6,Produits!$E$5:$E$44,0)),"")</f>
        <v/>
      </c>
      <c r="C12" s="9" t="n">
        <v>1.5</v>
      </c>
      <c r="D12" s="9" t="n">
        <v>3</v>
      </c>
      <c r="E12" s="9" t="n">
        <v>2</v>
      </c>
      <c r="F12" s="9" t="n">
        <v>2</v>
      </c>
      <c r="G12" s="9" t="n">
        <v>2</v>
      </c>
      <c r="H12" s="9" t="n">
        <v>2</v>
      </c>
      <c r="I12" s="12" t="n"/>
      <c r="J12" s="12" t="n"/>
      <c r="K12" s="12" t="n"/>
      <c r="L12" s="12" t="n"/>
      <c r="M12" s="12" t="n"/>
      <c r="N12" s="12" t="n"/>
      <c r="O12" s="18">
        <f>IF(COUNT(D12,G12,J12,M12)=0,"",SUM(D12,G12,J12,M12))</f>
        <v/>
      </c>
      <c r="P12" s="18">
        <f>IF(COUNT(E12,H12,K12,N12)=0,"",SUM(E12,H12,K12,N12))</f>
        <v/>
      </c>
      <c r="Q12" s="18">
        <f>IF(OR(O12="",P12=""),"",P12-O12)</f>
        <v/>
      </c>
    </row>
    <row r="13">
      <c r="A13" s="16">
        <f>IFERROR(INDEX(Produits!$A$5:$A$44,MATCH(7,Produits!$E$5:$E$44,0)),"")</f>
        <v/>
      </c>
      <c r="B13" s="17">
        <f>IFERROR(INDEX(Produits!$C$5:$C$44,MATCH(7,Produits!$E$5:$E$44,0)),"")</f>
        <v/>
      </c>
      <c r="C13" s="12" t="n"/>
      <c r="D13" s="12" t="n"/>
      <c r="E13" s="12" t="n"/>
      <c r="F13" s="12" t="n"/>
      <c r="G13" s="12" t="n"/>
      <c r="H13" s="12" t="n"/>
      <c r="I13" s="12" t="n"/>
      <c r="J13" s="12" t="n"/>
      <c r="K13" s="12" t="n"/>
      <c r="L13" s="12" t="n"/>
      <c r="M13" s="12" t="n"/>
      <c r="N13" s="12" t="n"/>
      <c r="O13" s="18">
        <f>IF(COUNT(D13,G13,J13,M13)=0,"",SUM(D13,G13,J13,M13))</f>
        <v/>
      </c>
      <c r="P13" s="18">
        <f>IF(COUNT(E13,H13,K13,N13)=0,"",SUM(E13,H13,K13,N13))</f>
        <v/>
      </c>
      <c r="Q13" s="18">
        <f>IF(OR(O13="",P13=""),"",P13-O13)</f>
        <v/>
      </c>
    </row>
    <row r="14">
      <c r="A14" s="16">
        <f>IFERROR(INDEX(Produits!$A$5:$A$44,MATCH(8,Produits!$E$5:$E$44,0)),"")</f>
        <v/>
      </c>
      <c r="B14" s="17">
        <f>IFERROR(INDEX(Produits!$C$5:$C$44,MATCH(8,Produits!$E$5:$E$44,0)),"")</f>
        <v/>
      </c>
      <c r="C14" s="12" t="n"/>
      <c r="D14" s="12" t="n"/>
      <c r="E14" s="12" t="n"/>
      <c r="F14" s="12" t="n"/>
      <c r="G14" s="12" t="n"/>
      <c r="H14" s="12" t="n"/>
      <c r="I14" s="12" t="n"/>
      <c r="J14" s="12" t="n"/>
      <c r="K14" s="12" t="n"/>
      <c r="L14" s="12" t="n"/>
      <c r="M14" s="12" t="n"/>
      <c r="N14" s="12" t="n"/>
      <c r="O14" s="18">
        <f>IF(COUNT(D14,G14,J14,M14)=0,"",SUM(D14,G14,J14,M14))</f>
        <v/>
      </c>
      <c r="P14" s="18">
        <f>IF(COUNT(E14,H14,K14,N14)=0,"",SUM(E14,H14,K14,N14))</f>
        <v/>
      </c>
      <c r="Q14" s="18">
        <f>IF(OR(O14="",P14=""),"",P14-O14)</f>
        <v/>
      </c>
    </row>
    <row r="15">
      <c r="A15" s="16">
        <f>IFERROR(INDEX(Produits!$A$5:$A$44,MATCH(9,Produits!$E$5:$E$44,0)),"")</f>
        <v/>
      </c>
      <c r="B15" s="17">
        <f>IFERROR(INDEX(Produits!$C$5:$C$44,MATCH(9,Produits!$E$5:$E$44,0)),"")</f>
        <v/>
      </c>
      <c r="C15" s="12" t="n"/>
      <c r="D15" s="12" t="n"/>
      <c r="E15" s="12" t="n"/>
      <c r="F15" s="12" t="n"/>
      <c r="G15" s="12" t="n"/>
      <c r="H15" s="12" t="n"/>
      <c r="I15" s="12" t="n"/>
      <c r="J15" s="12" t="n"/>
      <c r="K15" s="12" t="n"/>
      <c r="L15" s="12" t="n"/>
      <c r="M15" s="12" t="n"/>
      <c r="N15" s="12" t="n"/>
      <c r="O15" s="18">
        <f>IF(COUNT(D15,G15,J15,M15)=0,"",SUM(D15,G15,J15,M15))</f>
        <v/>
      </c>
      <c r="P15" s="18">
        <f>IF(COUNT(E15,H15,K15,N15)=0,"",SUM(E15,H15,K15,N15))</f>
        <v/>
      </c>
      <c r="Q15" s="18">
        <f>IF(OR(O15="",P15=""),"",P15-O15)</f>
        <v/>
      </c>
    </row>
    <row r="16">
      <c r="A16" s="16">
        <f>IFERROR(INDEX(Produits!$A$5:$A$44,MATCH(10,Produits!$E$5:$E$44,0)),"")</f>
        <v/>
      </c>
      <c r="B16" s="17">
        <f>IFERROR(INDEX(Produits!$C$5:$C$44,MATCH(10,Produits!$E$5:$E$44,0)),"")</f>
        <v/>
      </c>
      <c r="C16" s="12" t="n"/>
      <c r="D16" s="12" t="n"/>
      <c r="E16" s="12" t="n"/>
      <c r="F16" s="12" t="n"/>
      <c r="G16" s="12" t="n"/>
      <c r="H16" s="12" t="n"/>
      <c r="I16" s="12" t="n"/>
      <c r="J16" s="12" t="n"/>
      <c r="K16" s="12" t="n"/>
      <c r="L16" s="12" t="n"/>
      <c r="M16" s="12" t="n"/>
      <c r="N16" s="12" t="n"/>
      <c r="O16" s="18">
        <f>IF(COUNT(D16,G16,J16,M16)=0,"",SUM(D16,G16,J16,M16))</f>
        <v/>
      </c>
      <c r="P16" s="18">
        <f>IF(COUNT(E16,H16,K16,N16)=0,"",SUM(E16,H16,K16,N16))</f>
        <v/>
      </c>
      <c r="Q16" s="18">
        <f>IF(OR(O16="",P16=""),"",P16-O16)</f>
        <v/>
      </c>
    </row>
    <row r="17">
      <c r="A17" s="16">
        <f>IFERROR(INDEX(Produits!$A$5:$A$44,MATCH(11,Produits!$E$5:$E$44,0)),"")</f>
        <v/>
      </c>
      <c r="B17" s="17">
        <f>IFERROR(INDEX(Produits!$C$5:$C$44,MATCH(11,Produits!$E$5:$E$44,0)),"")</f>
        <v/>
      </c>
      <c r="C17" s="12" t="n"/>
      <c r="D17" s="12" t="n"/>
      <c r="E17" s="12" t="n"/>
      <c r="F17" s="12" t="n"/>
      <c r="G17" s="12" t="n"/>
      <c r="H17" s="12" t="n"/>
      <c r="I17" s="12" t="n"/>
      <c r="J17" s="12" t="n"/>
      <c r="K17" s="12" t="n"/>
      <c r="L17" s="12" t="n"/>
      <c r="M17" s="12" t="n"/>
      <c r="N17" s="12" t="n"/>
      <c r="O17" s="18">
        <f>IF(COUNT(D17,G17,J17,M17)=0,"",SUM(D17,G17,J17,M17))</f>
        <v/>
      </c>
      <c r="P17" s="18">
        <f>IF(COUNT(E17,H17,K17,N17)=0,"",SUM(E17,H17,K17,N17))</f>
        <v/>
      </c>
      <c r="Q17" s="18">
        <f>IF(OR(O17="",P17=""),"",P17-O17)</f>
        <v/>
      </c>
    </row>
    <row r="18">
      <c r="A18" s="16">
        <f>IFERROR(INDEX(Produits!$A$5:$A$44,MATCH(12,Produits!$E$5:$E$44,0)),"")</f>
        <v/>
      </c>
      <c r="B18" s="17">
        <f>IFERROR(INDEX(Produits!$C$5:$C$44,MATCH(12,Produits!$E$5:$E$44,0)),"")</f>
        <v/>
      </c>
      <c r="C18" s="12" t="n"/>
      <c r="D18" s="12" t="n"/>
      <c r="E18" s="12" t="n"/>
      <c r="F18" s="12" t="n"/>
      <c r="G18" s="12" t="n"/>
      <c r="H18" s="12" t="n"/>
      <c r="I18" s="12" t="n"/>
      <c r="J18" s="12" t="n"/>
      <c r="K18" s="12" t="n"/>
      <c r="L18" s="12" t="n"/>
      <c r="M18" s="12" t="n"/>
      <c r="N18" s="12" t="n"/>
      <c r="O18" s="18">
        <f>IF(COUNT(D18,G18,J18,M18)=0,"",SUM(D18,G18,J18,M18))</f>
        <v/>
      </c>
      <c r="P18" s="18">
        <f>IF(COUNT(E18,H18,K18,N18)=0,"",SUM(E18,H18,K18,N18))</f>
        <v/>
      </c>
      <c r="Q18" s="18">
        <f>IF(OR(O18="",P18=""),"",P18-O18)</f>
        <v/>
      </c>
    </row>
    <row r="19">
      <c r="A19" s="16">
        <f>IFERROR(INDEX(Produits!$A$5:$A$44,MATCH(13,Produits!$E$5:$E$44,0)),"")</f>
        <v/>
      </c>
      <c r="B19" s="17">
        <f>IFERROR(INDEX(Produits!$C$5:$C$44,MATCH(13,Produits!$E$5:$E$44,0)),"")</f>
        <v/>
      </c>
      <c r="C19" s="12" t="n"/>
      <c r="D19" s="12" t="n"/>
      <c r="E19" s="12" t="n"/>
      <c r="F19" s="12" t="n"/>
      <c r="G19" s="12" t="n"/>
      <c r="H19" s="12" t="n"/>
      <c r="I19" s="12" t="n"/>
      <c r="J19" s="12" t="n"/>
      <c r="K19" s="12" t="n"/>
      <c r="L19" s="12" t="n"/>
      <c r="M19" s="12" t="n"/>
      <c r="N19" s="12" t="n"/>
      <c r="O19" s="18">
        <f>IF(COUNT(D19,G19,J19,M19)=0,"",SUM(D19,G19,J19,M19))</f>
        <v/>
      </c>
      <c r="P19" s="18">
        <f>IF(COUNT(E19,H19,K19,N19)=0,"",SUM(E19,H19,K19,N19))</f>
        <v/>
      </c>
      <c r="Q19" s="18">
        <f>IF(OR(O19="",P19=""),"",P19-O19)</f>
        <v/>
      </c>
    </row>
    <row r="20">
      <c r="A20" s="16">
        <f>IFERROR(INDEX(Produits!$A$5:$A$44,MATCH(14,Produits!$E$5:$E$44,0)),"")</f>
        <v/>
      </c>
      <c r="B20" s="17">
        <f>IFERROR(INDEX(Produits!$C$5:$C$44,MATCH(14,Produits!$E$5:$E$44,0)),"")</f>
        <v/>
      </c>
      <c r="C20" s="12" t="n"/>
      <c r="D20" s="12" t="n"/>
      <c r="E20" s="12" t="n"/>
      <c r="F20" s="12" t="n"/>
      <c r="G20" s="12" t="n"/>
      <c r="H20" s="12" t="n"/>
      <c r="I20" s="12" t="n"/>
      <c r="J20" s="12" t="n"/>
      <c r="K20" s="12" t="n"/>
      <c r="L20" s="12" t="n"/>
      <c r="M20" s="12" t="n"/>
      <c r="N20" s="12" t="n"/>
      <c r="O20" s="18">
        <f>IF(COUNT(D20,G20,J20,M20)=0,"",SUM(D20,G20,J20,M20))</f>
        <v/>
      </c>
      <c r="P20" s="18">
        <f>IF(COUNT(E20,H20,K20,N20)=0,"",SUM(E20,H20,K20,N20))</f>
        <v/>
      </c>
      <c r="Q20" s="18">
        <f>IF(OR(O20="",P20=""),"",P20-O20)</f>
        <v/>
      </c>
    </row>
    <row r="21">
      <c r="A21" s="16">
        <f>IFERROR(INDEX(Produits!$A$5:$A$44,MATCH(15,Produits!$E$5:$E$44,0)),"")</f>
        <v/>
      </c>
      <c r="B21" s="17">
        <f>IFERROR(INDEX(Produits!$C$5:$C$44,MATCH(15,Produits!$E$5:$E$44,0)),"")</f>
        <v/>
      </c>
      <c r="C21" s="12" t="n"/>
      <c r="D21" s="12" t="n"/>
      <c r="E21" s="12" t="n"/>
      <c r="F21" s="12" t="n"/>
      <c r="G21" s="12" t="n"/>
      <c r="H21" s="12" t="n"/>
      <c r="I21" s="12" t="n"/>
      <c r="J21" s="12" t="n"/>
      <c r="K21" s="12" t="n"/>
      <c r="L21" s="12" t="n"/>
      <c r="M21" s="12" t="n"/>
      <c r="N21" s="12" t="n"/>
      <c r="O21" s="18">
        <f>IF(COUNT(D21,G21,J21,M21)=0,"",SUM(D21,G21,J21,M21))</f>
        <v/>
      </c>
      <c r="P21" s="18">
        <f>IF(COUNT(E21,H21,K21,N21)=0,"",SUM(E21,H21,K21,N21))</f>
        <v/>
      </c>
      <c r="Q21" s="18">
        <f>IF(OR(O21="",P21=""),"",P21-O21)</f>
        <v/>
      </c>
    </row>
    <row r="22">
      <c r="A22" s="16">
        <f>IFERROR(INDEX(Produits!$A$5:$A$44,MATCH(16,Produits!$E$5:$E$44,0)),"")</f>
        <v/>
      </c>
      <c r="B22" s="17">
        <f>IFERROR(INDEX(Produits!$C$5:$C$44,MATCH(16,Produits!$E$5:$E$44,0)),"")</f>
        <v/>
      </c>
      <c r="C22" s="12" t="n"/>
      <c r="D22" s="12" t="n"/>
      <c r="E22" s="12" t="n"/>
      <c r="F22" s="12" t="n"/>
      <c r="G22" s="12" t="n"/>
      <c r="H22" s="12" t="n"/>
      <c r="I22" s="12" t="n"/>
      <c r="J22" s="12" t="n"/>
      <c r="K22" s="12" t="n"/>
      <c r="L22" s="12" t="n"/>
      <c r="M22" s="12" t="n"/>
      <c r="N22" s="12" t="n"/>
      <c r="O22" s="18">
        <f>IF(COUNT(D22,G22,J22,M22)=0,"",SUM(D22,G22,J22,M22))</f>
        <v/>
      </c>
      <c r="P22" s="18">
        <f>IF(COUNT(E22,H22,K22,N22)=0,"",SUM(E22,H22,K22,N22))</f>
        <v/>
      </c>
      <c r="Q22" s="18">
        <f>IF(OR(O22="",P22=""),"",P22-O22)</f>
        <v/>
      </c>
    </row>
    <row r="23">
      <c r="A23" s="16">
        <f>IFERROR(INDEX(Produits!$A$5:$A$44,MATCH(17,Produits!$E$5:$E$44,0)),"")</f>
        <v/>
      </c>
      <c r="B23" s="17">
        <f>IFERROR(INDEX(Produits!$C$5:$C$44,MATCH(17,Produits!$E$5:$E$44,0)),"")</f>
        <v/>
      </c>
      <c r="C23" s="12" t="n"/>
      <c r="D23" s="12" t="n"/>
      <c r="E23" s="12" t="n"/>
      <c r="F23" s="12" t="n"/>
      <c r="G23" s="12" t="n"/>
      <c r="H23" s="12" t="n"/>
      <c r="I23" s="12" t="n"/>
      <c r="J23" s="12" t="n"/>
      <c r="K23" s="12" t="n"/>
      <c r="L23" s="12" t="n"/>
      <c r="M23" s="12" t="n"/>
      <c r="N23" s="12" t="n"/>
      <c r="O23" s="18">
        <f>IF(COUNT(D23,G23,J23,M23)=0,"",SUM(D23,G23,J23,M23))</f>
        <v/>
      </c>
      <c r="P23" s="18">
        <f>IF(COUNT(E23,H23,K23,N23)=0,"",SUM(E23,H23,K23,N23))</f>
        <v/>
      </c>
      <c r="Q23" s="18">
        <f>IF(OR(O23="",P23=""),"",P23-O23)</f>
        <v/>
      </c>
    </row>
    <row r="24">
      <c r="A24" s="16">
        <f>IFERROR(INDEX(Produits!$A$5:$A$44,MATCH(18,Produits!$E$5:$E$44,0)),"")</f>
        <v/>
      </c>
      <c r="B24" s="17">
        <f>IFERROR(INDEX(Produits!$C$5:$C$44,MATCH(18,Produits!$E$5:$E$44,0)),"")</f>
        <v/>
      </c>
      <c r="C24" s="12" t="n"/>
      <c r="D24" s="12" t="n"/>
      <c r="E24" s="12" t="n"/>
      <c r="F24" s="12" t="n"/>
      <c r="G24" s="12" t="n"/>
      <c r="H24" s="12" t="n"/>
      <c r="I24" s="12" t="n"/>
      <c r="J24" s="12" t="n"/>
      <c r="K24" s="12" t="n"/>
      <c r="L24" s="12" t="n"/>
      <c r="M24" s="12" t="n"/>
      <c r="N24" s="12" t="n"/>
      <c r="O24" s="18">
        <f>IF(COUNT(D24,G24,J24,M24)=0,"",SUM(D24,G24,J24,M24))</f>
        <v/>
      </c>
      <c r="P24" s="18">
        <f>IF(COUNT(E24,H24,K24,N24)=0,"",SUM(E24,H24,K24,N24))</f>
        <v/>
      </c>
      <c r="Q24" s="18">
        <f>IF(OR(O24="",P24=""),"",P24-O24)</f>
        <v/>
      </c>
    </row>
    <row r="25">
      <c r="A25" s="16">
        <f>IFERROR(INDEX(Produits!$A$5:$A$44,MATCH(19,Produits!$E$5:$E$44,0)),"")</f>
        <v/>
      </c>
      <c r="B25" s="17">
        <f>IFERROR(INDEX(Produits!$C$5:$C$44,MATCH(19,Produits!$E$5:$E$44,0)),"")</f>
        <v/>
      </c>
      <c r="C25" s="12" t="n"/>
      <c r="D25" s="12" t="n"/>
      <c r="E25" s="12" t="n"/>
      <c r="F25" s="12" t="n"/>
      <c r="G25" s="12" t="n"/>
      <c r="H25" s="12" t="n"/>
      <c r="I25" s="12" t="n"/>
      <c r="J25" s="12" t="n"/>
      <c r="K25" s="12" t="n"/>
      <c r="L25" s="12" t="n"/>
      <c r="M25" s="12" t="n"/>
      <c r="N25" s="12" t="n"/>
      <c r="O25" s="18">
        <f>IF(COUNT(D25,G25,J25,M25)=0,"",SUM(D25,G25,J25,M25))</f>
        <v/>
      </c>
      <c r="P25" s="18">
        <f>IF(COUNT(E25,H25,K25,N25)=0,"",SUM(E25,H25,K25,N25))</f>
        <v/>
      </c>
      <c r="Q25" s="18">
        <f>IF(OR(O25="",P25=""),"",P25-O25)</f>
        <v/>
      </c>
    </row>
    <row r="26">
      <c r="A26" s="16">
        <f>IFERROR(INDEX(Produits!$A$5:$A$44,MATCH(20,Produits!$E$5:$E$44,0)),"")</f>
        <v/>
      </c>
      <c r="B26" s="17">
        <f>IFERROR(INDEX(Produits!$C$5:$C$44,MATCH(20,Produits!$E$5:$E$44,0)),"")</f>
        <v/>
      </c>
      <c r="C26" s="12" t="n"/>
      <c r="D26" s="12" t="n"/>
      <c r="E26" s="12" t="n"/>
      <c r="F26" s="12" t="n"/>
      <c r="G26" s="12" t="n"/>
      <c r="H26" s="12" t="n"/>
      <c r="I26" s="12" t="n"/>
      <c r="J26" s="12" t="n"/>
      <c r="K26" s="12" t="n"/>
      <c r="L26" s="12" t="n"/>
      <c r="M26" s="12" t="n"/>
      <c r="N26" s="12" t="n"/>
      <c r="O26" s="18">
        <f>IF(COUNT(D26,G26,J26,M26)=0,"",SUM(D26,G26,J26,M26))</f>
        <v/>
      </c>
      <c r="P26" s="18">
        <f>IF(COUNT(E26,H26,K26,N26)=0,"",SUM(E26,H26,K26,N26))</f>
        <v/>
      </c>
      <c r="Q26" s="18">
        <f>IF(OR(O26="",P26=""),"",P26-O26)</f>
        <v/>
      </c>
    </row>
  </sheetData>
  <mergeCells count="11">
    <mergeCell ref="A4:A6"/>
    <mergeCell ref="F5:H5"/>
    <mergeCell ref="C5:E5"/>
    <mergeCell ref="B4:B6"/>
    <mergeCell ref="I5:K5"/>
    <mergeCell ref="L5:N5"/>
    <mergeCell ref="C4:E4"/>
    <mergeCell ref="F4:H4"/>
    <mergeCell ref="I4:K4"/>
    <mergeCell ref="L4:N4"/>
    <mergeCell ref="O4:Q5"/>
  </mergeCells>
  <conditionalFormatting sqref="Q7:Q26">
    <cfRule type="expression" priority="1" dxfId="0">
      <formula>AND(ISNUMBER(Q7),Q7&lt;0)</formula>
    </cfRule>
  </conditionalFormatting>
  <dataValidations count="1">
    <dataValidation sqref="C7:N26"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8" customWidth="1" min="2" max="2"/>
    <col width="13" customWidth="1" min="3" max="3"/>
    <col width="11" customWidth="1" min="4" max="4"/>
    <col width="10" customWidth="1" min="5" max="5"/>
    <col width="9" customWidth="1" min="6" max="6"/>
  </cols>
  <sheetData>
    <row r="1" ht="26" customHeight="1">
      <c r="A1" s="1" t="inlineStr">
        <is>
          <t>Une fois par mois — les autres produits</t>
        </is>
      </c>
    </row>
    <row r="2">
      <c r="A2" s="2" t="inlineStr">
        <is>
          <t>Compte-les en fin de mois</t>
        </is>
      </c>
    </row>
    <row r="3">
      <c r="A3" s="19" t="inlineStr">
        <is>
          <t>Date du comptage :</t>
        </is>
      </c>
      <c r="B3" s="20">
        <f>DATE(2026,10,30)</f>
        <v/>
      </c>
    </row>
    <row r="5">
      <c r="A5" s="6" t="inlineStr">
        <is>
          <t>Produit</t>
        </is>
      </c>
      <c r="B5" s="6" t="inlineStr">
        <is>
          <t>Unité</t>
        </is>
      </c>
      <c r="C5" s="6" t="inlineStr">
        <is>
          <t>Stock compté</t>
        </is>
      </c>
      <c r="D5" s="6" t="inlineStr">
        <is>
          <t>Commandé</t>
        </is>
      </c>
      <c r="E5" s="6" t="inlineStr">
        <is>
          <t>Reçu</t>
        </is>
      </c>
      <c r="F5" s="6" t="inlineStr">
        <is>
          <t>Écart</t>
        </is>
      </c>
    </row>
    <row r="6">
      <c r="A6" s="16">
        <f>IFERROR(INDEX(Produits!$A$5:$A$44,MATCH(1,Produits!$F$5:$F$44,0)),"")</f>
        <v/>
      </c>
      <c r="B6" s="17">
        <f>IFERROR(INDEX(Produits!$C$5:$C$44,MATCH(1,Produits!$F$5:$F$44,0)),"")</f>
        <v/>
      </c>
      <c r="C6" s="9" t="n">
        <v>2</v>
      </c>
      <c r="D6" s="9" t="n">
        <v>5</v>
      </c>
      <c r="E6" s="9" t="n">
        <v>5</v>
      </c>
      <c r="F6" s="21">
        <f>IF(OR(D6="",E6=""),"",E6-D6)</f>
        <v/>
      </c>
    </row>
    <row r="7">
      <c r="A7" s="16">
        <f>IFERROR(INDEX(Produits!$A$5:$A$44,MATCH(2,Produits!$F$5:$F$44,0)),"")</f>
        <v/>
      </c>
      <c r="B7" s="17">
        <f>IFERROR(INDEX(Produits!$C$5:$C$44,MATCH(2,Produits!$F$5:$F$44,0)),"")</f>
        <v/>
      </c>
      <c r="C7" s="9" t="n">
        <v>1</v>
      </c>
      <c r="D7" s="9" t="n">
        <v>3</v>
      </c>
      <c r="E7" s="9" t="n">
        <v>3</v>
      </c>
      <c r="F7" s="21">
        <f>IF(OR(D7="",E7=""),"",E7-D7)</f>
        <v/>
      </c>
    </row>
    <row r="8">
      <c r="A8" s="16">
        <f>IFERROR(INDEX(Produits!$A$5:$A$44,MATCH(3,Produits!$F$5:$F$44,0)),"")</f>
        <v/>
      </c>
      <c r="B8" s="17">
        <f>IFERROR(INDEX(Produits!$C$5:$C$44,MATCH(3,Produits!$F$5:$F$44,0)),"")</f>
        <v/>
      </c>
      <c r="C8" s="9" t="n">
        <v>3</v>
      </c>
      <c r="D8" s="9" t="n">
        <v>6</v>
      </c>
      <c r="E8" s="9" t="n">
        <v>6</v>
      </c>
      <c r="F8" s="21">
        <f>IF(OR(D8="",E8=""),"",E8-D8)</f>
        <v/>
      </c>
    </row>
    <row r="9">
      <c r="A9" s="16">
        <f>IFERROR(INDEX(Produits!$A$5:$A$44,MATCH(4,Produits!$F$5:$F$44,0)),"")</f>
        <v/>
      </c>
      <c r="B9" s="17">
        <f>IFERROR(INDEX(Produits!$C$5:$C$44,MATCH(4,Produits!$F$5:$F$44,0)),"")</f>
        <v/>
      </c>
      <c r="C9" s="9" t="n">
        <v>2</v>
      </c>
      <c r="D9" s="9" t="n">
        <v>2</v>
      </c>
      <c r="E9" s="9" t="n">
        <v>2</v>
      </c>
      <c r="F9" s="21">
        <f>IF(OR(D9="",E9=""),"",E9-D9)</f>
        <v/>
      </c>
    </row>
    <row r="10">
      <c r="A10" s="16">
        <f>IFERROR(INDEX(Produits!$A$5:$A$44,MATCH(5,Produits!$F$5:$F$44,0)),"")</f>
        <v/>
      </c>
      <c r="B10" s="17">
        <f>IFERROR(INDEX(Produits!$C$5:$C$44,MATCH(5,Produits!$F$5:$F$44,0)),"")</f>
        <v/>
      </c>
      <c r="C10" s="9" t="n">
        <v>0.4</v>
      </c>
      <c r="D10" s="9" t="n">
        <v>1</v>
      </c>
      <c r="E10" s="9" t="n">
        <v>1</v>
      </c>
      <c r="F10" s="21">
        <f>IF(OR(D10="",E10=""),"",E10-D10)</f>
        <v/>
      </c>
    </row>
    <row r="11">
      <c r="A11" s="16">
        <f>IFERROR(INDEX(Produits!$A$5:$A$44,MATCH(6,Produits!$F$5:$F$44,0)),"")</f>
        <v/>
      </c>
      <c r="B11" s="17">
        <f>IFERROR(INDEX(Produits!$C$5:$C$44,MATCH(6,Produits!$F$5:$F$44,0)),"")</f>
        <v/>
      </c>
      <c r="C11" s="9" t="n">
        <v>6</v>
      </c>
      <c r="D11" s="9" t="n">
        <v>0</v>
      </c>
      <c r="E11" s="9" t="n">
        <v>0</v>
      </c>
      <c r="F11" s="21">
        <f>IF(OR(D11="",E11=""),"",E11-D11)</f>
        <v/>
      </c>
    </row>
    <row r="12">
      <c r="A12" s="16">
        <f>IFERROR(INDEX(Produits!$A$5:$A$44,MATCH(7,Produits!$F$5:$F$44,0)),"")</f>
        <v/>
      </c>
      <c r="B12" s="17">
        <f>IFERROR(INDEX(Produits!$C$5:$C$44,MATCH(7,Produits!$F$5:$F$44,0)),"")</f>
        <v/>
      </c>
      <c r="C12" s="12" t="n"/>
      <c r="D12" s="12" t="n"/>
      <c r="E12" s="12" t="n"/>
      <c r="F12" s="21">
        <f>IF(OR(D12="",E12=""),"",E12-D12)</f>
        <v/>
      </c>
    </row>
    <row r="13">
      <c r="A13" s="16">
        <f>IFERROR(INDEX(Produits!$A$5:$A$44,MATCH(8,Produits!$F$5:$F$44,0)),"")</f>
        <v/>
      </c>
      <c r="B13" s="17">
        <f>IFERROR(INDEX(Produits!$C$5:$C$44,MATCH(8,Produits!$F$5:$F$44,0)),"")</f>
        <v/>
      </c>
      <c r="C13" s="12" t="n"/>
      <c r="D13" s="12" t="n"/>
      <c r="E13" s="12" t="n"/>
      <c r="F13" s="21">
        <f>IF(OR(D13="",E13=""),"",E13-D13)</f>
        <v/>
      </c>
    </row>
    <row r="14">
      <c r="A14" s="16">
        <f>IFERROR(INDEX(Produits!$A$5:$A$44,MATCH(9,Produits!$F$5:$F$44,0)),"")</f>
        <v/>
      </c>
      <c r="B14" s="17">
        <f>IFERROR(INDEX(Produits!$C$5:$C$44,MATCH(9,Produits!$F$5:$F$44,0)),"")</f>
        <v/>
      </c>
      <c r="C14" s="12" t="n"/>
      <c r="D14" s="12" t="n"/>
      <c r="E14" s="12" t="n"/>
      <c r="F14" s="21">
        <f>IF(OR(D14="",E14=""),"",E14-D14)</f>
        <v/>
      </c>
    </row>
    <row r="15">
      <c r="A15" s="16">
        <f>IFERROR(INDEX(Produits!$A$5:$A$44,MATCH(10,Produits!$F$5:$F$44,0)),"")</f>
        <v/>
      </c>
      <c r="B15" s="17">
        <f>IFERROR(INDEX(Produits!$C$5:$C$44,MATCH(10,Produits!$F$5:$F$44,0)),"")</f>
        <v/>
      </c>
      <c r="C15" s="12" t="n"/>
      <c r="D15" s="12" t="n"/>
      <c r="E15" s="12" t="n"/>
      <c r="F15" s="21">
        <f>IF(OR(D15="",E15=""),"",E15-D15)</f>
        <v/>
      </c>
    </row>
    <row r="16">
      <c r="A16" s="16">
        <f>IFERROR(INDEX(Produits!$A$5:$A$44,MATCH(11,Produits!$F$5:$F$44,0)),"")</f>
        <v/>
      </c>
      <c r="B16" s="17">
        <f>IFERROR(INDEX(Produits!$C$5:$C$44,MATCH(11,Produits!$F$5:$F$44,0)),"")</f>
        <v/>
      </c>
      <c r="C16" s="12" t="n"/>
      <c r="D16" s="12" t="n"/>
      <c r="E16" s="12" t="n"/>
      <c r="F16" s="21">
        <f>IF(OR(D16="",E16=""),"",E16-D16)</f>
        <v/>
      </c>
    </row>
    <row r="17">
      <c r="A17" s="16">
        <f>IFERROR(INDEX(Produits!$A$5:$A$44,MATCH(12,Produits!$F$5:$F$44,0)),"")</f>
        <v/>
      </c>
      <c r="B17" s="17">
        <f>IFERROR(INDEX(Produits!$C$5:$C$44,MATCH(12,Produits!$F$5:$F$44,0)),"")</f>
        <v/>
      </c>
      <c r="C17" s="12" t="n"/>
      <c r="D17" s="12" t="n"/>
      <c r="E17" s="12" t="n"/>
      <c r="F17" s="21">
        <f>IF(OR(D17="",E17=""),"",E17-D17)</f>
        <v/>
      </c>
    </row>
    <row r="18">
      <c r="A18" s="16">
        <f>IFERROR(INDEX(Produits!$A$5:$A$44,MATCH(13,Produits!$F$5:$F$44,0)),"")</f>
        <v/>
      </c>
      <c r="B18" s="17">
        <f>IFERROR(INDEX(Produits!$C$5:$C$44,MATCH(13,Produits!$F$5:$F$44,0)),"")</f>
        <v/>
      </c>
      <c r="C18" s="12" t="n"/>
      <c r="D18" s="12" t="n"/>
      <c r="E18" s="12" t="n"/>
      <c r="F18" s="21">
        <f>IF(OR(D18="",E18=""),"",E18-D18)</f>
        <v/>
      </c>
    </row>
    <row r="19">
      <c r="A19" s="16">
        <f>IFERROR(INDEX(Produits!$A$5:$A$44,MATCH(14,Produits!$F$5:$F$44,0)),"")</f>
        <v/>
      </c>
      <c r="B19" s="17">
        <f>IFERROR(INDEX(Produits!$C$5:$C$44,MATCH(14,Produits!$F$5:$F$44,0)),"")</f>
        <v/>
      </c>
      <c r="C19" s="12" t="n"/>
      <c r="D19" s="12" t="n"/>
      <c r="E19" s="12" t="n"/>
      <c r="F19" s="21">
        <f>IF(OR(D19="",E19=""),"",E19-D19)</f>
        <v/>
      </c>
    </row>
    <row r="20">
      <c r="A20" s="16">
        <f>IFERROR(INDEX(Produits!$A$5:$A$44,MATCH(15,Produits!$F$5:$F$44,0)),"")</f>
        <v/>
      </c>
      <c r="B20" s="17">
        <f>IFERROR(INDEX(Produits!$C$5:$C$44,MATCH(15,Produits!$F$5:$F$44,0)),"")</f>
        <v/>
      </c>
      <c r="C20" s="12" t="n"/>
      <c r="D20" s="12" t="n"/>
      <c r="E20" s="12" t="n"/>
      <c r="F20" s="21">
        <f>IF(OR(D20="",E20=""),"",E20-D20)</f>
        <v/>
      </c>
    </row>
    <row r="21">
      <c r="A21" s="16">
        <f>IFERROR(INDEX(Produits!$A$5:$A$44,MATCH(16,Produits!$F$5:$F$44,0)),"")</f>
        <v/>
      </c>
      <c r="B21" s="17">
        <f>IFERROR(INDEX(Produits!$C$5:$C$44,MATCH(16,Produits!$F$5:$F$44,0)),"")</f>
        <v/>
      </c>
      <c r="C21" s="12" t="n"/>
      <c r="D21" s="12" t="n"/>
      <c r="E21" s="12" t="n"/>
      <c r="F21" s="21">
        <f>IF(OR(D21="",E21=""),"",E21-D21)</f>
        <v/>
      </c>
    </row>
    <row r="22">
      <c r="A22" s="16">
        <f>IFERROR(INDEX(Produits!$A$5:$A$44,MATCH(17,Produits!$F$5:$F$44,0)),"")</f>
        <v/>
      </c>
      <c r="B22" s="17">
        <f>IFERROR(INDEX(Produits!$C$5:$C$44,MATCH(17,Produits!$F$5:$F$44,0)),"")</f>
        <v/>
      </c>
      <c r="C22" s="12" t="n"/>
      <c r="D22" s="12" t="n"/>
      <c r="E22" s="12" t="n"/>
      <c r="F22" s="21">
        <f>IF(OR(D22="",E22=""),"",E22-D22)</f>
        <v/>
      </c>
    </row>
    <row r="23">
      <c r="A23" s="16">
        <f>IFERROR(INDEX(Produits!$A$5:$A$44,MATCH(18,Produits!$F$5:$F$44,0)),"")</f>
        <v/>
      </c>
      <c r="B23" s="17">
        <f>IFERROR(INDEX(Produits!$C$5:$C$44,MATCH(18,Produits!$F$5:$F$44,0)),"")</f>
        <v/>
      </c>
      <c r="C23" s="12" t="n"/>
      <c r="D23" s="12" t="n"/>
      <c r="E23" s="12" t="n"/>
      <c r="F23" s="21">
        <f>IF(OR(D23="",E23=""),"",E23-D23)</f>
        <v/>
      </c>
    </row>
    <row r="24">
      <c r="A24" s="16">
        <f>IFERROR(INDEX(Produits!$A$5:$A$44,MATCH(19,Produits!$F$5:$F$44,0)),"")</f>
        <v/>
      </c>
      <c r="B24" s="17">
        <f>IFERROR(INDEX(Produits!$C$5:$C$44,MATCH(19,Produits!$F$5:$F$44,0)),"")</f>
        <v/>
      </c>
      <c r="C24" s="12" t="n"/>
      <c r="D24" s="12" t="n"/>
      <c r="E24" s="12" t="n"/>
      <c r="F24" s="21">
        <f>IF(OR(D24="",E24=""),"",E24-D24)</f>
        <v/>
      </c>
    </row>
    <row r="25">
      <c r="A25" s="16">
        <f>IFERROR(INDEX(Produits!$A$5:$A$44,MATCH(20,Produits!$F$5:$F$44,0)),"")</f>
        <v/>
      </c>
      <c r="B25" s="17">
        <f>IFERROR(INDEX(Produits!$C$5:$C$44,MATCH(20,Produits!$F$5:$F$44,0)),"")</f>
        <v/>
      </c>
      <c r="C25" s="12" t="n"/>
      <c r="D25" s="12" t="n"/>
      <c r="E25" s="12" t="n"/>
      <c r="F25" s="21">
        <f>IF(OR(D25="",E25=""),"",E25-D25)</f>
        <v/>
      </c>
    </row>
    <row r="26">
      <c r="A26" s="16">
        <f>IFERROR(INDEX(Produits!$A$5:$A$44,MATCH(21,Produits!$F$5:$F$44,0)),"")</f>
        <v/>
      </c>
      <c r="B26" s="17">
        <f>IFERROR(INDEX(Produits!$C$5:$C$44,MATCH(21,Produits!$F$5:$F$44,0)),"")</f>
        <v/>
      </c>
      <c r="C26" s="12" t="n"/>
      <c r="D26" s="12" t="n"/>
      <c r="E26" s="12" t="n"/>
      <c r="F26" s="21">
        <f>IF(OR(D26="",E26=""),"",E26-D26)</f>
        <v/>
      </c>
    </row>
    <row r="27">
      <c r="A27" s="16">
        <f>IFERROR(INDEX(Produits!$A$5:$A$44,MATCH(22,Produits!$F$5:$F$44,0)),"")</f>
        <v/>
      </c>
      <c r="B27" s="17">
        <f>IFERROR(INDEX(Produits!$C$5:$C$44,MATCH(22,Produits!$F$5:$F$44,0)),"")</f>
        <v/>
      </c>
      <c r="C27" s="12" t="n"/>
      <c r="D27" s="12" t="n"/>
      <c r="E27" s="12" t="n"/>
      <c r="F27" s="21">
        <f>IF(OR(D27="",E27=""),"",E27-D27)</f>
        <v/>
      </c>
    </row>
    <row r="28">
      <c r="A28" s="16">
        <f>IFERROR(INDEX(Produits!$A$5:$A$44,MATCH(23,Produits!$F$5:$F$44,0)),"")</f>
        <v/>
      </c>
      <c r="B28" s="17">
        <f>IFERROR(INDEX(Produits!$C$5:$C$44,MATCH(23,Produits!$F$5:$F$44,0)),"")</f>
        <v/>
      </c>
      <c r="C28" s="12" t="n"/>
      <c r="D28" s="12" t="n"/>
      <c r="E28" s="12" t="n"/>
      <c r="F28" s="21">
        <f>IF(OR(D28="",E28=""),"",E28-D28)</f>
        <v/>
      </c>
    </row>
    <row r="29">
      <c r="A29" s="16">
        <f>IFERROR(INDEX(Produits!$A$5:$A$44,MATCH(24,Produits!$F$5:$F$44,0)),"")</f>
        <v/>
      </c>
      <c r="B29" s="17">
        <f>IFERROR(INDEX(Produits!$C$5:$C$44,MATCH(24,Produits!$F$5:$F$44,0)),"")</f>
        <v/>
      </c>
      <c r="C29" s="12" t="n"/>
      <c r="D29" s="12" t="n"/>
      <c r="E29" s="12" t="n"/>
      <c r="F29" s="21">
        <f>IF(OR(D29="",E29=""),"",E29-D29)</f>
        <v/>
      </c>
    </row>
    <row r="30">
      <c r="A30" s="16">
        <f>IFERROR(INDEX(Produits!$A$5:$A$44,MATCH(25,Produits!$F$5:$F$44,0)),"")</f>
        <v/>
      </c>
      <c r="B30" s="17">
        <f>IFERROR(INDEX(Produits!$C$5:$C$44,MATCH(25,Produits!$F$5:$F$44,0)),"")</f>
        <v/>
      </c>
      <c r="C30" s="12" t="n"/>
      <c r="D30" s="12" t="n"/>
      <c r="E30" s="12" t="n"/>
      <c r="F30" s="21">
        <f>IF(OR(D30="",E30=""),"",E30-D30)</f>
        <v/>
      </c>
    </row>
    <row r="31">
      <c r="A31" s="16">
        <f>IFERROR(INDEX(Produits!$A$5:$A$44,MATCH(26,Produits!$F$5:$F$44,0)),"")</f>
        <v/>
      </c>
      <c r="B31" s="17">
        <f>IFERROR(INDEX(Produits!$C$5:$C$44,MATCH(26,Produits!$F$5:$F$44,0)),"")</f>
        <v/>
      </c>
      <c r="C31" s="12" t="n"/>
      <c r="D31" s="12" t="n"/>
      <c r="E31" s="12" t="n"/>
      <c r="F31" s="21">
        <f>IF(OR(D31="",E31=""),"",E31-D31)</f>
        <v/>
      </c>
    </row>
    <row r="32">
      <c r="A32" s="16">
        <f>IFERROR(INDEX(Produits!$A$5:$A$44,MATCH(27,Produits!$F$5:$F$44,0)),"")</f>
        <v/>
      </c>
      <c r="B32" s="17">
        <f>IFERROR(INDEX(Produits!$C$5:$C$44,MATCH(27,Produits!$F$5:$F$44,0)),"")</f>
        <v/>
      </c>
      <c r="C32" s="12" t="n"/>
      <c r="D32" s="12" t="n"/>
      <c r="E32" s="12" t="n"/>
      <c r="F32" s="21">
        <f>IF(OR(D32="",E32=""),"",E32-D32)</f>
        <v/>
      </c>
    </row>
    <row r="33">
      <c r="A33" s="16">
        <f>IFERROR(INDEX(Produits!$A$5:$A$44,MATCH(28,Produits!$F$5:$F$44,0)),"")</f>
        <v/>
      </c>
      <c r="B33" s="17">
        <f>IFERROR(INDEX(Produits!$C$5:$C$44,MATCH(28,Produits!$F$5:$F$44,0)),"")</f>
        <v/>
      </c>
      <c r="C33" s="12" t="n"/>
      <c r="D33" s="12" t="n"/>
      <c r="E33" s="12" t="n"/>
      <c r="F33" s="21">
        <f>IF(OR(D33="",E33=""),"",E33-D33)</f>
        <v/>
      </c>
    </row>
    <row r="34">
      <c r="A34" s="16">
        <f>IFERROR(INDEX(Produits!$A$5:$A$44,MATCH(29,Produits!$F$5:$F$44,0)),"")</f>
        <v/>
      </c>
      <c r="B34" s="17">
        <f>IFERROR(INDEX(Produits!$C$5:$C$44,MATCH(29,Produits!$F$5:$F$44,0)),"")</f>
        <v/>
      </c>
      <c r="C34" s="12" t="n"/>
      <c r="D34" s="12" t="n"/>
      <c r="E34" s="12" t="n"/>
      <c r="F34" s="21">
        <f>IF(OR(D34="",E34=""),"",E34-D34)</f>
        <v/>
      </c>
    </row>
    <row r="35">
      <c r="A35" s="16">
        <f>IFERROR(INDEX(Produits!$A$5:$A$44,MATCH(30,Produits!$F$5:$F$44,0)),"")</f>
        <v/>
      </c>
      <c r="B35" s="17">
        <f>IFERROR(INDEX(Produits!$C$5:$C$44,MATCH(30,Produits!$F$5:$F$44,0)),"")</f>
        <v/>
      </c>
      <c r="C35" s="12" t="n"/>
      <c r="D35" s="12" t="n"/>
      <c r="E35" s="12" t="n"/>
      <c r="F35" s="21">
        <f>IF(OR(D35="",E35=""),"",E35-D35)</f>
        <v/>
      </c>
    </row>
  </sheetData>
  <conditionalFormatting sqref="F6:F35">
    <cfRule type="expression" priority="1" dxfId="0">
      <formula>AND(ISNUMBER(F6),F6&lt;0)</formula>
    </cfRule>
  </conditionalFormatting>
  <dataValidations count="1">
    <dataValidation sqref="C6:E35" showDropDown="0" showInputMessage="0" showErrorMessage="1" allowBlank="1" errorTitle="Valeur invalide" error="Entre un nombre positif (ou laisse vide)."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2026-09-24T21:04:00Z</dcterms:created>
  <dcterms:modified xmlns:dcterms="http://purl.org/dc/terms/" xmlns:xsi="http://www.w3.org/2001/XMLSchema-instance" xsi:type="dcterms:W3CDTF">2026-09-24T21:04:00Z</dcterms:modified>
</cp:coreProperties>
</file>