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Octobre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D6FA5"/>
      <sz val="16"/>
    </font>
    <font>
      <name val="Arial"/>
      <i val="1"/>
      <color rgb="00666666"/>
      <sz val="9"/>
    </font>
    <font>
      <name val="Arial"/>
      <b val="1"/>
      <color rgb="001D6FA5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  <font>
      <name val="Arial"/>
      <color rgb="001D6FA5"/>
      <sz val="8"/>
    </font>
  </fonts>
  <fills count="5">
    <fill>
      <patternFill/>
    </fill>
    <fill>
      <patternFill patternType="gray125"/>
    </fill>
    <fill>
      <patternFill patternType="solid">
        <fgColor rgb="001D6FA5"/>
      </patternFill>
    </fill>
    <fill>
      <patternFill patternType="solid">
        <fgColor rgb="00FFF6D5"/>
      </patternFill>
    </fill>
    <fill>
      <patternFill patternType="solid">
        <fgColor rgb="00D1E2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bottom"/>
    </xf>
  </cellXfs>
  <cellStyles count="1">
    <cellStyle name="Normal" xfId="0" builtinId="0" hidden="0"/>
  </cellStyles>
  <dxfs count="3">
    <dxf>
      <fill>
        <patternFill patternType="solid">
          <fgColor rgb="00F8C9C4"/>
        </patternFill>
      </fill>
    </dxf>
    <dxf>
      <font>
        <color rgb="00C0392B"/>
      </font>
      <fill>
        <patternFill patternType="solid">
          <fgColor rgb="00F8C9C4"/>
        </patternFill>
      </fill>
    </dxf>
    <dxf>
      <font>
        <color rgb="001E7B34"/>
      </font>
      <fill>
        <patternFill patternType="solid">
          <fgColor rgb="00D3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lele_auto</author>
  </authors>
  <commentList>
    <comment ref="D5" authorId="0" shapeId="0">
      <text>
        <t>Date du comptage (facultatif)</t>
      </text>
    </comment>
    <comment ref="G5" authorId="0" shapeId="0">
      <text>
        <t>Date du comptage (facultatif)</t>
      </text>
    </comment>
    <comment ref="J5" authorId="0" shapeId="0">
      <text>
        <t>Date du comptage (facultatif)</t>
      </text>
    </comment>
    <comment ref="M5" authorId="0" shapeId="0">
      <text>
        <t>Date du comptage (facultatif)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17 · Les tendances en barres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Le tableau du mois habituel, avec à droite une petite barre par semaine qui montre comment ton stock évolue, et une flèche : ▲ il remonte, ▼ il baisse. D'un coup d'œil, même sur téléphone, tu vois les produits qui fondent.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Chaque semaine : Stock, Commandé, Reçu.</t>
        </is>
      </c>
    </row>
    <row r="8">
      <c r="A8" s="5" t="inlineStr"/>
      <c r="B8" s="4" t="inlineStr">
        <is>
          <t>3. Les barres et la flèche se dessinent toutes seules au fil des semaines.</t>
        </is>
      </c>
    </row>
    <row r="9">
      <c r="A9" s="5" t="inlineStr"/>
      <c r="B9" s="4" t="inlineStr">
        <is>
          <t>4. Nouveau mois : duplique l'onglet du mois.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Octobre 2026 — la saisie, les totaux et les tendances.</t>
        </is>
      </c>
    </row>
    <row r="13">
      <c r="A13" s="5" t="inlineStr"/>
      <c r="B13" s="4" t="inlineStr"/>
    </row>
    <row r="14">
      <c r="A14" s="5" t="inlineStr">
        <is>
          <t>Couleurs</t>
        </is>
      </c>
      <c r="B14" s="4" t="inlineStr">
        <is>
          <t>Cases jaunes = à remplir. Cases blanches = calculées toutes seules, ne pas y toucher.</t>
        </is>
      </c>
    </row>
    <row r="15">
      <c r="A15" s="5" t="inlineStr"/>
      <c r="B15" s="4" t="inlineStr">
        <is>
          <t>Chiffres en bleu = exemple pour montrer le fonctionnement, à effacer.</t>
        </is>
      </c>
    </row>
    <row r="16">
      <c r="A16" s="5" t="inlineStr"/>
      <c r="B16" s="4" t="inlineStr">
        <is>
          <t>Rouge = il manque quelque chose (livraison incomplète, stock trop bas).</t>
        </is>
      </c>
    </row>
    <row r="17">
      <c r="A17" s="5" t="inlineStr"/>
      <c r="B17" s="4" t="inlineStr"/>
    </row>
    <row r="18">
      <c r="A18" s="5" t="inlineStr">
        <is>
          <t>Google Sheets</t>
        </is>
      </c>
      <c r="B18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2" customWidth="1" min="16" max="16"/>
    <col width="12" customWidth="1" min="17" max="17"/>
    <col width="12" customWidth="1" min="18" max="18"/>
    <col width="12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 ht="26" customHeight="1">
      <c r="A1" s="1" t="inlineStr">
        <is>
          <t>Octobre 2026</t>
        </is>
      </c>
    </row>
    <row r="2">
      <c r="A2" s="2" t="inlineStr">
        <is>
          <t>Stock = ce qu'il reste · Commandé = ce que tu demandes · Reçu = ce qui est arrivé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Semaine 1</t>
        </is>
      </c>
      <c r="E4" s="11" t="n"/>
      <c r="F4" s="11" t="n"/>
      <c r="G4" s="6" t="inlineStr">
        <is>
          <t>Semaine 2</t>
        </is>
      </c>
      <c r="H4" s="11" t="n"/>
      <c r="I4" s="11" t="n"/>
      <c r="J4" s="6" t="inlineStr">
        <is>
          <t>Semaine 3</t>
        </is>
      </c>
      <c r="K4" s="11" t="n"/>
      <c r="L4" s="11" t="n"/>
      <c r="M4" s="6" t="inlineStr">
        <is>
          <t>Semaine 4</t>
        </is>
      </c>
      <c r="N4" s="11" t="n"/>
      <c r="O4" s="11" t="n"/>
      <c r="P4" s="6" t="inlineStr">
        <is>
          <t>Total du mois</t>
        </is>
      </c>
      <c r="Q4" s="11" t="n"/>
      <c r="R4" s="11" t="n"/>
      <c r="S4" s="11" t="n"/>
      <c r="T4" s="6" t="inlineStr">
        <is>
          <t>Tendance du stock</t>
        </is>
      </c>
      <c r="U4" s="11" t="n"/>
      <c r="V4" s="11" t="n"/>
      <c r="W4" s="11" t="n"/>
      <c r="X4" s="11" t="n"/>
    </row>
    <row r="5">
      <c r="A5" s="11" t="n"/>
      <c r="B5" s="11" t="n"/>
      <c r="C5" s="11" t="n"/>
      <c r="D5" s="12" t="n"/>
      <c r="E5" s="13" t="n"/>
      <c r="F5" s="13" t="n"/>
      <c r="G5" s="12" t="n"/>
      <c r="H5" s="13" t="n"/>
      <c r="I5" s="13" t="n"/>
      <c r="J5" s="12" t="n"/>
      <c r="K5" s="13" t="n"/>
      <c r="L5" s="13" t="n"/>
      <c r="M5" s="12" t="n"/>
      <c r="N5" s="13" t="n"/>
      <c r="O5" s="13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n"/>
      <c r="B6" s="11" t="n"/>
      <c r="C6" s="11" t="n"/>
      <c r="D6" s="14" t="inlineStr">
        <is>
          <t>Stock</t>
        </is>
      </c>
      <c r="E6" s="14" t="inlineStr">
        <is>
          <t>Commandé</t>
        </is>
      </c>
      <c r="F6" s="14" t="inlineStr">
        <is>
          <t>Reçu</t>
        </is>
      </c>
      <c r="G6" s="14" t="inlineStr">
        <is>
          <t>Stock</t>
        </is>
      </c>
      <c r="H6" s="14" t="inlineStr">
        <is>
          <t>Commandé</t>
        </is>
      </c>
      <c r="I6" s="14" t="inlineStr">
        <is>
          <t>Reçu</t>
        </is>
      </c>
      <c r="J6" s="14" t="inlineStr">
        <is>
          <t>Stock</t>
        </is>
      </c>
      <c r="K6" s="14" t="inlineStr">
        <is>
          <t>Commandé</t>
        </is>
      </c>
      <c r="L6" s="14" t="inlineStr">
        <is>
          <t>Reçu</t>
        </is>
      </c>
      <c r="M6" s="14" t="inlineStr">
        <is>
          <t>Stock</t>
        </is>
      </c>
      <c r="N6" s="14" t="inlineStr">
        <is>
          <t>Commandé</t>
        </is>
      </c>
      <c r="O6" s="14" t="inlineStr">
        <is>
          <t>Reçu</t>
        </is>
      </c>
      <c r="P6" s="14" t="inlineStr">
        <is>
          <t>Commandé</t>
        </is>
      </c>
      <c r="Q6" s="14" t="inlineStr">
        <is>
          <t>Reçu</t>
        </is>
      </c>
      <c r="R6" s="14" t="inlineStr">
        <is>
          <t>Écart</t>
        </is>
      </c>
      <c r="S6" s="14" t="inlineStr">
        <is>
          <t>Dernier stock</t>
        </is>
      </c>
      <c r="T6" s="14" t="inlineStr">
        <is>
          <t>S1</t>
        </is>
      </c>
      <c r="U6" s="14" t="inlineStr">
        <is>
          <t>S2</t>
        </is>
      </c>
      <c r="V6" s="14" t="inlineStr">
        <is>
          <t>S3</t>
        </is>
      </c>
      <c r="W6" s="14" t="inlineStr">
        <is>
          <t>S4</t>
        </is>
      </c>
      <c r="X6" s="14" t="inlineStr">
        <is>
          <t>Évol.</t>
        </is>
      </c>
    </row>
    <row r="7">
      <c r="A7" s="15">
        <f>IF(Produits!$A$5="","",Produits!$A$5)</f>
        <v/>
      </c>
      <c r="B7" s="16">
        <f>IF(Produits!$A$5="","",Produits!$B$5)</f>
        <v/>
      </c>
      <c r="C7" s="17">
        <f>IF(Produits!$A$5="","",Produits!$C$5)</f>
        <v/>
      </c>
      <c r="D7" s="8" t="n">
        <v>8</v>
      </c>
      <c r="E7" s="8" t="n">
        <v>10</v>
      </c>
      <c r="F7" s="8" t="n">
        <v>7</v>
      </c>
      <c r="G7" s="8" t="n">
        <v>5</v>
      </c>
      <c r="H7" s="8" t="n">
        <v>10</v>
      </c>
      <c r="I7" s="8" t="n">
        <v>10</v>
      </c>
      <c r="J7" s="10" t="n"/>
      <c r="K7" s="10" t="n"/>
      <c r="L7" s="10" t="n"/>
      <c r="M7" s="10" t="n"/>
      <c r="N7" s="10" t="n"/>
      <c r="O7" s="10" t="n"/>
      <c r="P7" s="18">
        <f>IF(COUNT(E7,H7,K7,N7)=0,"",SUM(E7,H7,K7,N7))</f>
        <v/>
      </c>
      <c r="Q7" s="18">
        <f>IF(COUNT(F7,I7,L7,O7)=0,"",SUM(F7,I7,L7,O7))</f>
        <v/>
      </c>
      <c r="R7" s="18">
        <f>IF(OR(P7="",Q7=""),"",Q7-P7)</f>
        <v/>
      </c>
      <c r="S7" s="18">
        <f>IF(M7&lt;&gt;"",M7,IF(J7&lt;&gt;"",J7,IF(G7&lt;&gt;"",G7,IF(D7&lt;&gt;"",D7,""))))</f>
        <v/>
      </c>
      <c r="T7" s="19">
        <f>IF(OR(D7="",MAX(D7,G7,J7,M7)=0),"",REPT("█",MAX(1,ROUND(D7/MAX(D7,G7,J7,M7)*6,0))))</f>
        <v/>
      </c>
      <c r="U7" s="19">
        <f>IF(OR(G7="",MAX(D7,G7,J7,M7)=0),"",REPT("█",MAX(1,ROUND(G7/MAX(D7,G7,J7,M7)*6,0))))</f>
        <v/>
      </c>
      <c r="V7" s="19">
        <f>IF(OR(J7="",MAX(D7,G7,J7,M7)=0),"",REPT("█",MAX(1,ROUND(J7/MAX(D7,G7,J7,M7)*6,0))))</f>
        <v/>
      </c>
      <c r="W7" s="19">
        <f>IF(OR(M7="",MAX(D7,G7,J7,M7)=0),"",REPT("█",MAX(1,ROUND(M7/MAX(D7,G7,J7,M7)*6,0))))</f>
        <v/>
      </c>
      <c r="X7" s="18">
        <f>IF(COUNT(D7,G7,J7,M7)&lt;2,"",IF(IF(M7&lt;&gt;"",M7,IF(J7&lt;&gt;"",J7,IF(G7&lt;&gt;"",G7,IF(D7&lt;&gt;"",D7,""))))&gt;IF(D7&lt;&gt;"",D7,IF(G7&lt;&gt;"",G7,IF(J7&lt;&gt;"",J7,M7))),"▲",IF(IF(M7&lt;&gt;"",M7,IF(J7&lt;&gt;"",J7,IF(G7&lt;&gt;"",G7,IF(D7&lt;&gt;"",D7,""))))&lt;IF(D7&lt;&gt;"",D7,IF(G7&lt;&gt;"",G7,IF(J7&lt;&gt;"",J7,M7))),"▼","=")))</f>
        <v/>
      </c>
    </row>
    <row r="8">
      <c r="A8" s="15">
        <f>IF(Produits!$A$6="","",Produits!$A$6)</f>
        <v/>
      </c>
      <c r="B8" s="16">
        <f>IF(Produits!$A$6="","",Produits!$B$6)</f>
        <v/>
      </c>
      <c r="C8" s="17">
        <f>IF(Produits!$A$6="","",Produits!$C$6)</f>
        <v/>
      </c>
      <c r="D8" s="8" t="n">
        <v>2</v>
      </c>
      <c r="E8" s="8" t="n">
        <v>5</v>
      </c>
      <c r="F8" s="8" t="n">
        <v>5</v>
      </c>
      <c r="G8" s="8" t="n">
        <v>3</v>
      </c>
      <c r="H8" s="8" t="n">
        <v>3</v>
      </c>
      <c r="I8" s="8" t="n">
        <v>3</v>
      </c>
      <c r="J8" s="10" t="n"/>
      <c r="K8" s="10" t="n"/>
      <c r="L8" s="10" t="n"/>
      <c r="M8" s="10" t="n"/>
      <c r="N8" s="10" t="n"/>
      <c r="O8" s="10" t="n"/>
      <c r="P8" s="18">
        <f>IF(COUNT(E8,H8,K8,N8)=0,"",SUM(E8,H8,K8,N8))</f>
        <v/>
      </c>
      <c r="Q8" s="18">
        <f>IF(COUNT(F8,I8,L8,O8)=0,"",SUM(F8,I8,L8,O8))</f>
        <v/>
      </c>
      <c r="R8" s="18">
        <f>IF(OR(P8="",Q8=""),"",Q8-P8)</f>
        <v/>
      </c>
      <c r="S8" s="18">
        <f>IF(M8&lt;&gt;"",M8,IF(J8&lt;&gt;"",J8,IF(G8&lt;&gt;"",G8,IF(D8&lt;&gt;"",D8,""))))</f>
        <v/>
      </c>
      <c r="T8" s="19">
        <f>IF(OR(D8="",MAX(D8,G8,J8,M8)=0),"",REPT("█",MAX(1,ROUND(D8/MAX(D8,G8,J8,M8)*6,0))))</f>
        <v/>
      </c>
      <c r="U8" s="19">
        <f>IF(OR(G8="",MAX(D8,G8,J8,M8)=0),"",REPT("█",MAX(1,ROUND(G8/MAX(D8,G8,J8,M8)*6,0))))</f>
        <v/>
      </c>
      <c r="V8" s="19">
        <f>IF(OR(J8="",MAX(D8,G8,J8,M8)=0),"",REPT("█",MAX(1,ROUND(J8/MAX(D8,G8,J8,M8)*6,0))))</f>
        <v/>
      </c>
      <c r="W8" s="19">
        <f>IF(OR(M8="",MAX(D8,G8,J8,M8)=0),"",REPT("█",MAX(1,ROUND(M8/MAX(D8,G8,J8,M8)*6,0))))</f>
        <v/>
      </c>
      <c r="X8" s="18">
        <f>IF(COUNT(D8,G8,J8,M8)&lt;2,"",IF(IF(M8&lt;&gt;"",M8,IF(J8&lt;&gt;"",J8,IF(G8&lt;&gt;"",G8,IF(D8&lt;&gt;"",D8,""))))&gt;IF(D8&lt;&gt;"",D8,IF(G8&lt;&gt;"",G8,IF(J8&lt;&gt;"",J8,M8))),"▲",IF(IF(M8&lt;&gt;"",M8,IF(J8&lt;&gt;"",J8,IF(G8&lt;&gt;"",G8,IF(D8&lt;&gt;"",D8,""))))&lt;IF(D8&lt;&gt;"",D8,IF(G8&lt;&gt;"",G8,IF(J8&lt;&gt;"",J8,M8))),"▼","=")))</f>
        <v/>
      </c>
    </row>
    <row r="9">
      <c r="A9" s="15">
        <f>IF(Produits!$A$7="","",Produits!$A$7)</f>
        <v/>
      </c>
      <c r="B9" s="16">
        <f>IF(Produits!$A$7="","",Produits!$B$7)</f>
        <v/>
      </c>
      <c r="C9" s="17">
        <f>IF(Produits!$A$7="","",Produits!$C$7)</f>
        <v/>
      </c>
      <c r="D9" s="8" t="n">
        <v>6</v>
      </c>
      <c r="E9" s="8" t="n">
        <v>10</v>
      </c>
      <c r="F9" s="8" t="n">
        <v>10</v>
      </c>
      <c r="G9" s="8" t="n">
        <v>7</v>
      </c>
      <c r="H9" s="8" t="n">
        <v>5</v>
      </c>
      <c r="I9" s="8" t="n">
        <v>5</v>
      </c>
      <c r="J9" s="10" t="n"/>
      <c r="K9" s="10" t="n"/>
      <c r="L9" s="10" t="n"/>
      <c r="M9" s="10" t="n"/>
      <c r="N9" s="10" t="n"/>
      <c r="O9" s="10" t="n"/>
      <c r="P9" s="18">
        <f>IF(COUNT(E9,H9,K9,N9)=0,"",SUM(E9,H9,K9,N9))</f>
        <v/>
      </c>
      <c r="Q9" s="18">
        <f>IF(COUNT(F9,I9,L9,O9)=0,"",SUM(F9,I9,L9,O9))</f>
        <v/>
      </c>
      <c r="R9" s="18">
        <f>IF(OR(P9="",Q9=""),"",Q9-P9)</f>
        <v/>
      </c>
      <c r="S9" s="18">
        <f>IF(M9&lt;&gt;"",M9,IF(J9&lt;&gt;"",J9,IF(G9&lt;&gt;"",G9,IF(D9&lt;&gt;"",D9,""))))</f>
        <v/>
      </c>
      <c r="T9" s="19">
        <f>IF(OR(D9="",MAX(D9,G9,J9,M9)=0),"",REPT("█",MAX(1,ROUND(D9/MAX(D9,G9,J9,M9)*6,0))))</f>
        <v/>
      </c>
      <c r="U9" s="19">
        <f>IF(OR(G9="",MAX(D9,G9,J9,M9)=0),"",REPT("█",MAX(1,ROUND(G9/MAX(D9,G9,J9,M9)*6,0))))</f>
        <v/>
      </c>
      <c r="V9" s="19">
        <f>IF(OR(J9="",MAX(D9,G9,J9,M9)=0),"",REPT("█",MAX(1,ROUND(J9/MAX(D9,G9,J9,M9)*6,0))))</f>
        <v/>
      </c>
      <c r="W9" s="19">
        <f>IF(OR(M9="",MAX(D9,G9,J9,M9)=0),"",REPT("█",MAX(1,ROUND(M9/MAX(D9,G9,J9,M9)*6,0))))</f>
        <v/>
      </c>
      <c r="X9" s="18">
        <f>IF(COUNT(D9,G9,J9,M9)&lt;2,"",IF(IF(M9&lt;&gt;"",M9,IF(J9&lt;&gt;"",J9,IF(G9&lt;&gt;"",G9,IF(D9&lt;&gt;"",D9,""))))&gt;IF(D9&lt;&gt;"",D9,IF(G9&lt;&gt;"",G9,IF(J9&lt;&gt;"",J9,M9))),"▲",IF(IF(M9&lt;&gt;"",M9,IF(J9&lt;&gt;"",J9,IF(G9&lt;&gt;"",G9,IF(D9&lt;&gt;"",D9,""))))&lt;IF(D9&lt;&gt;"",D9,IF(G9&lt;&gt;"",G9,IF(J9&lt;&gt;"",J9,M9))),"▼","=")))</f>
        <v/>
      </c>
    </row>
    <row r="10">
      <c r="A10" s="15">
        <f>IF(Produits!$A$8="","",Produits!$A$8)</f>
        <v/>
      </c>
      <c r="B10" s="16">
        <f>IF(Produits!$A$8="","",Produits!$B$8)</f>
        <v/>
      </c>
      <c r="C10" s="17">
        <f>IF(Produits!$A$8="","",Produits!$C$8)</f>
        <v/>
      </c>
      <c r="D10" s="8" t="n">
        <v>1</v>
      </c>
      <c r="E10" s="8" t="n">
        <v>3</v>
      </c>
      <c r="F10" s="8" t="n">
        <v>3</v>
      </c>
      <c r="G10" s="8" t="n">
        <v>2</v>
      </c>
      <c r="H10" s="8" t="n">
        <v>0</v>
      </c>
      <c r="I10" s="8" t="n">
        <v>0</v>
      </c>
      <c r="J10" s="10" t="n"/>
      <c r="K10" s="10" t="n"/>
      <c r="L10" s="10" t="n"/>
      <c r="M10" s="10" t="n"/>
      <c r="N10" s="10" t="n"/>
      <c r="O10" s="10" t="n"/>
      <c r="P10" s="18">
        <f>IF(COUNT(E10,H10,K10,N10)=0,"",SUM(E10,H10,K10,N10))</f>
        <v/>
      </c>
      <c r="Q10" s="18">
        <f>IF(COUNT(F10,I10,L10,O10)=0,"",SUM(F10,I10,L10,O10))</f>
        <v/>
      </c>
      <c r="R10" s="18">
        <f>IF(OR(P10="",Q10=""),"",Q10-P10)</f>
        <v/>
      </c>
      <c r="S10" s="18">
        <f>IF(M10&lt;&gt;"",M10,IF(J10&lt;&gt;"",J10,IF(G10&lt;&gt;"",G10,IF(D10&lt;&gt;"",D10,""))))</f>
        <v/>
      </c>
      <c r="T10" s="19">
        <f>IF(OR(D10="",MAX(D10,G10,J10,M10)=0),"",REPT("█",MAX(1,ROUND(D10/MAX(D10,G10,J10,M10)*6,0))))</f>
        <v/>
      </c>
      <c r="U10" s="19">
        <f>IF(OR(G10="",MAX(D10,G10,J10,M10)=0),"",REPT("█",MAX(1,ROUND(G10/MAX(D10,G10,J10,M10)*6,0))))</f>
        <v/>
      </c>
      <c r="V10" s="19">
        <f>IF(OR(J10="",MAX(D10,G10,J10,M10)=0),"",REPT("█",MAX(1,ROUND(J10/MAX(D10,G10,J10,M10)*6,0))))</f>
        <v/>
      </c>
      <c r="W10" s="19">
        <f>IF(OR(M10="",MAX(D10,G10,J10,M10)=0),"",REPT("█",MAX(1,ROUND(M10/MAX(D10,G10,J10,M10)*6,0))))</f>
        <v/>
      </c>
      <c r="X10" s="18">
        <f>IF(COUNT(D10,G10,J10,M10)&lt;2,"",IF(IF(M10&lt;&gt;"",M10,IF(J10&lt;&gt;"",J10,IF(G10&lt;&gt;"",G10,IF(D10&lt;&gt;"",D10,""))))&gt;IF(D10&lt;&gt;"",D10,IF(G10&lt;&gt;"",G10,IF(J10&lt;&gt;"",J10,M10))),"▲",IF(IF(M10&lt;&gt;"",M10,IF(J10&lt;&gt;"",J10,IF(G10&lt;&gt;"",G10,IF(D10&lt;&gt;"",D10,""))))&lt;IF(D10&lt;&gt;"",D10,IF(G10&lt;&gt;"",G10,IF(J10&lt;&gt;"",J10,M10))),"▼","=")))</f>
        <v/>
      </c>
    </row>
    <row r="11">
      <c r="A11" s="15">
        <f>IF(Produits!$A$9="","",Produits!$A$9)</f>
        <v/>
      </c>
      <c r="B11" s="16">
        <f>IF(Produits!$A$9="","",Produits!$B$9)</f>
        <v/>
      </c>
      <c r="C11" s="17">
        <f>IF(Produits!$A$9="","",Produits!$C$9)</f>
        <v/>
      </c>
      <c r="D11" s="8" t="n">
        <v>3</v>
      </c>
      <c r="E11" s="8" t="n">
        <v>5</v>
      </c>
      <c r="F11" s="8" t="n">
        <v>5</v>
      </c>
      <c r="G11" s="8" t="n">
        <v>4</v>
      </c>
      <c r="H11" s="8" t="n">
        <v>5</v>
      </c>
      <c r="I11" s="8" t="n">
        <v>5</v>
      </c>
      <c r="J11" s="10" t="n"/>
      <c r="K11" s="10" t="n"/>
      <c r="L11" s="10" t="n"/>
      <c r="M11" s="10" t="n"/>
      <c r="N11" s="10" t="n"/>
      <c r="O11" s="10" t="n"/>
      <c r="P11" s="18">
        <f>IF(COUNT(E11,H11,K11,N11)=0,"",SUM(E11,H11,K11,N11))</f>
        <v/>
      </c>
      <c r="Q11" s="18">
        <f>IF(COUNT(F11,I11,L11,O11)=0,"",SUM(F11,I11,L11,O11))</f>
        <v/>
      </c>
      <c r="R11" s="18">
        <f>IF(OR(P11="",Q11=""),"",Q11-P11)</f>
        <v/>
      </c>
      <c r="S11" s="18">
        <f>IF(M11&lt;&gt;"",M11,IF(J11&lt;&gt;"",J11,IF(G11&lt;&gt;"",G11,IF(D11&lt;&gt;"",D11,""))))</f>
        <v/>
      </c>
      <c r="T11" s="19">
        <f>IF(OR(D11="",MAX(D11,G11,J11,M11)=0),"",REPT("█",MAX(1,ROUND(D11/MAX(D11,G11,J11,M11)*6,0))))</f>
        <v/>
      </c>
      <c r="U11" s="19">
        <f>IF(OR(G11="",MAX(D11,G11,J11,M11)=0),"",REPT("█",MAX(1,ROUND(G11/MAX(D11,G11,J11,M11)*6,0))))</f>
        <v/>
      </c>
      <c r="V11" s="19">
        <f>IF(OR(J11="",MAX(D11,G11,J11,M11)=0),"",REPT("█",MAX(1,ROUND(J11/MAX(D11,G11,J11,M11)*6,0))))</f>
        <v/>
      </c>
      <c r="W11" s="19">
        <f>IF(OR(M11="",MAX(D11,G11,J11,M11)=0),"",REPT("█",MAX(1,ROUND(M11/MAX(D11,G11,J11,M11)*6,0))))</f>
        <v/>
      </c>
      <c r="X11" s="18">
        <f>IF(COUNT(D11,G11,J11,M11)&lt;2,"",IF(IF(M11&lt;&gt;"",M11,IF(J11&lt;&gt;"",J11,IF(G11&lt;&gt;"",G11,IF(D11&lt;&gt;"",D11,""))))&gt;IF(D11&lt;&gt;"",D11,IF(G11&lt;&gt;"",G11,IF(J11&lt;&gt;"",J11,M11))),"▲",IF(IF(M11&lt;&gt;"",M11,IF(J11&lt;&gt;"",J11,IF(G11&lt;&gt;"",G11,IF(D11&lt;&gt;"",D11,""))))&lt;IF(D11&lt;&gt;"",D11,IF(G11&lt;&gt;"",G11,IF(J11&lt;&gt;"",J11,M11))),"▼","=")))</f>
        <v/>
      </c>
    </row>
    <row r="12">
      <c r="A12" s="15">
        <f>IF(Produits!$A$10="","",Produits!$A$10)</f>
        <v/>
      </c>
      <c r="B12" s="16">
        <f>IF(Produits!$A$10="","",Produits!$B$10)</f>
        <v/>
      </c>
      <c r="C12" s="17">
        <f>IF(Produits!$A$10="","",Produits!$C$10)</f>
        <v/>
      </c>
      <c r="D12" s="8" t="n">
        <v>4</v>
      </c>
      <c r="E12" s="8" t="n">
        <v>12</v>
      </c>
      <c r="F12" s="8" t="n">
        <v>12</v>
      </c>
      <c r="G12" s="8" t="n">
        <v>5</v>
      </c>
      <c r="H12" s="8" t="n">
        <v>10</v>
      </c>
      <c r="I12" s="8" t="n">
        <v>10</v>
      </c>
      <c r="J12" s="10" t="n"/>
      <c r="K12" s="10" t="n"/>
      <c r="L12" s="10" t="n"/>
      <c r="M12" s="10" t="n"/>
      <c r="N12" s="10" t="n"/>
      <c r="O12" s="10" t="n"/>
      <c r="P12" s="18">
        <f>IF(COUNT(E12,H12,K12,N12)=0,"",SUM(E12,H12,K12,N12))</f>
        <v/>
      </c>
      <c r="Q12" s="18">
        <f>IF(COUNT(F12,I12,L12,O12)=0,"",SUM(F12,I12,L12,O12))</f>
        <v/>
      </c>
      <c r="R12" s="18">
        <f>IF(OR(P12="",Q12=""),"",Q12-P12)</f>
        <v/>
      </c>
      <c r="S12" s="18">
        <f>IF(M12&lt;&gt;"",M12,IF(J12&lt;&gt;"",J12,IF(G12&lt;&gt;"",G12,IF(D12&lt;&gt;"",D12,""))))</f>
        <v/>
      </c>
      <c r="T12" s="19">
        <f>IF(OR(D12="",MAX(D12,G12,J12,M12)=0),"",REPT("█",MAX(1,ROUND(D12/MAX(D12,G12,J12,M12)*6,0))))</f>
        <v/>
      </c>
      <c r="U12" s="19">
        <f>IF(OR(G12="",MAX(D12,G12,J12,M12)=0),"",REPT("█",MAX(1,ROUND(G12/MAX(D12,G12,J12,M12)*6,0))))</f>
        <v/>
      </c>
      <c r="V12" s="19">
        <f>IF(OR(J12="",MAX(D12,G12,J12,M12)=0),"",REPT("█",MAX(1,ROUND(J12/MAX(D12,G12,J12,M12)*6,0))))</f>
        <v/>
      </c>
      <c r="W12" s="19">
        <f>IF(OR(M12="",MAX(D12,G12,J12,M12)=0),"",REPT("█",MAX(1,ROUND(M12/MAX(D12,G12,J12,M12)*6,0))))</f>
        <v/>
      </c>
      <c r="X12" s="18">
        <f>IF(COUNT(D12,G12,J12,M12)&lt;2,"",IF(IF(M12&lt;&gt;"",M12,IF(J12&lt;&gt;"",J12,IF(G12&lt;&gt;"",G12,IF(D12&lt;&gt;"",D12,""))))&gt;IF(D12&lt;&gt;"",D12,IF(G12&lt;&gt;"",G12,IF(J12&lt;&gt;"",J12,M12))),"▲",IF(IF(M12&lt;&gt;"",M12,IF(J12&lt;&gt;"",J12,IF(G12&lt;&gt;"",G12,IF(D12&lt;&gt;"",D12,""))))&lt;IF(D12&lt;&gt;"",D12,IF(G12&lt;&gt;"",G12,IF(J12&lt;&gt;"",J12,M12))),"▼","=")))</f>
        <v/>
      </c>
    </row>
    <row r="13">
      <c r="A13" s="15">
        <f>IF(Produits!$A$11="","",Produits!$A$11)</f>
        <v/>
      </c>
      <c r="B13" s="16">
        <f>IF(Produits!$A$11="","",Produits!$B$11)</f>
        <v/>
      </c>
      <c r="C13" s="17">
        <f>IF(Produits!$A$11="","",Produits!$C$11)</f>
        <v/>
      </c>
      <c r="D13" s="8" t="n">
        <v>3</v>
      </c>
      <c r="E13" s="8" t="n">
        <v>6</v>
      </c>
      <c r="F13" s="8" t="n">
        <v>6</v>
      </c>
      <c r="G13" s="8" t="n">
        <v>4</v>
      </c>
      <c r="H13" s="8" t="n">
        <v>6</v>
      </c>
      <c r="I13" s="8" t="n">
        <v>6</v>
      </c>
      <c r="J13" s="10" t="n"/>
      <c r="K13" s="10" t="n"/>
      <c r="L13" s="10" t="n"/>
      <c r="M13" s="10" t="n"/>
      <c r="N13" s="10" t="n"/>
      <c r="O13" s="10" t="n"/>
      <c r="P13" s="18">
        <f>IF(COUNT(E13,H13,K13,N13)=0,"",SUM(E13,H13,K13,N13))</f>
        <v/>
      </c>
      <c r="Q13" s="18">
        <f>IF(COUNT(F13,I13,L13,O13)=0,"",SUM(F13,I13,L13,O13))</f>
        <v/>
      </c>
      <c r="R13" s="18">
        <f>IF(OR(P13="",Q13=""),"",Q13-P13)</f>
        <v/>
      </c>
      <c r="S13" s="18">
        <f>IF(M13&lt;&gt;"",M13,IF(J13&lt;&gt;"",J13,IF(G13&lt;&gt;"",G13,IF(D13&lt;&gt;"",D13,""))))</f>
        <v/>
      </c>
      <c r="T13" s="19">
        <f>IF(OR(D13="",MAX(D13,G13,J13,M13)=0),"",REPT("█",MAX(1,ROUND(D13/MAX(D13,G13,J13,M13)*6,0))))</f>
        <v/>
      </c>
      <c r="U13" s="19">
        <f>IF(OR(G13="",MAX(D13,G13,J13,M13)=0),"",REPT("█",MAX(1,ROUND(G13/MAX(D13,G13,J13,M13)*6,0))))</f>
        <v/>
      </c>
      <c r="V13" s="19">
        <f>IF(OR(J13="",MAX(D13,G13,J13,M13)=0),"",REPT("█",MAX(1,ROUND(J13/MAX(D13,G13,J13,M13)*6,0))))</f>
        <v/>
      </c>
      <c r="W13" s="19">
        <f>IF(OR(M13="",MAX(D13,G13,J13,M13)=0),"",REPT("█",MAX(1,ROUND(M13/MAX(D13,G13,J13,M13)*6,0))))</f>
        <v/>
      </c>
      <c r="X13" s="18">
        <f>IF(COUNT(D13,G13,J13,M13)&lt;2,"",IF(IF(M13&lt;&gt;"",M13,IF(J13&lt;&gt;"",J13,IF(G13&lt;&gt;"",G13,IF(D13&lt;&gt;"",D13,""))))&gt;IF(D13&lt;&gt;"",D13,IF(G13&lt;&gt;"",G13,IF(J13&lt;&gt;"",J13,M13))),"▲",IF(IF(M13&lt;&gt;"",M13,IF(J13&lt;&gt;"",J13,IF(G13&lt;&gt;"",G13,IF(D13&lt;&gt;"",D13,""))))&lt;IF(D13&lt;&gt;"",D13,IF(G13&lt;&gt;"",G13,IF(J13&lt;&gt;"",J13,M13))),"▼","=")))</f>
        <v/>
      </c>
    </row>
    <row r="14">
      <c r="A14" s="15">
        <f>IF(Produits!$A$12="","",Produits!$A$12)</f>
        <v/>
      </c>
      <c r="B14" s="16">
        <f>IF(Produits!$A$12="","",Produits!$B$12)</f>
        <v/>
      </c>
      <c r="C14" s="17">
        <f>IF(Produits!$A$12="","",Produits!$C$12)</f>
        <v/>
      </c>
      <c r="D14" s="8" t="n">
        <v>40</v>
      </c>
      <c r="E14" s="8" t="n">
        <v>90</v>
      </c>
      <c r="F14" s="8" t="n">
        <v>90</v>
      </c>
      <c r="G14" s="8" t="n">
        <v>50</v>
      </c>
      <c r="H14" s="8" t="n">
        <v>60</v>
      </c>
      <c r="I14" s="8" t="n">
        <v>60</v>
      </c>
      <c r="J14" s="10" t="n"/>
      <c r="K14" s="10" t="n"/>
      <c r="L14" s="10" t="n"/>
      <c r="M14" s="10" t="n"/>
      <c r="N14" s="10" t="n"/>
      <c r="O14" s="10" t="n"/>
      <c r="P14" s="18">
        <f>IF(COUNT(E14,H14,K14,N14)=0,"",SUM(E14,H14,K14,N14))</f>
        <v/>
      </c>
      <c r="Q14" s="18">
        <f>IF(COUNT(F14,I14,L14,O14)=0,"",SUM(F14,I14,L14,O14))</f>
        <v/>
      </c>
      <c r="R14" s="18">
        <f>IF(OR(P14="",Q14=""),"",Q14-P14)</f>
        <v/>
      </c>
      <c r="S14" s="18">
        <f>IF(M14&lt;&gt;"",M14,IF(J14&lt;&gt;"",J14,IF(G14&lt;&gt;"",G14,IF(D14&lt;&gt;"",D14,""))))</f>
        <v/>
      </c>
      <c r="T14" s="19">
        <f>IF(OR(D14="",MAX(D14,G14,J14,M14)=0),"",REPT("█",MAX(1,ROUND(D14/MAX(D14,G14,J14,M14)*6,0))))</f>
        <v/>
      </c>
      <c r="U14" s="19">
        <f>IF(OR(G14="",MAX(D14,G14,J14,M14)=0),"",REPT("█",MAX(1,ROUND(G14/MAX(D14,G14,J14,M14)*6,0))))</f>
        <v/>
      </c>
      <c r="V14" s="19">
        <f>IF(OR(J14="",MAX(D14,G14,J14,M14)=0),"",REPT("█",MAX(1,ROUND(J14/MAX(D14,G14,J14,M14)*6,0))))</f>
        <v/>
      </c>
      <c r="W14" s="19">
        <f>IF(OR(M14="",MAX(D14,G14,J14,M14)=0),"",REPT("█",MAX(1,ROUND(M14/MAX(D14,G14,J14,M14)*6,0))))</f>
        <v/>
      </c>
      <c r="X14" s="18">
        <f>IF(COUNT(D14,G14,J14,M14)&lt;2,"",IF(IF(M14&lt;&gt;"",M14,IF(J14&lt;&gt;"",J14,IF(G14&lt;&gt;"",G14,IF(D14&lt;&gt;"",D14,""))))&gt;IF(D14&lt;&gt;"",D14,IF(G14&lt;&gt;"",G14,IF(J14&lt;&gt;"",J14,M14))),"▲",IF(IF(M14&lt;&gt;"",M14,IF(J14&lt;&gt;"",J14,IF(G14&lt;&gt;"",G14,IF(D14&lt;&gt;"",D14,""))))&lt;IF(D14&lt;&gt;"",D14,IF(G14&lt;&gt;"",G14,IF(J14&lt;&gt;"",J14,M14))),"▼","=")))</f>
        <v/>
      </c>
    </row>
    <row r="15">
      <c r="A15" s="15">
        <f>IF(Produits!$A$13="","",Produits!$A$13)</f>
        <v/>
      </c>
      <c r="B15" s="16">
        <f>IF(Produits!$A$13="","",Produits!$B$13)</f>
        <v/>
      </c>
      <c r="C15" s="17">
        <f>IF(Produits!$A$13="","",Produits!$C$13)</f>
        <v/>
      </c>
      <c r="D15" s="8" t="n">
        <v>1.5</v>
      </c>
      <c r="E15" s="8" t="n">
        <v>3</v>
      </c>
      <c r="F15" s="8" t="n">
        <v>2</v>
      </c>
      <c r="G15" s="8" t="n">
        <v>2</v>
      </c>
      <c r="H15" s="8" t="n">
        <v>2</v>
      </c>
      <c r="I15" s="8" t="n">
        <v>2</v>
      </c>
      <c r="J15" s="10" t="n"/>
      <c r="K15" s="10" t="n"/>
      <c r="L15" s="10" t="n"/>
      <c r="M15" s="10" t="n"/>
      <c r="N15" s="10" t="n"/>
      <c r="O15" s="10" t="n"/>
      <c r="P15" s="18">
        <f>IF(COUNT(E15,H15,K15,N15)=0,"",SUM(E15,H15,K15,N15))</f>
        <v/>
      </c>
      <c r="Q15" s="18">
        <f>IF(COUNT(F15,I15,L15,O15)=0,"",SUM(F15,I15,L15,O15))</f>
        <v/>
      </c>
      <c r="R15" s="18">
        <f>IF(OR(P15="",Q15=""),"",Q15-P15)</f>
        <v/>
      </c>
      <c r="S15" s="18">
        <f>IF(M15&lt;&gt;"",M15,IF(J15&lt;&gt;"",J15,IF(G15&lt;&gt;"",G15,IF(D15&lt;&gt;"",D15,""))))</f>
        <v/>
      </c>
      <c r="T15" s="19">
        <f>IF(OR(D15="",MAX(D15,G15,J15,M15)=0),"",REPT("█",MAX(1,ROUND(D15/MAX(D15,G15,J15,M15)*6,0))))</f>
        <v/>
      </c>
      <c r="U15" s="19">
        <f>IF(OR(G15="",MAX(D15,G15,J15,M15)=0),"",REPT("█",MAX(1,ROUND(G15/MAX(D15,G15,J15,M15)*6,0))))</f>
        <v/>
      </c>
      <c r="V15" s="19">
        <f>IF(OR(J15="",MAX(D15,G15,J15,M15)=0),"",REPT("█",MAX(1,ROUND(J15/MAX(D15,G15,J15,M15)*6,0))))</f>
        <v/>
      </c>
      <c r="W15" s="19">
        <f>IF(OR(M15="",MAX(D15,G15,J15,M15)=0),"",REPT("█",MAX(1,ROUND(M15/MAX(D15,G15,J15,M15)*6,0))))</f>
        <v/>
      </c>
      <c r="X15" s="18">
        <f>IF(COUNT(D15,G15,J15,M15)&lt;2,"",IF(IF(M15&lt;&gt;"",M15,IF(J15&lt;&gt;"",J15,IF(G15&lt;&gt;"",G15,IF(D15&lt;&gt;"",D15,""))))&gt;IF(D15&lt;&gt;"",D15,IF(G15&lt;&gt;"",G15,IF(J15&lt;&gt;"",J15,M15))),"▲",IF(IF(M15&lt;&gt;"",M15,IF(J15&lt;&gt;"",J15,IF(G15&lt;&gt;"",G15,IF(D15&lt;&gt;"",D15,""))))&lt;IF(D15&lt;&gt;"",D15,IF(G15&lt;&gt;"",G15,IF(J15&lt;&gt;"",J15,M15))),"▼","=")))</f>
        <v/>
      </c>
    </row>
    <row r="16">
      <c r="A16" s="15">
        <f>IF(Produits!$A$14="","",Produits!$A$14)</f>
        <v/>
      </c>
      <c r="B16" s="16">
        <f>IF(Produits!$A$14="","",Produits!$B$14)</f>
        <v/>
      </c>
      <c r="C16" s="17">
        <f>IF(Produits!$A$14="","",Produits!$C$14)</f>
        <v/>
      </c>
      <c r="D16" s="8" t="n">
        <v>2</v>
      </c>
      <c r="E16" s="8" t="n">
        <v>2</v>
      </c>
      <c r="F16" s="8" t="n">
        <v>2</v>
      </c>
      <c r="G16" s="8" t="n">
        <v>2</v>
      </c>
      <c r="H16" s="8" t="n">
        <v>2</v>
      </c>
      <c r="I16" s="8" t="n">
        <v>2</v>
      </c>
      <c r="J16" s="10" t="n"/>
      <c r="K16" s="10" t="n"/>
      <c r="L16" s="10" t="n"/>
      <c r="M16" s="10" t="n"/>
      <c r="N16" s="10" t="n"/>
      <c r="O16" s="10" t="n"/>
      <c r="P16" s="18">
        <f>IF(COUNT(E16,H16,K16,N16)=0,"",SUM(E16,H16,K16,N16))</f>
        <v/>
      </c>
      <c r="Q16" s="18">
        <f>IF(COUNT(F16,I16,L16,O16)=0,"",SUM(F16,I16,L16,O16))</f>
        <v/>
      </c>
      <c r="R16" s="18">
        <f>IF(OR(P16="",Q16=""),"",Q16-P16)</f>
        <v/>
      </c>
      <c r="S16" s="18">
        <f>IF(M16&lt;&gt;"",M16,IF(J16&lt;&gt;"",J16,IF(G16&lt;&gt;"",G16,IF(D16&lt;&gt;"",D16,""))))</f>
        <v/>
      </c>
      <c r="T16" s="19">
        <f>IF(OR(D16="",MAX(D16,G16,J16,M16)=0),"",REPT("█",MAX(1,ROUND(D16/MAX(D16,G16,J16,M16)*6,0))))</f>
        <v/>
      </c>
      <c r="U16" s="19">
        <f>IF(OR(G16="",MAX(D16,G16,J16,M16)=0),"",REPT("█",MAX(1,ROUND(G16/MAX(D16,G16,J16,M16)*6,0))))</f>
        <v/>
      </c>
      <c r="V16" s="19">
        <f>IF(OR(J16="",MAX(D16,G16,J16,M16)=0),"",REPT("█",MAX(1,ROUND(J16/MAX(D16,G16,J16,M16)*6,0))))</f>
        <v/>
      </c>
      <c r="W16" s="19">
        <f>IF(OR(M16="",MAX(D16,G16,J16,M16)=0),"",REPT("█",MAX(1,ROUND(M16/MAX(D16,G16,J16,M16)*6,0))))</f>
        <v/>
      </c>
      <c r="X16" s="18">
        <f>IF(COUNT(D16,G16,J16,M16)&lt;2,"",IF(IF(M16&lt;&gt;"",M16,IF(J16&lt;&gt;"",J16,IF(G16&lt;&gt;"",G16,IF(D16&lt;&gt;"",D16,""))))&gt;IF(D16&lt;&gt;"",D16,IF(G16&lt;&gt;"",G16,IF(J16&lt;&gt;"",J16,M16))),"▲",IF(IF(M16&lt;&gt;"",M16,IF(J16&lt;&gt;"",J16,IF(G16&lt;&gt;"",G16,IF(D16&lt;&gt;"",D16,""))))&lt;IF(D16&lt;&gt;"",D16,IF(G16&lt;&gt;"",G16,IF(J16&lt;&gt;"",J16,M16))),"▼","=")))</f>
        <v/>
      </c>
    </row>
    <row r="17">
      <c r="A17" s="15">
        <f>IF(Produits!$A$15="","",Produits!$A$15)</f>
        <v/>
      </c>
      <c r="B17" s="16">
        <f>IF(Produits!$A$15="","",Produits!$B$15)</f>
        <v/>
      </c>
      <c r="C17" s="17">
        <f>IF(Produits!$A$15="","",Produits!$C$15)</f>
        <v/>
      </c>
      <c r="D17" s="8" t="n">
        <v>0.4</v>
      </c>
      <c r="E17" s="8" t="n">
        <v>1</v>
      </c>
      <c r="F17" s="8" t="n">
        <v>1</v>
      </c>
      <c r="G17" s="8" t="n">
        <v>0.6</v>
      </c>
      <c r="H17" s="8" t="n">
        <v>0</v>
      </c>
      <c r="I17" s="8" t="n">
        <v>0</v>
      </c>
      <c r="J17" s="10" t="n"/>
      <c r="K17" s="10" t="n"/>
      <c r="L17" s="10" t="n"/>
      <c r="M17" s="10" t="n"/>
      <c r="N17" s="10" t="n"/>
      <c r="O17" s="10" t="n"/>
      <c r="P17" s="18">
        <f>IF(COUNT(E17,H17,K17,N17)=0,"",SUM(E17,H17,K17,N17))</f>
        <v/>
      </c>
      <c r="Q17" s="18">
        <f>IF(COUNT(F17,I17,L17,O17)=0,"",SUM(F17,I17,L17,O17))</f>
        <v/>
      </c>
      <c r="R17" s="18">
        <f>IF(OR(P17="",Q17=""),"",Q17-P17)</f>
        <v/>
      </c>
      <c r="S17" s="18">
        <f>IF(M17&lt;&gt;"",M17,IF(J17&lt;&gt;"",J17,IF(G17&lt;&gt;"",G17,IF(D17&lt;&gt;"",D17,""))))</f>
        <v/>
      </c>
      <c r="T17" s="19">
        <f>IF(OR(D17="",MAX(D17,G17,J17,M17)=0),"",REPT("█",MAX(1,ROUND(D17/MAX(D17,G17,J17,M17)*6,0))))</f>
        <v/>
      </c>
      <c r="U17" s="19">
        <f>IF(OR(G17="",MAX(D17,G17,J17,M17)=0),"",REPT("█",MAX(1,ROUND(G17/MAX(D17,G17,J17,M17)*6,0))))</f>
        <v/>
      </c>
      <c r="V17" s="19">
        <f>IF(OR(J17="",MAX(D17,G17,J17,M17)=0),"",REPT("█",MAX(1,ROUND(J17/MAX(D17,G17,J17,M17)*6,0))))</f>
        <v/>
      </c>
      <c r="W17" s="19">
        <f>IF(OR(M17="",MAX(D17,G17,J17,M17)=0),"",REPT("█",MAX(1,ROUND(M17/MAX(D17,G17,J17,M17)*6,0))))</f>
        <v/>
      </c>
      <c r="X17" s="18">
        <f>IF(COUNT(D17,G17,J17,M17)&lt;2,"",IF(IF(M17&lt;&gt;"",M17,IF(J17&lt;&gt;"",J17,IF(G17&lt;&gt;"",G17,IF(D17&lt;&gt;"",D17,""))))&gt;IF(D17&lt;&gt;"",D17,IF(G17&lt;&gt;"",G17,IF(J17&lt;&gt;"",J17,M17))),"▲",IF(IF(M17&lt;&gt;"",M17,IF(J17&lt;&gt;"",J17,IF(G17&lt;&gt;"",G17,IF(D17&lt;&gt;"",D17,""))))&lt;IF(D17&lt;&gt;"",D17,IF(G17&lt;&gt;"",G17,IF(J17&lt;&gt;"",J17,M17))),"▼","=")))</f>
        <v/>
      </c>
    </row>
    <row r="18">
      <c r="A18" s="15">
        <f>IF(Produits!$A$16="","",Produits!$A$16)</f>
        <v/>
      </c>
      <c r="B18" s="16">
        <f>IF(Produits!$A$16="","",Produits!$B$16)</f>
        <v/>
      </c>
      <c r="C18" s="17">
        <f>IF(Produits!$A$16="","",Produits!$C$16)</f>
        <v/>
      </c>
      <c r="D18" s="8" t="n">
        <v>6</v>
      </c>
      <c r="E18" s="8" t="n">
        <v>0</v>
      </c>
      <c r="F18" s="8" t="n">
        <v>0</v>
      </c>
      <c r="G18" s="8" t="n">
        <v>6</v>
      </c>
      <c r="H18" s="8" t="n">
        <v>0</v>
      </c>
      <c r="I18" s="8" t="n">
        <v>0</v>
      </c>
      <c r="J18" s="10" t="n"/>
      <c r="K18" s="10" t="n"/>
      <c r="L18" s="10" t="n"/>
      <c r="M18" s="10" t="n"/>
      <c r="N18" s="10" t="n"/>
      <c r="O18" s="10" t="n"/>
      <c r="P18" s="18">
        <f>IF(COUNT(E18,H18,K18,N18)=0,"",SUM(E18,H18,K18,N18))</f>
        <v/>
      </c>
      <c r="Q18" s="18">
        <f>IF(COUNT(F18,I18,L18,O18)=0,"",SUM(F18,I18,L18,O18))</f>
        <v/>
      </c>
      <c r="R18" s="18">
        <f>IF(OR(P18="",Q18=""),"",Q18-P18)</f>
        <v/>
      </c>
      <c r="S18" s="18">
        <f>IF(M18&lt;&gt;"",M18,IF(J18&lt;&gt;"",J18,IF(G18&lt;&gt;"",G18,IF(D18&lt;&gt;"",D18,""))))</f>
        <v/>
      </c>
      <c r="T18" s="19">
        <f>IF(OR(D18="",MAX(D18,G18,J18,M18)=0),"",REPT("█",MAX(1,ROUND(D18/MAX(D18,G18,J18,M18)*6,0))))</f>
        <v/>
      </c>
      <c r="U18" s="19">
        <f>IF(OR(G18="",MAX(D18,G18,J18,M18)=0),"",REPT("█",MAX(1,ROUND(G18/MAX(D18,G18,J18,M18)*6,0))))</f>
        <v/>
      </c>
      <c r="V18" s="19">
        <f>IF(OR(J18="",MAX(D18,G18,J18,M18)=0),"",REPT("█",MAX(1,ROUND(J18/MAX(D18,G18,J18,M18)*6,0))))</f>
        <v/>
      </c>
      <c r="W18" s="19">
        <f>IF(OR(M18="",MAX(D18,G18,J18,M18)=0),"",REPT("█",MAX(1,ROUND(M18/MAX(D18,G18,J18,M18)*6,0))))</f>
        <v/>
      </c>
      <c r="X18" s="18">
        <f>IF(COUNT(D18,G18,J18,M18)&lt;2,"",IF(IF(M18&lt;&gt;"",M18,IF(J18&lt;&gt;"",J18,IF(G18&lt;&gt;"",G18,IF(D18&lt;&gt;"",D18,""))))&gt;IF(D18&lt;&gt;"",D18,IF(G18&lt;&gt;"",G18,IF(J18&lt;&gt;"",J18,M18))),"▲",IF(IF(M18&lt;&gt;"",M18,IF(J18&lt;&gt;"",J18,IF(G18&lt;&gt;"",G18,IF(D18&lt;&gt;"",D18,""))))&lt;IF(D18&lt;&gt;"",D18,IF(G18&lt;&gt;"",G18,IF(J18&lt;&gt;"",J18,M18))),"▼","=")))</f>
        <v/>
      </c>
    </row>
    <row r="19">
      <c r="A19" s="15">
        <f>IF(Produits!$A$17="","",Produits!$A$17)</f>
        <v/>
      </c>
      <c r="B19" s="16">
        <f>IF(Produits!$A$17="","",Produits!$B$17)</f>
        <v/>
      </c>
      <c r="C19" s="17">
        <f>IF(Produits!$A$17="","",Produits!$C$17)</f>
        <v/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8">
        <f>IF(COUNT(E19,H19,K19,N19)=0,"",SUM(E19,H19,K19,N19))</f>
        <v/>
      </c>
      <c r="Q19" s="18">
        <f>IF(COUNT(F19,I19,L19,O19)=0,"",SUM(F19,I19,L19,O19))</f>
        <v/>
      </c>
      <c r="R19" s="18">
        <f>IF(OR(P19="",Q19=""),"",Q19-P19)</f>
        <v/>
      </c>
      <c r="S19" s="18">
        <f>IF(M19&lt;&gt;"",M19,IF(J19&lt;&gt;"",J19,IF(G19&lt;&gt;"",G19,IF(D19&lt;&gt;"",D19,""))))</f>
        <v/>
      </c>
      <c r="T19" s="19">
        <f>IF(OR(D19="",MAX(D19,G19,J19,M19)=0),"",REPT("█",MAX(1,ROUND(D19/MAX(D19,G19,J19,M19)*6,0))))</f>
        <v/>
      </c>
      <c r="U19" s="19">
        <f>IF(OR(G19="",MAX(D19,G19,J19,M19)=0),"",REPT("█",MAX(1,ROUND(G19/MAX(D19,G19,J19,M19)*6,0))))</f>
        <v/>
      </c>
      <c r="V19" s="19">
        <f>IF(OR(J19="",MAX(D19,G19,J19,M19)=0),"",REPT("█",MAX(1,ROUND(J19/MAX(D19,G19,J19,M19)*6,0))))</f>
        <v/>
      </c>
      <c r="W19" s="19">
        <f>IF(OR(M19="",MAX(D19,G19,J19,M19)=0),"",REPT("█",MAX(1,ROUND(M19/MAX(D19,G19,J19,M19)*6,0))))</f>
        <v/>
      </c>
      <c r="X19" s="18">
        <f>IF(COUNT(D19,G19,J19,M19)&lt;2,"",IF(IF(M19&lt;&gt;"",M19,IF(J19&lt;&gt;"",J19,IF(G19&lt;&gt;"",G19,IF(D19&lt;&gt;"",D19,""))))&gt;IF(D19&lt;&gt;"",D19,IF(G19&lt;&gt;"",G19,IF(J19&lt;&gt;"",J19,M19))),"▲",IF(IF(M19&lt;&gt;"",M19,IF(J19&lt;&gt;"",J19,IF(G19&lt;&gt;"",G19,IF(D19&lt;&gt;"",D19,""))))&lt;IF(D19&lt;&gt;"",D19,IF(G19&lt;&gt;"",G19,IF(J19&lt;&gt;"",J19,M19))),"▼","=")))</f>
        <v/>
      </c>
    </row>
    <row r="20">
      <c r="A20" s="15">
        <f>IF(Produits!$A$18="","",Produits!$A$18)</f>
        <v/>
      </c>
      <c r="B20" s="16">
        <f>IF(Produits!$A$18="","",Produits!$B$18)</f>
        <v/>
      </c>
      <c r="C20" s="17">
        <f>IF(Produits!$A$18="","",Produits!$C$18)</f>
        <v/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8">
        <f>IF(COUNT(E20,H20,K20,N20)=0,"",SUM(E20,H20,K20,N20))</f>
        <v/>
      </c>
      <c r="Q20" s="18">
        <f>IF(COUNT(F20,I20,L20,O20)=0,"",SUM(F20,I20,L20,O20))</f>
        <v/>
      </c>
      <c r="R20" s="18">
        <f>IF(OR(P20="",Q20=""),"",Q20-P20)</f>
        <v/>
      </c>
      <c r="S20" s="18">
        <f>IF(M20&lt;&gt;"",M20,IF(J20&lt;&gt;"",J20,IF(G20&lt;&gt;"",G20,IF(D20&lt;&gt;"",D20,""))))</f>
        <v/>
      </c>
      <c r="T20" s="19">
        <f>IF(OR(D20="",MAX(D20,G20,J20,M20)=0),"",REPT("█",MAX(1,ROUND(D20/MAX(D20,G20,J20,M20)*6,0))))</f>
        <v/>
      </c>
      <c r="U20" s="19">
        <f>IF(OR(G20="",MAX(D20,G20,J20,M20)=0),"",REPT("█",MAX(1,ROUND(G20/MAX(D20,G20,J20,M20)*6,0))))</f>
        <v/>
      </c>
      <c r="V20" s="19">
        <f>IF(OR(J20="",MAX(D20,G20,J20,M20)=0),"",REPT("█",MAX(1,ROUND(J20/MAX(D20,G20,J20,M20)*6,0))))</f>
        <v/>
      </c>
      <c r="W20" s="19">
        <f>IF(OR(M20="",MAX(D20,G20,J20,M20)=0),"",REPT("█",MAX(1,ROUND(M20/MAX(D20,G20,J20,M20)*6,0))))</f>
        <v/>
      </c>
      <c r="X20" s="18">
        <f>IF(COUNT(D20,G20,J20,M20)&lt;2,"",IF(IF(M20&lt;&gt;"",M20,IF(J20&lt;&gt;"",J20,IF(G20&lt;&gt;"",G20,IF(D20&lt;&gt;"",D20,""))))&gt;IF(D20&lt;&gt;"",D20,IF(G20&lt;&gt;"",G20,IF(J20&lt;&gt;"",J20,M20))),"▲",IF(IF(M20&lt;&gt;"",M20,IF(J20&lt;&gt;"",J20,IF(G20&lt;&gt;"",G20,IF(D20&lt;&gt;"",D20,""))))&lt;IF(D20&lt;&gt;"",D20,IF(G20&lt;&gt;"",G20,IF(J20&lt;&gt;"",J20,M20))),"▼","=")))</f>
        <v/>
      </c>
    </row>
    <row r="21">
      <c r="A21" s="15">
        <f>IF(Produits!$A$19="","",Produits!$A$19)</f>
        <v/>
      </c>
      <c r="B21" s="16">
        <f>IF(Produits!$A$19="","",Produits!$B$19)</f>
        <v/>
      </c>
      <c r="C21" s="17">
        <f>IF(Produits!$A$19="","",Produits!$C$19)</f>
        <v/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8">
        <f>IF(COUNT(E21,H21,K21,N21)=0,"",SUM(E21,H21,K21,N21))</f>
        <v/>
      </c>
      <c r="Q21" s="18">
        <f>IF(COUNT(F21,I21,L21,O21)=0,"",SUM(F21,I21,L21,O21))</f>
        <v/>
      </c>
      <c r="R21" s="18">
        <f>IF(OR(P21="",Q21=""),"",Q21-P21)</f>
        <v/>
      </c>
      <c r="S21" s="18">
        <f>IF(M21&lt;&gt;"",M21,IF(J21&lt;&gt;"",J21,IF(G21&lt;&gt;"",G21,IF(D21&lt;&gt;"",D21,""))))</f>
        <v/>
      </c>
      <c r="T21" s="19">
        <f>IF(OR(D21="",MAX(D21,G21,J21,M21)=0),"",REPT("█",MAX(1,ROUND(D21/MAX(D21,G21,J21,M21)*6,0))))</f>
        <v/>
      </c>
      <c r="U21" s="19">
        <f>IF(OR(G21="",MAX(D21,G21,J21,M21)=0),"",REPT("█",MAX(1,ROUND(G21/MAX(D21,G21,J21,M21)*6,0))))</f>
        <v/>
      </c>
      <c r="V21" s="19">
        <f>IF(OR(J21="",MAX(D21,G21,J21,M21)=0),"",REPT("█",MAX(1,ROUND(J21/MAX(D21,G21,J21,M21)*6,0))))</f>
        <v/>
      </c>
      <c r="W21" s="19">
        <f>IF(OR(M21="",MAX(D21,G21,J21,M21)=0),"",REPT("█",MAX(1,ROUND(M21/MAX(D21,G21,J21,M21)*6,0))))</f>
        <v/>
      </c>
      <c r="X21" s="18">
        <f>IF(COUNT(D21,G21,J21,M21)&lt;2,"",IF(IF(M21&lt;&gt;"",M21,IF(J21&lt;&gt;"",J21,IF(G21&lt;&gt;"",G21,IF(D21&lt;&gt;"",D21,""))))&gt;IF(D21&lt;&gt;"",D21,IF(G21&lt;&gt;"",G21,IF(J21&lt;&gt;"",J21,M21))),"▲",IF(IF(M21&lt;&gt;"",M21,IF(J21&lt;&gt;"",J21,IF(G21&lt;&gt;"",G21,IF(D21&lt;&gt;"",D21,""))))&lt;IF(D21&lt;&gt;"",D21,IF(G21&lt;&gt;"",G21,IF(J21&lt;&gt;"",J21,M21))),"▼","=")))</f>
        <v/>
      </c>
    </row>
    <row r="22">
      <c r="A22" s="15">
        <f>IF(Produits!$A$20="","",Produits!$A$20)</f>
        <v/>
      </c>
      <c r="B22" s="16">
        <f>IF(Produits!$A$20="","",Produits!$B$20)</f>
        <v/>
      </c>
      <c r="C22" s="17">
        <f>IF(Produits!$A$20="","",Produits!$C$20)</f>
        <v/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8">
        <f>IF(COUNT(E22,H22,K22,N22)=0,"",SUM(E22,H22,K22,N22))</f>
        <v/>
      </c>
      <c r="Q22" s="18">
        <f>IF(COUNT(F22,I22,L22,O22)=0,"",SUM(F22,I22,L22,O22))</f>
        <v/>
      </c>
      <c r="R22" s="18">
        <f>IF(OR(P22="",Q22=""),"",Q22-P22)</f>
        <v/>
      </c>
      <c r="S22" s="18">
        <f>IF(M22&lt;&gt;"",M22,IF(J22&lt;&gt;"",J22,IF(G22&lt;&gt;"",G22,IF(D22&lt;&gt;"",D22,""))))</f>
        <v/>
      </c>
      <c r="T22" s="19">
        <f>IF(OR(D22="",MAX(D22,G22,J22,M22)=0),"",REPT("█",MAX(1,ROUND(D22/MAX(D22,G22,J22,M22)*6,0))))</f>
        <v/>
      </c>
      <c r="U22" s="19">
        <f>IF(OR(G22="",MAX(D22,G22,J22,M22)=0),"",REPT("█",MAX(1,ROUND(G22/MAX(D22,G22,J22,M22)*6,0))))</f>
        <v/>
      </c>
      <c r="V22" s="19">
        <f>IF(OR(J22="",MAX(D22,G22,J22,M22)=0),"",REPT("█",MAX(1,ROUND(J22/MAX(D22,G22,J22,M22)*6,0))))</f>
        <v/>
      </c>
      <c r="W22" s="19">
        <f>IF(OR(M22="",MAX(D22,G22,J22,M22)=0),"",REPT("█",MAX(1,ROUND(M22/MAX(D22,G22,J22,M22)*6,0))))</f>
        <v/>
      </c>
      <c r="X22" s="18">
        <f>IF(COUNT(D22,G22,J22,M22)&lt;2,"",IF(IF(M22&lt;&gt;"",M22,IF(J22&lt;&gt;"",J22,IF(G22&lt;&gt;"",G22,IF(D22&lt;&gt;"",D22,""))))&gt;IF(D22&lt;&gt;"",D22,IF(G22&lt;&gt;"",G22,IF(J22&lt;&gt;"",J22,M22))),"▲",IF(IF(M22&lt;&gt;"",M22,IF(J22&lt;&gt;"",J22,IF(G22&lt;&gt;"",G22,IF(D22&lt;&gt;"",D22,""))))&lt;IF(D22&lt;&gt;"",D22,IF(G22&lt;&gt;"",G22,IF(J22&lt;&gt;"",J22,M22))),"▼","=")))</f>
        <v/>
      </c>
    </row>
    <row r="23">
      <c r="A23" s="15">
        <f>IF(Produits!$A$21="","",Produits!$A$21)</f>
        <v/>
      </c>
      <c r="B23" s="16">
        <f>IF(Produits!$A$21="","",Produits!$B$21)</f>
        <v/>
      </c>
      <c r="C23" s="17">
        <f>IF(Produits!$A$21="","",Produits!$C$21)</f>
        <v/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8">
        <f>IF(COUNT(E23,H23,K23,N23)=0,"",SUM(E23,H23,K23,N23))</f>
        <v/>
      </c>
      <c r="Q23" s="18">
        <f>IF(COUNT(F23,I23,L23,O23)=0,"",SUM(F23,I23,L23,O23))</f>
        <v/>
      </c>
      <c r="R23" s="18">
        <f>IF(OR(P23="",Q23=""),"",Q23-P23)</f>
        <v/>
      </c>
      <c r="S23" s="18">
        <f>IF(M23&lt;&gt;"",M23,IF(J23&lt;&gt;"",J23,IF(G23&lt;&gt;"",G23,IF(D23&lt;&gt;"",D23,""))))</f>
        <v/>
      </c>
      <c r="T23" s="19">
        <f>IF(OR(D23="",MAX(D23,G23,J23,M23)=0),"",REPT("█",MAX(1,ROUND(D23/MAX(D23,G23,J23,M23)*6,0))))</f>
        <v/>
      </c>
      <c r="U23" s="19">
        <f>IF(OR(G23="",MAX(D23,G23,J23,M23)=0),"",REPT("█",MAX(1,ROUND(G23/MAX(D23,G23,J23,M23)*6,0))))</f>
        <v/>
      </c>
      <c r="V23" s="19">
        <f>IF(OR(J23="",MAX(D23,G23,J23,M23)=0),"",REPT("█",MAX(1,ROUND(J23/MAX(D23,G23,J23,M23)*6,0))))</f>
        <v/>
      </c>
      <c r="W23" s="19">
        <f>IF(OR(M23="",MAX(D23,G23,J23,M23)=0),"",REPT("█",MAX(1,ROUND(M23/MAX(D23,G23,J23,M23)*6,0))))</f>
        <v/>
      </c>
      <c r="X23" s="18">
        <f>IF(COUNT(D23,G23,J23,M23)&lt;2,"",IF(IF(M23&lt;&gt;"",M23,IF(J23&lt;&gt;"",J23,IF(G23&lt;&gt;"",G23,IF(D23&lt;&gt;"",D23,""))))&gt;IF(D23&lt;&gt;"",D23,IF(G23&lt;&gt;"",G23,IF(J23&lt;&gt;"",J23,M23))),"▲",IF(IF(M23&lt;&gt;"",M23,IF(J23&lt;&gt;"",J23,IF(G23&lt;&gt;"",G23,IF(D23&lt;&gt;"",D23,""))))&lt;IF(D23&lt;&gt;"",D23,IF(G23&lt;&gt;"",G23,IF(J23&lt;&gt;"",J23,M23))),"▼","=")))</f>
        <v/>
      </c>
    </row>
    <row r="24">
      <c r="A24" s="15">
        <f>IF(Produits!$A$22="","",Produits!$A$22)</f>
        <v/>
      </c>
      <c r="B24" s="16">
        <f>IF(Produits!$A$22="","",Produits!$B$22)</f>
        <v/>
      </c>
      <c r="C24" s="17">
        <f>IF(Produits!$A$22="","",Produits!$C$22)</f>
        <v/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8">
        <f>IF(COUNT(E24,H24,K24,N24)=0,"",SUM(E24,H24,K24,N24))</f>
        <v/>
      </c>
      <c r="Q24" s="18">
        <f>IF(COUNT(F24,I24,L24,O24)=0,"",SUM(F24,I24,L24,O24))</f>
        <v/>
      </c>
      <c r="R24" s="18">
        <f>IF(OR(P24="",Q24=""),"",Q24-P24)</f>
        <v/>
      </c>
      <c r="S24" s="18">
        <f>IF(M24&lt;&gt;"",M24,IF(J24&lt;&gt;"",J24,IF(G24&lt;&gt;"",G24,IF(D24&lt;&gt;"",D24,""))))</f>
        <v/>
      </c>
      <c r="T24" s="19">
        <f>IF(OR(D24="",MAX(D24,G24,J24,M24)=0),"",REPT("█",MAX(1,ROUND(D24/MAX(D24,G24,J24,M24)*6,0))))</f>
        <v/>
      </c>
      <c r="U24" s="19">
        <f>IF(OR(G24="",MAX(D24,G24,J24,M24)=0),"",REPT("█",MAX(1,ROUND(G24/MAX(D24,G24,J24,M24)*6,0))))</f>
        <v/>
      </c>
      <c r="V24" s="19">
        <f>IF(OR(J24="",MAX(D24,G24,J24,M24)=0),"",REPT("█",MAX(1,ROUND(J24/MAX(D24,G24,J24,M24)*6,0))))</f>
        <v/>
      </c>
      <c r="W24" s="19">
        <f>IF(OR(M24="",MAX(D24,G24,J24,M24)=0),"",REPT("█",MAX(1,ROUND(M24/MAX(D24,G24,J24,M24)*6,0))))</f>
        <v/>
      </c>
      <c r="X24" s="18">
        <f>IF(COUNT(D24,G24,J24,M24)&lt;2,"",IF(IF(M24&lt;&gt;"",M24,IF(J24&lt;&gt;"",J24,IF(G24&lt;&gt;"",G24,IF(D24&lt;&gt;"",D24,""))))&gt;IF(D24&lt;&gt;"",D24,IF(G24&lt;&gt;"",G24,IF(J24&lt;&gt;"",J24,M24))),"▲",IF(IF(M24&lt;&gt;"",M24,IF(J24&lt;&gt;"",J24,IF(G24&lt;&gt;"",G24,IF(D24&lt;&gt;"",D24,""))))&lt;IF(D24&lt;&gt;"",D24,IF(G24&lt;&gt;"",G24,IF(J24&lt;&gt;"",J24,M24))),"▼","=")))</f>
        <v/>
      </c>
    </row>
    <row r="25">
      <c r="A25" s="15">
        <f>IF(Produits!$A$23="","",Produits!$A$23)</f>
        <v/>
      </c>
      <c r="B25" s="16">
        <f>IF(Produits!$A$23="","",Produits!$B$23)</f>
        <v/>
      </c>
      <c r="C25" s="17">
        <f>IF(Produits!$A$23="","",Produits!$C$23)</f>
        <v/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8">
        <f>IF(COUNT(E25,H25,K25,N25)=0,"",SUM(E25,H25,K25,N25))</f>
        <v/>
      </c>
      <c r="Q25" s="18">
        <f>IF(COUNT(F25,I25,L25,O25)=0,"",SUM(F25,I25,L25,O25))</f>
        <v/>
      </c>
      <c r="R25" s="18">
        <f>IF(OR(P25="",Q25=""),"",Q25-P25)</f>
        <v/>
      </c>
      <c r="S25" s="18">
        <f>IF(M25&lt;&gt;"",M25,IF(J25&lt;&gt;"",J25,IF(G25&lt;&gt;"",G25,IF(D25&lt;&gt;"",D25,""))))</f>
        <v/>
      </c>
      <c r="T25" s="19">
        <f>IF(OR(D25="",MAX(D25,G25,J25,M25)=0),"",REPT("█",MAX(1,ROUND(D25/MAX(D25,G25,J25,M25)*6,0))))</f>
        <v/>
      </c>
      <c r="U25" s="19">
        <f>IF(OR(G25="",MAX(D25,G25,J25,M25)=0),"",REPT("█",MAX(1,ROUND(G25/MAX(D25,G25,J25,M25)*6,0))))</f>
        <v/>
      </c>
      <c r="V25" s="19">
        <f>IF(OR(J25="",MAX(D25,G25,J25,M25)=0),"",REPT("█",MAX(1,ROUND(J25/MAX(D25,G25,J25,M25)*6,0))))</f>
        <v/>
      </c>
      <c r="W25" s="19">
        <f>IF(OR(M25="",MAX(D25,G25,J25,M25)=0),"",REPT("█",MAX(1,ROUND(M25/MAX(D25,G25,J25,M25)*6,0))))</f>
        <v/>
      </c>
      <c r="X25" s="18">
        <f>IF(COUNT(D25,G25,J25,M25)&lt;2,"",IF(IF(M25&lt;&gt;"",M25,IF(J25&lt;&gt;"",J25,IF(G25&lt;&gt;"",G25,IF(D25&lt;&gt;"",D25,""))))&gt;IF(D25&lt;&gt;"",D25,IF(G25&lt;&gt;"",G25,IF(J25&lt;&gt;"",J25,M25))),"▲",IF(IF(M25&lt;&gt;"",M25,IF(J25&lt;&gt;"",J25,IF(G25&lt;&gt;"",G25,IF(D25&lt;&gt;"",D25,""))))&lt;IF(D25&lt;&gt;"",D25,IF(G25&lt;&gt;"",G25,IF(J25&lt;&gt;"",J25,M25))),"▼","=")))</f>
        <v/>
      </c>
    </row>
    <row r="26">
      <c r="A26" s="15">
        <f>IF(Produits!$A$24="","",Produits!$A$24)</f>
        <v/>
      </c>
      <c r="B26" s="16">
        <f>IF(Produits!$A$24="","",Produits!$B$24)</f>
        <v/>
      </c>
      <c r="C26" s="17">
        <f>IF(Produits!$A$24="","",Produits!$C$24)</f>
        <v/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8">
        <f>IF(COUNT(E26,H26,K26,N26)=0,"",SUM(E26,H26,K26,N26))</f>
        <v/>
      </c>
      <c r="Q26" s="18">
        <f>IF(COUNT(F26,I26,L26,O26)=0,"",SUM(F26,I26,L26,O26))</f>
        <v/>
      </c>
      <c r="R26" s="18">
        <f>IF(OR(P26="",Q26=""),"",Q26-P26)</f>
        <v/>
      </c>
      <c r="S26" s="18">
        <f>IF(M26&lt;&gt;"",M26,IF(J26&lt;&gt;"",J26,IF(G26&lt;&gt;"",G26,IF(D26&lt;&gt;"",D26,""))))</f>
        <v/>
      </c>
      <c r="T26" s="19">
        <f>IF(OR(D26="",MAX(D26,G26,J26,M26)=0),"",REPT("█",MAX(1,ROUND(D26/MAX(D26,G26,J26,M26)*6,0))))</f>
        <v/>
      </c>
      <c r="U26" s="19">
        <f>IF(OR(G26="",MAX(D26,G26,J26,M26)=0),"",REPT("█",MAX(1,ROUND(G26/MAX(D26,G26,J26,M26)*6,0))))</f>
        <v/>
      </c>
      <c r="V26" s="19">
        <f>IF(OR(J26="",MAX(D26,G26,J26,M26)=0),"",REPT("█",MAX(1,ROUND(J26/MAX(D26,G26,J26,M26)*6,0))))</f>
        <v/>
      </c>
      <c r="W26" s="19">
        <f>IF(OR(M26="",MAX(D26,G26,J26,M26)=0),"",REPT("█",MAX(1,ROUND(M26/MAX(D26,G26,J26,M26)*6,0))))</f>
        <v/>
      </c>
      <c r="X26" s="18">
        <f>IF(COUNT(D26,G26,J26,M26)&lt;2,"",IF(IF(M26&lt;&gt;"",M26,IF(J26&lt;&gt;"",J26,IF(G26&lt;&gt;"",G26,IF(D26&lt;&gt;"",D26,""))))&gt;IF(D26&lt;&gt;"",D26,IF(G26&lt;&gt;"",G26,IF(J26&lt;&gt;"",J26,M26))),"▲",IF(IF(M26&lt;&gt;"",M26,IF(J26&lt;&gt;"",J26,IF(G26&lt;&gt;"",G26,IF(D26&lt;&gt;"",D26,""))))&lt;IF(D26&lt;&gt;"",D26,IF(G26&lt;&gt;"",G26,IF(J26&lt;&gt;"",J26,M26))),"▼","=")))</f>
        <v/>
      </c>
    </row>
    <row r="27">
      <c r="A27" s="15">
        <f>IF(Produits!$A$25="","",Produits!$A$25)</f>
        <v/>
      </c>
      <c r="B27" s="16">
        <f>IF(Produits!$A$25="","",Produits!$B$25)</f>
        <v/>
      </c>
      <c r="C27" s="17">
        <f>IF(Produits!$A$25="","",Produits!$C$25)</f>
        <v/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8">
        <f>IF(COUNT(E27,H27,K27,N27)=0,"",SUM(E27,H27,K27,N27))</f>
        <v/>
      </c>
      <c r="Q27" s="18">
        <f>IF(COUNT(F27,I27,L27,O27)=0,"",SUM(F27,I27,L27,O27))</f>
        <v/>
      </c>
      <c r="R27" s="18">
        <f>IF(OR(P27="",Q27=""),"",Q27-P27)</f>
        <v/>
      </c>
      <c r="S27" s="18">
        <f>IF(M27&lt;&gt;"",M27,IF(J27&lt;&gt;"",J27,IF(G27&lt;&gt;"",G27,IF(D27&lt;&gt;"",D27,""))))</f>
        <v/>
      </c>
      <c r="T27" s="19">
        <f>IF(OR(D27="",MAX(D27,G27,J27,M27)=0),"",REPT("█",MAX(1,ROUND(D27/MAX(D27,G27,J27,M27)*6,0))))</f>
        <v/>
      </c>
      <c r="U27" s="19">
        <f>IF(OR(G27="",MAX(D27,G27,J27,M27)=0),"",REPT("█",MAX(1,ROUND(G27/MAX(D27,G27,J27,M27)*6,0))))</f>
        <v/>
      </c>
      <c r="V27" s="19">
        <f>IF(OR(J27="",MAX(D27,G27,J27,M27)=0),"",REPT("█",MAX(1,ROUND(J27/MAX(D27,G27,J27,M27)*6,0))))</f>
        <v/>
      </c>
      <c r="W27" s="19">
        <f>IF(OR(M27="",MAX(D27,G27,J27,M27)=0),"",REPT("█",MAX(1,ROUND(M27/MAX(D27,G27,J27,M27)*6,0))))</f>
        <v/>
      </c>
      <c r="X27" s="18">
        <f>IF(COUNT(D27,G27,J27,M27)&lt;2,"",IF(IF(M27&lt;&gt;"",M27,IF(J27&lt;&gt;"",J27,IF(G27&lt;&gt;"",G27,IF(D27&lt;&gt;"",D27,""))))&gt;IF(D27&lt;&gt;"",D27,IF(G27&lt;&gt;"",G27,IF(J27&lt;&gt;"",J27,M27))),"▲",IF(IF(M27&lt;&gt;"",M27,IF(J27&lt;&gt;"",J27,IF(G27&lt;&gt;"",G27,IF(D27&lt;&gt;"",D27,""))))&lt;IF(D27&lt;&gt;"",D27,IF(G27&lt;&gt;"",G27,IF(J27&lt;&gt;"",J27,M27))),"▼","=")))</f>
        <v/>
      </c>
    </row>
    <row r="28">
      <c r="A28" s="15">
        <f>IF(Produits!$A$26="","",Produits!$A$26)</f>
        <v/>
      </c>
      <c r="B28" s="16">
        <f>IF(Produits!$A$26="","",Produits!$B$26)</f>
        <v/>
      </c>
      <c r="C28" s="17">
        <f>IF(Produits!$A$26="","",Produits!$C$26)</f>
        <v/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8">
        <f>IF(COUNT(E28,H28,K28,N28)=0,"",SUM(E28,H28,K28,N28))</f>
        <v/>
      </c>
      <c r="Q28" s="18">
        <f>IF(COUNT(F28,I28,L28,O28)=0,"",SUM(F28,I28,L28,O28))</f>
        <v/>
      </c>
      <c r="R28" s="18">
        <f>IF(OR(P28="",Q28=""),"",Q28-P28)</f>
        <v/>
      </c>
      <c r="S28" s="18">
        <f>IF(M28&lt;&gt;"",M28,IF(J28&lt;&gt;"",J28,IF(G28&lt;&gt;"",G28,IF(D28&lt;&gt;"",D28,""))))</f>
        <v/>
      </c>
      <c r="T28" s="19">
        <f>IF(OR(D28="",MAX(D28,G28,J28,M28)=0),"",REPT("█",MAX(1,ROUND(D28/MAX(D28,G28,J28,M28)*6,0))))</f>
        <v/>
      </c>
      <c r="U28" s="19">
        <f>IF(OR(G28="",MAX(D28,G28,J28,M28)=0),"",REPT("█",MAX(1,ROUND(G28/MAX(D28,G28,J28,M28)*6,0))))</f>
        <v/>
      </c>
      <c r="V28" s="19">
        <f>IF(OR(J28="",MAX(D28,G28,J28,M28)=0),"",REPT("█",MAX(1,ROUND(J28/MAX(D28,G28,J28,M28)*6,0))))</f>
        <v/>
      </c>
      <c r="W28" s="19">
        <f>IF(OR(M28="",MAX(D28,G28,J28,M28)=0),"",REPT("█",MAX(1,ROUND(M28/MAX(D28,G28,J28,M28)*6,0))))</f>
        <v/>
      </c>
      <c r="X28" s="18">
        <f>IF(COUNT(D28,G28,J28,M28)&lt;2,"",IF(IF(M28&lt;&gt;"",M28,IF(J28&lt;&gt;"",J28,IF(G28&lt;&gt;"",G28,IF(D28&lt;&gt;"",D28,""))))&gt;IF(D28&lt;&gt;"",D28,IF(G28&lt;&gt;"",G28,IF(J28&lt;&gt;"",J28,M28))),"▲",IF(IF(M28&lt;&gt;"",M28,IF(J28&lt;&gt;"",J28,IF(G28&lt;&gt;"",G28,IF(D28&lt;&gt;"",D28,""))))&lt;IF(D28&lt;&gt;"",D28,IF(G28&lt;&gt;"",G28,IF(J28&lt;&gt;"",J28,M28))),"▼","=")))</f>
        <v/>
      </c>
    </row>
    <row r="29">
      <c r="A29" s="15">
        <f>IF(Produits!$A$27="","",Produits!$A$27)</f>
        <v/>
      </c>
      <c r="B29" s="16">
        <f>IF(Produits!$A$27="","",Produits!$B$27)</f>
        <v/>
      </c>
      <c r="C29" s="17">
        <f>IF(Produits!$A$27="","",Produits!$C$27)</f>
        <v/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8">
        <f>IF(COUNT(E29,H29,K29,N29)=0,"",SUM(E29,H29,K29,N29))</f>
        <v/>
      </c>
      <c r="Q29" s="18">
        <f>IF(COUNT(F29,I29,L29,O29)=0,"",SUM(F29,I29,L29,O29))</f>
        <v/>
      </c>
      <c r="R29" s="18">
        <f>IF(OR(P29="",Q29=""),"",Q29-P29)</f>
        <v/>
      </c>
      <c r="S29" s="18">
        <f>IF(M29&lt;&gt;"",M29,IF(J29&lt;&gt;"",J29,IF(G29&lt;&gt;"",G29,IF(D29&lt;&gt;"",D29,""))))</f>
        <v/>
      </c>
      <c r="T29" s="19">
        <f>IF(OR(D29="",MAX(D29,G29,J29,M29)=0),"",REPT("█",MAX(1,ROUND(D29/MAX(D29,G29,J29,M29)*6,0))))</f>
        <v/>
      </c>
      <c r="U29" s="19">
        <f>IF(OR(G29="",MAX(D29,G29,J29,M29)=0),"",REPT("█",MAX(1,ROUND(G29/MAX(D29,G29,J29,M29)*6,0))))</f>
        <v/>
      </c>
      <c r="V29" s="19">
        <f>IF(OR(J29="",MAX(D29,G29,J29,M29)=0),"",REPT("█",MAX(1,ROUND(J29/MAX(D29,G29,J29,M29)*6,0))))</f>
        <v/>
      </c>
      <c r="W29" s="19">
        <f>IF(OR(M29="",MAX(D29,G29,J29,M29)=0),"",REPT("█",MAX(1,ROUND(M29/MAX(D29,G29,J29,M29)*6,0))))</f>
        <v/>
      </c>
      <c r="X29" s="18">
        <f>IF(COUNT(D29,G29,J29,M29)&lt;2,"",IF(IF(M29&lt;&gt;"",M29,IF(J29&lt;&gt;"",J29,IF(G29&lt;&gt;"",G29,IF(D29&lt;&gt;"",D29,""))))&gt;IF(D29&lt;&gt;"",D29,IF(G29&lt;&gt;"",G29,IF(J29&lt;&gt;"",J29,M29))),"▲",IF(IF(M29&lt;&gt;"",M29,IF(J29&lt;&gt;"",J29,IF(G29&lt;&gt;"",G29,IF(D29&lt;&gt;"",D29,""))))&lt;IF(D29&lt;&gt;"",D29,IF(G29&lt;&gt;"",G29,IF(J29&lt;&gt;"",J29,M29))),"▼","=")))</f>
        <v/>
      </c>
    </row>
    <row r="30">
      <c r="A30" s="15">
        <f>IF(Produits!$A$28="","",Produits!$A$28)</f>
        <v/>
      </c>
      <c r="B30" s="16">
        <f>IF(Produits!$A$28="","",Produits!$B$28)</f>
        <v/>
      </c>
      <c r="C30" s="17">
        <f>IF(Produits!$A$28="","",Produits!$C$28)</f>
        <v/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8">
        <f>IF(COUNT(E30,H30,K30,N30)=0,"",SUM(E30,H30,K30,N30))</f>
        <v/>
      </c>
      <c r="Q30" s="18">
        <f>IF(COUNT(F30,I30,L30,O30)=0,"",SUM(F30,I30,L30,O30))</f>
        <v/>
      </c>
      <c r="R30" s="18">
        <f>IF(OR(P30="",Q30=""),"",Q30-P30)</f>
        <v/>
      </c>
      <c r="S30" s="18">
        <f>IF(M30&lt;&gt;"",M30,IF(J30&lt;&gt;"",J30,IF(G30&lt;&gt;"",G30,IF(D30&lt;&gt;"",D30,""))))</f>
        <v/>
      </c>
      <c r="T30" s="19">
        <f>IF(OR(D30="",MAX(D30,G30,J30,M30)=0),"",REPT("█",MAX(1,ROUND(D30/MAX(D30,G30,J30,M30)*6,0))))</f>
        <v/>
      </c>
      <c r="U30" s="19">
        <f>IF(OR(G30="",MAX(D30,G30,J30,M30)=0),"",REPT("█",MAX(1,ROUND(G30/MAX(D30,G30,J30,M30)*6,0))))</f>
        <v/>
      </c>
      <c r="V30" s="19">
        <f>IF(OR(J30="",MAX(D30,G30,J30,M30)=0),"",REPT("█",MAX(1,ROUND(J30/MAX(D30,G30,J30,M30)*6,0))))</f>
        <v/>
      </c>
      <c r="W30" s="19">
        <f>IF(OR(M30="",MAX(D30,G30,J30,M30)=0),"",REPT("█",MAX(1,ROUND(M30/MAX(D30,G30,J30,M30)*6,0))))</f>
        <v/>
      </c>
      <c r="X30" s="18">
        <f>IF(COUNT(D30,G30,J30,M30)&lt;2,"",IF(IF(M30&lt;&gt;"",M30,IF(J30&lt;&gt;"",J30,IF(G30&lt;&gt;"",G30,IF(D30&lt;&gt;"",D30,""))))&gt;IF(D30&lt;&gt;"",D30,IF(G30&lt;&gt;"",G30,IF(J30&lt;&gt;"",J30,M30))),"▲",IF(IF(M30&lt;&gt;"",M30,IF(J30&lt;&gt;"",J30,IF(G30&lt;&gt;"",G30,IF(D30&lt;&gt;"",D30,""))))&lt;IF(D30&lt;&gt;"",D30,IF(G30&lt;&gt;"",G30,IF(J30&lt;&gt;"",J30,M30))),"▼","=")))</f>
        <v/>
      </c>
    </row>
    <row r="31">
      <c r="A31" s="15">
        <f>IF(Produits!$A$29="","",Produits!$A$29)</f>
        <v/>
      </c>
      <c r="B31" s="16">
        <f>IF(Produits!$A$29="","",Produits!$B$29)</f>
        <v/>
      </c>
      <c r="C31" s="17">
        <f>IF(Produits!$A$29="","",Produits!$C$29)</f>
        <v/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8">
        <f>IF(COUNT(E31,H31,K31,N31)=0,"",SUM(E31,H31,K31,N31))</f>
        <v/>
      </c>
      <c r="Q31" s="18">
        <f>IF(COUNT(F31,I31,L31,O31)=0,"",SUM(F31,I31,L31,O31))</f>
        <v/>
      </c>
      <c r="R31" s="18">
        <f>IF(OR(P31="",Q31=""),"",Q31-P31)</f>
        <v/>
      </c>
      <c r="S31" s="18">
        <f>IF(M31&lt;&gt;"",M31,IF(J31&lt;&gt;"",J31,IF(G31&lt;&gt;"",G31,IF(D31&lt;&gt;"",D31,""))))</f>
        <v/>
      </c>
      <c r="T31" s="19">
        <f>IF(OR(D31="",MAX(D31,G31,J31,M31)=0),"",REPT("█",MAX(1,ROUND(D31/MAX(D31,G31,J31,M31)*6,0))))</f>
        <v/>
      </c>
      <c r="U31" s="19">
        <f>IF(OR(G31="",MAX(D31,G31,J31,M31)=0),"",REPT("█",MAX(1,ROUND(G31/MAX(D31,G31,J31,M31)*6,0))))</f>
        <v/>
      </c>
      <c r="V31" s="19">
        <f>IF(OR(J31="",MAX(D31,G31,J31,M31)=0),"",REPT("█",MAX(1,ROUND(J31/MAX(D31,G31,J31,M31)*6,0))))</f>
        <v/>
      </c>
      <c r="W31" s="19">
        <f>IF(OR(M31="",MAX(D31,G31,J31,M31)=0),"",REPT("█",MAX(1,ROUND(M31/MAX(D31,G31,J31,M31)*6,0))))</f>
        <v/>
      </c>
      <c r="X31" s="18">
        <f>IF(COUNT(D31,G31,J31,M31)&lt;2,"",IF(IF(M31&lt;&gt;"",M31,IF(J31&lt;&gt;"",J31,IF(G31&lt;&gt;"",G31,IF(D31&lt;&gt;"",D31,""))))&gt;IF(D31&lt;&gt;"",D31,IF(G31&lt;&gt;"",G31,IF(J31&lt;&gt;"",J31,M31))),"▲",IF(IF(M31&lt;&gt;"",M31,IF(J31&lt;&gt;"",J31,IF(G31&lt;&gt;"",G31,IF(D31&lt;&gt;"",D31,""))))&lt;IF(D31&lt;&gt;"",D31,IF(G31&lt;&gt;"",G31,IF(J31&lt;&gt;"",J31,M31))),"▼","=")))</f>
        <v/>
      </c>
    </row>
    <row r="32">
      <c r="A32" s="15">
        <f>IF(Produits!$A$30="","",Produits!$A$30)</f>
        <v/>
      </c>
      <c r="B32" s="16">
        <f>IF(Produits!$A$30="","",Produits!$B$30)</f>
        <v/>
      </c>
      <c r="C32" s="17">
        <f>IF(Produits!$A$30="","",Produits!$C$30)</f>
        <v/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8">
        <f>IF(COUNT(E32,H32,K32,N32)=0,"",SUM(E32,H32,K32,N32))</f>
        <v/>
      </c>
      <c r="Q32" s="18">
        <f>IF(COUNT(F32,I32,L32,O32)=0,"",SUM(F32,I32,L32,O32))</f>
        <v/>
      </c>
      <c r="R32" s="18">
        <f>IF(OR(P32="",Q32=""),"",Q32-P32)</f>
        <v/>
      </c>
      <c r="S32" s="18">
        <f>IF(M32&lt;&gt;"",M32,IF(J32&lt;&gt;"",J32,IF(G32&lt;&gt;"",G32,IF(D32&lt;&gt;"",D32,""))))</f>
        <v/>
      </c>
      <c r="T32" s="19">
        <f>IF(OR(D32="",MAX(D32,G32,J32,M32)=0),"",REPT("█",MAX(1,ROUND(D32/MAX(D32,G32,J32,M32)*6,0))))</f>
        <v/>
      </c>
      <c r="U32" s="19">
        <f>IF(OR(G32="",MAX(D32,G32,J32,M32)=0),"",REPT("█",MAX(1,ROUND(G32/MAX(D32,G32,J32,M32)*6,0))))</f>
        <v/>
      </c>
      <c r="V32" s="19">
        <f>IF(OR(J32="",MAX(D32,G32,J32,M32)=0),"",REPT("█",MAX(1,ROUND(J32/MAX(D32,G32,J32,M32)*6,0))))</f>
        <v/>
      </c>
      <c r="W32" s="19">
        <f>IF(OR(M32="",MAX(D32,G32,J32,M32)=0),"",REPT("█",MAX(1,ROUND(M32/MAX(D32,G32,J32,M32)*6,0))))</f>
        <v/>
      </c>
      <c r="X32" s="18">
        <f>IF(COUNT(D32,G32,J32,M32)&lt;2,"",IF(IF(M32&lt;&gt;"",M32,IF(J32&lt;&gt;"",J32,IF(G32&lt;&gt;"",G32,IF(D32&lt;&gt;"",D32,""))))&gt;IF(D32&lt;&gt;"",D32,IF(G32&lt;&gt;"",G32,IF(J32&lt;&gt;"",J32,M32))),"▲",IF(IF(M32&lt;&gt;"",M32,IF(J32&lt;&gt;"",J32,IF(G32&lt;&gt;"",G32,IF(D32&lt;&gt;"",D32,""))))&lt;IF(D32&lt;&gt;"",D32,IF(G32&lt;&gt;"",G32,IF(J32&lt;&gt;"",J32,M32))),"▼","=")))</f>
        <v/>
      </c>
    </row>
    <row r="33">
      <c r="A33" s="15">
        <f>IF(Produits!$A$31="","",Produits!$A$31)</f>
        <v/>
      </c>
      <c r="B33" s="16">
        <f>IF(Produits!$A$31="","",Produits!$B$31)</f>
        <v/>
      </c>
      <c r="C33" s="17">
        <f>IF(Produits!$A$31="","",Produits!$C$31)</f>
        <v/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8">
        <f>IF(COUNT(E33,H33,K33,N33)=0,"",SUM(E33,H33,K33,N33))</f>
        <v/>
      </c>
      <c r="Q33" s="18">
        <f>IF(COUNT(F33,I33,L33,O33)=0,"",SUM(F33,I33,L33,O33))</f>
        <v/>
      </c>
      <c r="R33" s="18">
        <f>IF(OR(P33="",Q33=""),"",Q33-P33)</f>
        <v/>
      </c>
      <c r="S33" s="18">
        <f>IF(M33&lt;&gt;"",M33,IF(J33&lt;&gt;"",J33,IF(G33&lt;&gt;"",G33,IF(D33&lt;&gt;"",D33,""))))</f>
        <v/>
      </c>
      <c r="T33" s="19">
        <f>IF(OR(D33="",MAX(D33,G33,J33,M33)=0),"",REPT("█",MAX(1,ROUND(D33/MAX(D33,G33,J33,M33)*6,0))))</f>
        <v/>
      </c>
      <c r="U33" s="19">
        <f>IF(OR(G33="",MAX(D33,G33,J33,M33)=0),"",REPT("█",MAX(1,ROUND(G33/MAX(D33,G33,J33,M33)*6,0))))</f>
        <v/>
      </c>
      <c r="V33" s="19">
        <f>IF(OR(J33="",MAX(D33,G33,J33,M33)=0),"",REPT("█",MAX(1,ROUND(J33/MAX(D33,G33,J33,M33)*6,0))))</f>
        <v/>
      </c>
      <c r="W33" s="19">
        <f>IF(OR(M33="",MAX(D33,G33,J33,M33)=0),"",REPT("█",MAX(1,ROUND(M33/MAX(D33,G33,J33,M33)*6,0))))</f>
        <v/>
      </c>
      <c r="X33" s="18">
        <f>IF(COUNT(D33,G33,J33,M33)&lt;2,"",IF(IF(M33&lt;&gt;"",M33,IF(J33&lt;&gt;"",J33,IF(G33&lt;&gt;"",G33,IF(D33&lt;&gt;"",D33,""))))&gt;IF(D33&lt;&gt;"",D33,IF(G33&lt;&gt;"",G33,IF(J33&lt;&gt;"",J33,M33))),"▲",IF(IF(M33&lt;&gt;"",M33,IF(J33&lt;&gt;"",J33,IF(G33&lt;&gt;"",G33,IF(D33&lt;&gt;"",D33,""))))&lt;IF(D33&lt;&gt;"",D33,IF(G33&lt;&gt;"",G33,IF(J33&lt;&gt;"",J33,M33))),"▼","=")))</f>
        <v/>
      </c>
    </row>
    <row r="34">
      <c r="A34" s="15">
        <f>IF(Produits!$A$32="","",Produits!$A$32)</f>
        <v/>
      </c>
      <c r="B34" s="16">
        <f>IF(Produits!$A$32="","",Produits!$B$32)</f>
        <v/>
      </c>
      <c r="C34" s="17">
        <f>IF(Produits!$A$32="","",Produits!$C$32)</f>
        <v/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8">
        <f>IF(COUNT(E34,H34,K34,N34)=0,"",SUM(E34,H34,K34,N34))</f>
        <v/>
      </c>
      <c r="Q34" s="18">
        <f>IF(COUNT(F34,I34,L34,O34)=0,"",SUM(F34,I34,L34,O34))</f>
        <v/>
      </c>
      <c r="R34" s="18">
        <f>IF(OR(P34="",Q34=""),"",Q34-P34)</f>
        <v/>
      </c>
      <c r="S34" s="18">
        <f>IF(M34&lt;&gt;"",M34,IF(J34&lt;&gt;"",J34,IF(G34&lt;&gt;"",G34,IF(D34&lt;&gt;"",D34,""))))</f>
        <v/>
      </c>
      <c r="T34" s="19">
        <f>IF(OR(D34="",MAX(D34,G34,J34,M34)=0),"",REPT("█",MAX(1,ROUND(D34/MAX(D34,G34,J34,M34)*6,0))))</f>
        <v/>
      </c>
      <c r="U34" s="19">
        <f>IF(OR(G34="",MAX(D34,G34,J34,M34)=0),"",REPT("█",MAX(1,ROUND(G34/MAX(D34,G34,J34,M34)*6,0))))</f>
        <v/>
      </c>
      <c r="V34" s="19">
        <f>IF(OR(J34="",MAX(D34,G34,J34,M34)=0),"",REPT("█",MAX(1,ROUND(J34/MAX(D34,G34,J34,M34)*6,0))))</f>
        <v/>
      </c>
      <c r="W34" s="19">
        <f>IF(OR(M34="",MAX(D34,G34,J34,M34)=0),"",REPT("█",MAX(1,ROUND(M34/MAX(D34,G34,J34,M34)*6,0))))</f>
        <v/>
      </c>
      <c r="X34" s="18">
        <f>IF(COUNT(D34,G34,J34,M34)&lt;2,"",IF(IF(M34&lt;&gt;"",M34,IF(J34&lt;&gt;"",J34,IF(G34&lt;&gt;"",G34,IF(D34&lt;&gt;"",D34,""))))&gt;IF(D34&lt;&gt;"",D34,IF(G34&lt;&gt;"",G34,IF(J34&lt;&gt;"",J34,M34))),"▲",IF(IF(M34&lt;&gt;"",M34,IF(J34&lt;&gt;"",J34,IF(G34&lt;&gt;"",G34,IF(D34&lt;&gt;"",D34,""))))&lt;IF(D34&lt;&gt;"",D34,IF(G34&lt;&gt;"",G34,IF(J34&lt;&gt;"",J34,M34))),"▼","=")))</f>
        <v/>
      </c>
    </row>
    <row r="35">
      <c r="A35" s="15">
        <f>IF(Produits!$A$33="","",Produits!$A$33)</f>
        <v/>
      </c>
      <c r="B35" s="16">
        <f>IF(Produits!$A$33="","",Produits!$B$33)</f>
        <v/>
      </c>
      <c r="C35" s="17">
        <f>IF(Produits!$A$33="","",Produits!$C$33)</f>
        <v/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8">
        <f>IF(COUNT(E35,H35,K35,N35)=0,"",SUM(E35,H35,K35,N35))</f>
        <v/>
      </c>
      <c r="Q35" s="18">
        <f>IF(COUNT(F35,I35,L35,O35)=0,"",SUM(F35,I35,L35,O35))</f>
        <v/>
      </c>
      <c r="R35" s="18">
        <f>IF(OR(P35="",Q35=""),"",Q35-P35)</f>
        <v/>
      </c>
      <c r="S35" s="18">
        <f>IF(M35&lt;&gt;"",M35,IF(J35&lt;&gt;"",J35,IF(G35&lt;&gt;"",G35,IF(D35&lt;&gt;"",D35,""))))</f>
        <v/>
      </c>
      <c r="T35" s="19">
        <f>IF(OR(D35="",MAX(D35,G35,J35,M35)=0),"",REPT("█",MAX(1,ROUND(D35/MAX(D35,G35,J35,M35)*6,0))))</f>
        <v/>
      </c>
      <c r="U35" s="19">
        <f>IF(OR(G35="",MAX(D35,G35,J35,M35)=0),"",REPT("█",MAX(1,ROUND(G35/MAX(D35,G35,J35,M35)*6,0))))</f>
        <v/>
      </c>
      <c r="V35" s="19">
        <f>IF(OR(J35="",MAX(D35,G35,J35,M35)=0),"",REPT("█",MAX(1,ROUND(J35/MAX(D35,G35,J35,M35)*6,0))))</f>
        <v/>
      </c>
      <c r="W35" s="19">
        <f>IF(OR(M35="",MAX(D35,G35,J35,M35)=0),"",REPT("█",MAX(1,ROUND(M35/MAX(D35,G35,J35,M35)*6,0))))</f>
        <v/>
      </c>
      <c r="X35" s="18">
        <f>IF(COUNT(D35,G35,J35,M35)&lt;2,"",IF(IF(M35&lt;&gt;"",M35,IF(J35&lt;&gt;"",J35,IF(G35&lt;&gt;"",G35,IF(D35&lt;&gt;"",D35,""))))&gt;IF(D35&lt;&gt;"",D35,IF(G35&lt;&gt;"",G35,IF(J35&lt;&gt;"",J35,M35))),"▲",IF(IF(M35&lt;&gt;"",M35,IF(J35&lt;&gt;"",J35,IF(G35&lt;&gt;"",G35,IF(D35&lt;&gt;"",D35,""))))&lt;IF(D35&lt;&gt;"",D35,IF(G35&lt;&gt;"",G35,IF(J35&lt;&gt;"",J35,M35))),"▼","=")))</f>
        <v/>
      </c>
    </row>
    <row r="36">
      <c r="A36" s="15">
        <f>IF(Produits!$A$34="","",Produits!$A$34)</f>
        <v/>
      </c>
      <c r="B36" s="16">
        <f>IF(Produits!$A$34="","",Produits!$B$34)</f>
        <v/>
      </c>
      <c r="C36" s="17">
        <f>IF(Produits!$A$34="","",Produits!$C$34)</f>
        <v/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8">
        <f>IF(COUNT(E36,H36,K36,N36)=0,"",SUM(E36,H36,K36,N36))</f>
        <v/>
      </c>
      <c r="Q36" s="18">
        <f>IF(COUNT(F36,I36,L36,O36)=0,"",SUM(F36,I36,L36,O36))</f>
        <v/>
      </c>
      <c r="R36" s="18">
        <f>IF(OR(P36="",Q36=""),"",Q36-P36)</f>
        <v/>
      </c>
      <c r="S36" s="18">
        <f>IF(M36&lt;&gt;"",M36,IF(J36&lt;&gt;"",J36,IF(G36&lt;&gt;"",G36,IF(D36&lt;&gt;"",D36,""))))</f>
        <v/>
      </c>
      <c r="T36" s="19">
        <f>IF(OR(D36="",MAX(D36,G36,J36,M36)=0),"",REPT("█",MAX(1,ROUND(D36/MAX(D36,G36,J36,M36)*6,0))))</f>
        <v/>
      </c>
      <c r="U36" s="19">
        <f>IF(OR(G36="",MAX(D36,G36,J36,M36)=0),"",REPT("█",MAX(1,ROUND(G36/MAX(D36,G36,J36,M36)*6,0))))</f>
        <v/>
      </c>
      <c r="V36" s="19">
        <f>IF(OR(J36="",MAX(D36,G36,J36,M36)=0),"",REPT("█",MAX(1,ROUND(J36/MAX(D36,G36,J36,M36)*6,0))))</f>
        <v/>
      </c>
      <c r="W36" s="19">
        <f>IF(OR(M36="",MAX(D36,G36,J36,M36)=0),"",REPT("█",MAX(1,ROUND(M36/MAX(D36,G36,J36,M36)*6,0))))</f>
        <v/>
      </c>
      <c r="X36" s="18">
        <f>IF(COUNT(D36,G36,J36,M36)&lt;2,"",IF(IF(M36&lt;&gt;"",M36,IF(J36&lt;&gt;"",J36,IF(G36&lt;&gt;"",G36,IF(D36&lt;&gt;"",D36,""))))&gt;IF(D36&lt;&gt;"",D36,IF(G36&lt;&gt;"",G36,IF(J36&lt;&gt;"",J36,M36))),"▲",IF(IF(M36&lt;&gt;"",M36,IF(J36&lt;&gt;"",J36,IF(G36&lt;&gt;"",G36,IF(D36&lt;&gt;"",D36,""))))&lt;IF(D36&lt;&gt;"",D36,IF(G36&lt;&gt;"",G36,IF(J36&lt;&gt;"",J36,M36))),"▼","=")))</f>
        <v/>
      </c>
    </row>
    <row r="37">
      <c r="A37" s="15">
        <f>IF(Produits!$A$35="","",Produits!$A$35)</f>
        <v/>
      </c>
      <c r="B37" s="16">
        <f>IF(Produits!$A$35="","",Produits!$B$35)</f>
        <v/>
      </c>
      <c r="C37" s="17">
        <f>IF(Produits!$A$35="","",Produits!$C$35)</f>
        <v/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8">
        <f>IF(COUNT(E37,H37,K37,N37)=0,"",SUM(E37,H37,K37,N37))</f>
        <v/>
      </c>
      <c r="Q37" s="18">
        <f>IF(COUNT(F37,I37,L37,O37)=0,"",SUM(F37,I37,L37,O37))</f>
        <v/>
      </c>
      <c r="R37" s="18">
        <f>IF(OR(P37="",Q37=""),"",Q37-P37)</f>
        <v/>
      </c>
      <c r="S37" s="18">
        <f>IF(M37&lt;&gt;"",M37,IF(J37&lt;&gt;"",J37,IF(G37&lt;&gt;"",G37,IF(D37&lt;&gt;"",D37,""))))</f>
        <v/>
      </c>
      <c r="T37" s="19">
        <f>IF(OR(D37="",MAX(D37,G37,J37,M37)=0),"",REPT("█",MAX(1,ROUND(D37/MAX(D37,G37,J37,M37)*6,0))))</f>
        <v/>
      </c>
      <c r="U37" s="19">
        <f>IF(OR(G37="",MAX(D37,G37,J37,M37)=0),"",REPT("█",MAX(1,ROUND(G37/MAX(D37,G37,J37,M37)*6,0))))</f>
        <v/>
      </c>
      <c r="V37" s="19">
        <f>IF(OR(J37="",MAX(D37,G37,J37,M37)=0),"",REPT("█",MAX(1,ROUND(J37/MAX(D37,G37,J37,M37)*6,0))))</f>
        <v/>
      </c>
      <c r="W37" s="19">
        <f>IF(OR(M37="",MAX(D37,G37,J37,M37)=0),"",REPT("█",MAX(1,ROUND(M37/MAX(D37,G37,J37,M37)*6,0))))</f>
        <v/>
      </c>
      <c r="X37" s="18">
        <f>IF(COUNT(D37,G37,J37,M37)&lt;2,"",IF(IF(M37&lt;&gt;"",M37,IF(J37&lt;&gt;"",J37,IF(G37&lt;&gt;"",G37,IF(D37&lt;&gt;"",D37,""))))&gt;IF(D37&lt;&gt;"",D37,IF(G37&lt;&gt;"",G37,IF(J37&lt;&gt;"",J37,M37))),"▲",IF(IF(M37&lt;&gt;"",M37,IF(J37&lt;&gt;"",J37,IF(G37&lt;&gt;"",G37,IF(D37&lt;&gt;"",D37,""))))&lt;IF(D37&lt;&gt;"",D37,IF(G37&lt;&gt;"",G37,IF(J37&lt;&gt;"",J37,M37))),"▼","=")))</f>
        <v/>
      </c>
    </row>
    <row r="38">
      <c r="A38" s="15">
        <f>IF(Produits!$A$36="","",Produits!$A$36)</f>
        <v/>
      </c>
      <c r="B38" s="16">
        <f>IF(Produits!$A$36="","",Produits!$B$36)</f>
        <v/>
      </c>
      <c r="C38" s="17">
        <f>IF(Produits!$A$36="","",Produits!$C$36)</f>
        <v/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8">
        <f>IF(COUNT(E38,H38,K38,N38)=0,"",SUM(E38,H38,K38,N38))</f>
        <v/>
      </c>
      <c r="Q38" s="18">
        <f>IF(COUNT(F38,I38,L38,O38)=0,"",SUM(F38,I38,L38,O38))</f>
        <v/>
      </c>
      <c r="R38" s="18">
        <f>IF(OR(P38="",Q38=""),"",Q38-P38)</f>
        <v/>
      </c>
      <c r="S38" s="18">
        <f>IF(M38&lt;&gt;"",M38,IF(J38&lt;&gt;"",J38,IF(G38&lt;&gt;"",G38,IF(D38&lt;&gt;"",D38,""))))</f>
        <v/>
      </c>
      <c r="T38" s="19">
        <f>IF(OR(D38="",MAX(D38,G38,J38,M38)=0),"",REPT("█",MAX(1,ROUND(D38/MAX(D38,G38,J38,M38)*6,0))))</f>
        <v/>
      </c>
      <c r="U38" s="19">
        <f>IF(OR(G38="",MAX(D38,G38,J38,M38)=0),"",REPT("█",MAX(1,ROUND(G38/MAX(D38,G38,J38,M38)*6,0))))</f>
        <v/>
      </c>
      <c r="V38" s="19">
        <f>IF(OR(J38="",MAX(D38,G38,J38,M38)=0),"",REPT("█",MAX(1,ROUND(J38/MAX(D38,G38,J38,M38)*6,0))))</f>
        <v/>
      </c>
      <c r="W38" s="19">
        <f>IF(OR(M38="",MAX(D38,G38,J38,M38)=0),"",REPT("█",MAX(1,ROUND(M38/MAX(D38,G38,J38,M38)*6,0))))</f>
        <v/>
      </c>
      <c r="X38" s="18">
        <f>IF(COUNT(D38,G38,J38,M38)&lt;2,"",IF(IF(M38&lt;&gt;"",M38,IF(J38&lt;&gt;"",J38,IF(G38&lt;&gt;"",G38,IF(D38&lt;&gt;"",D38,""))))&gt;IF(D38&lt;&gt;"",D38,IF(G38&lt;&gt;"",G38,IF(J38&lt;&gt;"",J38,M38))),"▲",IF(IF(M38&lt;&gt;"",M38,IF(J38&lt;&gt;"",J38,IF(G38&lt;&gt;"",G38,IF(D38&lt;&gt;"",D38,""))))&lt;IF(D38&lt;&gt;"",D38,IF(G38&lt;&gt;"",G38,IF(J38&lt;&gt;"",J38,M38))),"▼","=")))</f>
        <v/>
      </c>
    </row>
    <row r="39">
      <c r="A39" s="15">
        <f>IF(Produits!$A$37="","",Produits!$A$37)</f>
        <v/>
      </c>
      <c r="B39" s="16">
        <f>IF(Produits!$A$37="","",Produits!$B$37)</f>
        <v/>
      </c>
      <c r="C39" s="17">
        <f>IF(Produits!$A$37="","",Produits!$C$37)</f>
        <v/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8">
        <f>IF(COUNT(E39,H39,K39,N39)=0,"",SUM(E39,H39,K39,N39))</f>
        <v/>
      </c>
      <c r="Q39" s="18">
        <f>IF(COUNT(F39,I39,L39,O39)=0,"",SUM(F39,I39,L39,O39))</f>
        <v/>
      </c>
      <c r="R39" s="18">
        <f>IF(OR(P39="",Q39=""),"",Q39-P39)</f>
        <v/>
      </c>
      <c r="S39" s="18">
        <f>IF(M39&lt;&gt;"",M39,IF(J39&lt;&gt;"",J39,IF(G39&lt;&gt;"",G39,IF(D39&lt;&gt;"",D39,""))))</f>
        <v/>
      </c>
      <c r="T39" s="19">
        <f>IF(OR(D39="",MAX(D39,G39,J39,M39)=0),"",REPT("█",MAX(1,ROUND(D39/MAX(D39,G39,J39,M39)*6,0))))</f>
        <v/>
      </c>
      <c r="U39" s="19">
        <f>IF(OR(G39="",MAX(D39,G39,J39,M39)=0),"",REPT("█",MAX(1,ROUND(G39/MAX(D39,G39,J39,M39)*6,0))))</f>
        <v/>
      </c>
      <c r="V39" s="19">
        <f>IF(OR(J39="",MAX(D39,G39,J39,M39)=0),"",REPT("█",MAX(1,ROUND(J39/MAX(D39,G39,J39,M39)*6,0))))</f>
        <v/>
      </c>
      <c r="W39" s="19">
        <f>IF(OR(M39="",MAX(D39,G39,J39,M39)=0),"",REPT("█",MAX(1,ROUND(M39/MAX(D39,G39,J39,M39)*6,0))))</f>
        <v/>
      </c>
      <c r="X39" s="18">
        <f>IF(COUNT(D39,G39,J39,M39)&lt;2,"",IF(IF(M39&lt;&gt;"",M39,IF(J39&lt;&gt;"",J39,IF(G39&lt;&gt;"",G39,IF(D39&lt;&gt;"",D39,""))))&gt;IF(D39&lt;&gt;"",D39,IF(G39&lt;&gt;"",G39,IF(J39&lt;&gt;"",J39,M39))),"▲",IF(IF(M39&lt;&gt;"",M39,IF(J39&lt;&gt;"",J39,IF(G39&lt;&gt;"",G39,IF(D39&lt;&gt;"",D39,""))))&lt;IF(D39&lt;&gt;"",D39,IF(G39&lt;&gt;"",G39,IF(J39&lt;&gt;"",J39,M39))),"▼","=")))</f>
        <v/>
      </c>
    </row>
    <row r="40">
      <c r="A40" s="15">
        <f>IF(Produits!$A$38="","",Produits!$A$38)</f>
        <v/>
      </c>
      <c r="B40" s="16">
        <f>IF(Produits!$A$38="","",Produits!$B$38)</f>
        <v/>
      </c>
      <c r="C40" s="17">
        <f>IF(Produits!$A$38="","",Produits!$C$38)</f>
        <v/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8">
        <f>IF(COUNT(E40,H40,K40,N40)=0,"",SUM(E40,H40,K40,N40))</f>
        <v/>
      </c>
      <c r="Q40" s="18">
        <f>IF(COUNT(F40,I40,L40,O40)=0,"",SUM(F40,I40,L40,O40))</f>
        <v/>
      </c>
      <c r="R40" s="18">
        <f>IF(OR(P40="",Q40=""),"",Q40-P40)</f>
        <v/>
      </c>
      <c r="S40" s="18">
        <f>IF(M40&lt;&gt;"",M40,IF(J40&lt;&gt;"",J40,IF(G40&lt;&gt;"",G40,IF(D40&lt;&gt;"",D40,""))))</f>
        <v/>
      </c>
      <c r="T40" s="19">
        <f>IF(OR(D40="",MAX(D40,G40,J40,M40)=0),"",REPT("█",MAX(1,ROUND(D40/MAX(D40,G40,J40,M40)*6,0))))</f>
        <v/>
      </c>
      <c r="U40" s="19">
        <f>IF(OR(G40="",MAX(D40,G40,J40,M40)=0),"",REPT("█",MAX(1,ROUND(G40/MAX(D40,G40,J40,M40)*6,0))))</f>
        <v/>
      </c>
      <c r="V40" s="19">
        <f>IF(OR(J40="",MAX(D40,G40,J40,M40)=0),"",REPT("█",MAX(1,ROUND(J40/MAX(D40,G40,J40,M40)*6,0))))</f>
        <v/>
      </c>
      <c r="W40" s="19">
        <f>IF(OR(M40="",MAX(D40,G40,J40,M40)=0),"",REPT("█",MAX(1,ROUND(M40/MAX(D40,G40,J40,M40)*6,0))))</f>
        <v/>
      </c>
      <c r="X40" s="18">
        <f>IF(COUNT(D40,G40,J40,M40)&lt;2,"",IF(IF(M40&lt;&gt;"",M40,IF(J40&lt;&gt;"",J40,IF(G40&lt;&gt;"",G40,IF(D40&lt;&gt;"",D40,""))))&gt;IF(D40&lt;&gt;"",D40,IF(G40&lt;&gt;"",G40,IF(J40&lt;&gt;"",J40,M40))),"▲",IF(IF(M40&lt;&gt;"",M40,IF(J40&lt;&gt;"",J40,IF(G40&lt;&gt;"",G40,IF(D40&lt;&gt;"",D40,""))))&lt;IF(D40&lt;&gt;"",D40,IF(G40&lt;&gt;"",G40,IF(J40&lt;&gt;"",J40,M40))),"▼","=")))</f>
        <v/>
      </c>
    </row>
    <row r="41">
      <c r="A41" s="15">
        <f>IF(Produits!$A$39="","",Produits!$A$39)</f>
        <v/>
      </c>
      <c r="B41" s="16">
        <f>IF(Produits!$A$39="","",Produits!$B$39)</f>
        <v/>
      </c>
      <c r="C41" s="17">
        <f>IF(Produits!$A$39="","",Produits!$C$39)</f>
        <v/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8">
        <f>IF(COUNT(E41,H41,K41,N41)=0,"",SUM(E41,H41,K41,N41))</f>
        <v/>
      </c>
      <c r="Q41" s="18">
        <f>IF(COUNT(F41,I41,L41,O41)=0,"",SUM(F41,I41,L41,O41))</f>
        <v/>
      </c>
      <c r="R41" s="18">
        <f>IF(OR(P41="",Q41=""),"",Q41-P41)</f>
        <v/>
      </c>
      <c r="S41" s="18">
        <f>IF(M41&lt;&gt;"",M41,IF(J41&lt;&gt;"",J41,IF(G41&lt;&gt;"",G41,IF(D41&lt;&gt;"",D41,""))))</f>
        <v/>
      </c>
      <c r="T41" s="19">
        <f>IF(OR(D41="",MAX(D41,G41,J41,M41)=0),"",REPT("█",MAX(1,ROUND(D41/MAX(D41,G41,J41,M41)*6,0))))</f>
        <v/>
      </c>
      <c r="U41" s="19">
        <f>IF(OR(G41="",MAX(D41,G41,J41,M41)=0),"",REPT("█",MAX(1,ROUND(G41/MAX(D41,G41,J41,M41)*6,0))))</f>
        <v/>
      </c>
      <c r="V41" s="19">
        <f>IF(OR(J41="",MAX(D41,G41,J41,M41)=0),"",REPT("█",MAX(1,ROUND(J41/MAX(D41,G41,J41,M41)*6,0))))</f>
        <v/>
      </c>
      <c r="W41" s="19">
        <f>IF(OR(M41="",MAX(D41,G41,J41,M41)=0),"",REPT("█",MAX(1,ROUND(M41/MAX(D41,G41,J41,M41)*6,0))))</f>
        <v/>
      </c>
      <c r="X41" s="18">
        <f>IF(COUNT(D41,G41,J41,M41)&lt;2,"",IF(IF(M41&lt;&gt;"",M41,IF(J41&lt;&gt;"",J41,IF(G41&lt;&gt;"",G41,IF(D41&lt;&gt;"",D41,""))))&gt;IF(D41&lt;&gt;"",D41,IF(G41&lt;&gt;"",G41,IF(J41&lt;&gt;"",J41,M41))),"▲",IF(IF(M41&lt;&gt;"",M41,IF(J41&lt;&gt;"",J41,IF(G41&lt;&gt;"",G41,IF(D41&lt;&gt;"",D41,""))))&lt;IF(D41&lt;&gt;"",D41,IF(G41&lt;&gt;"",G41,IF(J41&lt;&gt;"",J41,M41))),"▼","=")))</f>
        <v/>
      </c>
    </row>
    <row r="42">
      <c r="A42" s="15">
        <f>IF(Produits!$A$40="","",Produits!$A$40)</f>
        <v/>
      </c>
      <c r="B42" s="16">
        <f>IF(Produits!$A$40="","",Produits!$B$40)</f>
        <v/>
      </c>
      <c r="C42" s="17">
        <f>IF(Produits!$A$40="","",Produits!$C$40)</f>
        <v/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8">
        <f>IF(COUNT(E42,H42,K42,N42)=0,"",SUM(E42,H42,K42,N42))</f>
        <v/>
      </c>
      <c r="Q42" s="18">
        <f>IF(COUNT(F42,I42,L42,O42)=0,"",SUM(F42,I42,L42,O42))</f>
        <v/>
      </c>
      <c r="R42" s="18">
        <f>IF(OR(P42="",Q42=""),"",Q42-P42)</f>
        <v/>
      </c>
      <c r="S42" s="18">
        <f>IF(M42&lt;&gt;"",M42,IF(J42&lt;&gt;"",J42,IF(G42&lt;&gt;"",G42,IF(D42&lt;&gt;"",D42,""))))</f>
        <v/>
      </c>
      <c r="T42" s="19">
        <f>IF(OR(D42="",MAX(D42,G42,J42,M42)=0),"",REPT("█",MAX(1,ROUND(D42/MAX(D42,G42,J42,M42)*6,0))))</f>
        <v/>
      </c>
      <c r="U42" s="19">
        <f>IF(OR(G42="",MAX(D42,G42,J42,M42)=0),"",REPT("█",MAX(1,ROUND(G42/MAX(D42,G42,J42,M42)*6,0))))</f>
        <v/>
      </c>
      <c r="V42" s="19">
        <f>IF(OR(J42="",MAX(D42,G42,J42,M42)=0),"",REPT("█",MAX(1,ROUND(J42/MAX(D42,G42,J42,M42)*6,0))))</f>
        <v/>
      </c>
      <c r="W42" s="19">
        <f>IF(OR(M42="",MAX(D42,G42,J42,M42)=0),"",REPT("█",MAX(1,ROUND(M42/MAX(D42,G42,J42,M42)*6,0))))</f>
        <v/>
      </c>
      <c r="X42" s="18">
        <f>IF(COUNT(D42,G42,J42,M42)&lt;2,"",IF(IF(M42&lt;&gt;"",M42,IF(J42&lt;&gt;"",J42,IF(G42&lt;&gt;"",G42,IF(D42&lt;&gt;"",D42,""))))&gt;IF(D42&lt;&gt;"",D42,IF(G42&lt;&gt;"",G42,IF(J42&lt;&gt;"",J42,M42))),"▲",IF(IF(M42&lt;&gt;"",M42,IF(J42&lt;&gt;"",J42,IF(G42&lt;&gt;"",G42,IF(D42&lt;&gt;"",D42,""))))&lt;IF(D42&lt;&gt;"",D42,IF(G42&lt;&gt;"",G42,IF(J42&lt;&gt;"",J42,M42))),"▼","=")))</f>
        <v/>
      </c>
    </row>
    <row r="43">
      <c r="A43" s="15">
        <f>IF(Produits!$A$41="","",Produits!$A$41)</f>
        <v/>
      </c>
      <c r="B43" s="16">
        <f>IF(Produits!$A$41="","",Produits!$B$41)</f>
        <v/>
      </c>
      <c r="C43" s="17">
        <f>IF(Produits!$A$41="","",Produits!$C$41)</f>
        <v/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8">
        <f>IF(COUNT(E43,H43,K43,N43)=0,"",SUM(E43,H43,K43,N43))</f>
        <v/>
      </c>
      <c r="Q43" s="18">
        <f>IF(COUNT(F43,I43,L43,O43)=0,"",SUM(F43,I43,L43,O43))</f>
        <v/>
      </c>
      <c r="R43" s="18">
        <f>IF(OR(P43="",Q43=""),"",Q43-P43)</f>
        <v/>
      </c>
      <c r="S43" s="18">
        <f>IF(M43&lt;&gt;"",M43,IF(J43&lt;&gt;"",J43,IF(G43&lt;&gt;"",G43,IF(D43&lt;&gt;"",D43,""))))</f>
        <v/>
      </c>
      <c r="T43" s="19">
        <f>IF(OR(D43="",MAX(D43,G43,J43,M43)=0),"",REPT("█",MAX(1,ROUND(D43/MAX(D43,G43,J43,M43)*6,0))))</f>
        <v/>
      </c>
      <c r="U43" s="19">
        <f>IF(OR(G43="",MAX(D43,G43,J43,M43)=0),"",REPT("█",MAX(1,ROUND(G43/MAX(D43,G43,J43,M43)*6,0))))</f>
        <v/>
      </c>
      <c r="V43" s="19">
        <f>IF(OR(J43="",MAX(D43,G43,J43,M43)=0),"",REPT("█",MAX(1,ROUND(J43/MAX(D43,G43,J43,M43)*6,0))))</f>
        <v/>
      </c>
      <c r="W43" s="19">
        <f>IF(OR(M43="",MAX(D43,G43,J43,M43)=0),"",REPT("█",MAX(1,ROUND(M43/MAX(D43,G43,J43,M43)*6,0))))</f>
        <v/>
      </c>
      <c r="X43" s="18">
        <f>IF(COUNT(D43,G43,J43,M43)&lt;2,"",IF(IF(M43&lt;&gt;"",M43,IF(J43&lt;&gt;"",J43,IF(G43&lt;&gt;"",G43,IF(D43&lt;&gt;"",D43,""))))&gt;IF(D43&lt;&gt;"",D43,IF(G43&lt;&gt;"",G43,IF(J43&lt;&gt;"",J43,M43))),"▲",IF(IF(M43&lt;&gt;"",M43,IF(J43&lt;&gt;"",J43,IF(G43&lt;&gt;"",G43,IF(D43&lt;&gt;"",D43,""))))&lt;IF(D43&lt;&gt;"",D43,IF(G43&lt;&gt;"",G43,IF(J43&lt;&gt;"",J43,M43))),"▼","=")))</f>
        <v/>
      </c>
    </row>
    <row r="44">
      <c r="A44" s="15">
        <f>IF(Produits!$A$42="","",Produits!$A$42)</f>
        <v/>
      </c>
      <c r="B44" s="16">
        <f>IF(Produits!$A$42="","",Produits!$B$42)</f>
        <v/>
      </c>
      <c r="C44" s="17">
        <f>IF(Produits!$A$42="","",Produits!$C$42)</f>
        <v/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8">
        <f>IF(COUNT(E44,H44,K44,N44)=0,"",SUM(E44,H44,K44,N44))</f>
        <v/>
      </c>
      <c r="Q44" s="18">
        <f>IF(COUNT(F44,I44,L44,O44)=0,"",SUM(F44,I44,L44,O44))</f>
        <v/>
      </c>
      <c r="R44" s="18">
        <f>IF(OR(P44="",Q44=""),"",Q44-P44)</f>
        <v/>
      </c>
      <c r="S44" s="18">
        <f>IF(M44&lt;&gt;"",M44,IF(J44&lt;&gt;"",J44,IF(G44&lt;&gt;"",G44,IF(D44&lt;&gt;"",D44,""))))</f>
        <v/>
      </c>
      <c r="T44" s="19">
        <f>IF(OR(D44="",MAX(D44,G44,J44,M44)=0),"",REPT("█",MAX(1,ROUND(D44/MAX(D44,G44,J44,M44)*6,0))))</f>
        <v/>
      </c>
      <c r="U44" s="19">
        <f>IF(OR(G44="",MAX(D44,G44,J44,M44)=0),"",REPT("█",MAX(1,ROUND(G44/MAX(D44,G44,J44,M44)*6,0))))</f>
        <v/>
      </c>
      <c r="V44" s="19">
        <f>IF(OR(J44="",MAX(D44,G44,J44,M44)=0),"",REPT("█",MAX(1,ROUND(J44/MAX(D44,G44,J44,M44)*6,0))))</f>
        <v/>
      </c>
      <c r="W44" s="19">
        <f>IF(OR(M44="",MAX(D44,G44,J44,M44)=0),"",REPT("█",MAX(1,ROUND(M44/MAX(D44,G44,J44,M44)*6,0))))</f>
        <v/>
      </c>
      <c r="X44" s="18">
        <f>IF(COUNT(D44,G44,J44,M44)&lt;2,"",IF(IF(M44&lt;&gt;"",M44,IF(J44&lt;&gt;"",J44,IF(G44&lt;&gt;"",G44,IF(D44&lt;&gt;"",D44,""))))&gt;IF(D44&lt;&gt;"",D44,IF(G44&lt;&gt;"",G44,IF(J44&lt;&gt;"",J44,M44))),"▲",IF(IF(M44&lt;&gt;"",M44,IF(J44&lt;&gt;"",J44,IF(G44&lt;&gt;"",G44,IF(D44&lt;&gt;"",D44,""))))&lt;IF(D44&lt;&gt;"",D44,IF(G44&lt;&gt;"",G44,IF(J44&lt;&gt;"",J44,M44))),"▼","=")))</f>
        <v/>
      </c>
    </row>
    <row r="45">
      <c r="A45" s="15">
        <f>IF(Produits!$A$43="","",Produits!$A$43)</f>
        <v/>
      </c>
      <c r="B45" s="16">
        <f>IF(Produits!$A$43="","",Produits!$B$43)</f>
        <v/>
      </c>
      <c r="C45" s="17">
        <f>IF(Produits!$A$43="","",Produits!$C$43)</f>
        <v/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8">
        <f>IF(COUNT(E45,H45,K45,N45)=0,"",SUM(E45,H45,K45,N45))</f>
        <v/>
      </c>
      <c r="Q45" s="18">
        <f>IF(COUNT(F45,I45,L45,O45)=0,"",SUM(F45,I45,L45,O45))</f>
        <v/>
      </c>
      <c r="R45" s="18">
        <f>IF(OR(P45="",Q45=""),"",Q45-P45)</f>
        <v/>
      </c>
      <c r="S45" s="18">
        <f>IF(M45&lt;&gt;"",M45,IF(J45&lt;&gt;"",J45,IF(G45&lt;&gt;"",G45,IF(D45&lt;&gt;"",D45,""))))</f>
        <v/>
      </c>
      <c r="T45" s="19">
        <f>IF(OR(D45="",MAX(D45,G45,J45,M45)=0),"",REPT("█",MAX(1,ROUND(D45/MAX(D45,G45,J45,M45)*6,0))))</f>
        <v/>
      </c>
      <c r="U45" s="19">
        <f>IF(OR(G45="",MAX(D45,G45,J45,M45)=0),"",REPT("█",MAX(1,ROUND(G45/MAX(D45,G45,J45,M45)*6,0))))</f>
        <v/>
      </c>
      <c r="V45" s="19">
        <f>IF(OR(J45="",MAX(D45,G45,J45,M45)=0),"",REPT("█",MAX(1,ROUND(J45/MAX(D45,G45,J45,M45)*6,0))))</f>
        <v/>
      </c>
      <c r="W45" s="19">
        <f>IF(OR(M45="",MAX(D45,G45,J45,M45)=0),"",REPT("█",MAX(1,ROUND(M45/MAX(D45,G45,J45,M45)*6,0))))</f>
        <v/>
      </c>
      <c r="X45" s="18">
        <f>IF(COUNT(D45,G45,J45,M45)&lt;2,"",IF(IF(M45&lt;&gt;"",M45,IF(J45&lt;&gt;"",J45,IF(G45&lt;&gt;"",G45,IF(D45&lt;&gt;"",D45,""))))&gt;IF(D45&lt;&gt;"",D45,IF(G45&lt;&gt;"",G45,IF(J45&lt;&gt;"",J45,M45))),"▲",IF(IF(M45&lt;&gt;"",M45,IF(J45&lt;&gt;"",J45,IF(G45&lt;&gt;"",G45,IF(D45&lt;&gt;"",D45,""))))&lt;IF(D45&lt;&gt;"",D45,IF(G45&lt;&gt;"",G45,IF(J45&lt;&gt;"",J45,M45))),"▼","=")))</f>
        <v/>
      </c>
    </row>
    <row r="46">
      <c r="A46" s="15">
        <f>IF(Produits!$A$44="","",Produits!$A$44)</f>
        <v/>
      </c>
      <c r="B46" s="16">
        <f>IF(Produits!$A$44="","",Produits!$B$44)</f>
        <v/>
      </c>
      <c r="C46" s="17">
        <f>IF(Produits!$A$44="","",Produits!$C$44)</f>
        <v/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8">
        <f>IF(COUNT(E46,H46,K46,N46)=0,"",SUM(E46,H46,K46,N46))</f>
        <v/>
      </c>
      <c r="Q46" s="18">
        <f>IF(COUNT(F46,I46,L46,O46)=0,"",SUM(F46,I46,L46,O46))</f>
        <v/>
      </c>
      <c r="R46" s="18">
        <f>IF(OR(P46="",Q46=""),"",Q46-P46)</f>
        <v/>
      </c>
      <c r="S46" s="18">
        <f>IF(M46&lt;&gt;"",M46,IF(J46&lt;&gt;"",J46,IF(G46&lt;&gt;"",G46,IF(D46&lt;&gt;"",D46,""))))</f>
        <v/>
      </c>
      <c r="T46" s="19">
        <f>IF(OR(D46="",MAX(D46,G46,J46,M46)=0),"",REPT("█",MAX(1,ROUND(D46/MAX(D46,G46,J46,M46)*6,0))))</f>
        <v/>
      </c>
      <c r="U46" s="19">
        <f>IF(OR(G46="",MAX(D46,G46,J46,M46)=0),"",REPT("█",MAX(1,ROUND(G46/MAX(D46,G46,J46,M46)*6,0))))</f>
        <v/>
      </c>
      <c r="V46" s="19">
        <f>IF(OR(J46="",MAX(D46,G46,J46,M46)=0),"",REPT("█",MAX(1,ROUND(J46/MAX(D46,G46,J46,M46)*6,0))))</f>
        <v/>
      </c>
      <c r="W46" s="19">
        <f>IF(OR(M46="",MAX(D46,G46,J46,M46)=0),"",REPT("█",MAX(1,ROUND(M46/MAX(D46,G46,J46,M46)*6,0))))</f>
        <v/>
      </c>
      <c r="X46" s="18">
        <f>IF(COUNT(D46,G46,J46,M46)&lt;2,"",IF(IF(M46&lt;&gt;"",M46,IF(J46&lt;&gt;"",J46,IF(G46&lt;&gt;"",G46,IF(D46&lt;&gt;"",D46,""))))&gt;IF(D46&lt;&gt;"",D46,IF(G46&lt;&gt;"",G46,IF(J46&lt;&gt;"",J46,M46))),"▲",IF(IF(M46&lt;&gt;"",M46,IF(J46&lt;&gt;"",J46,IF(G46&lt;&gt;"",G46,IF(D46&lt;&gt;"",D46,""))))&lt;IF(D46&lt;&gt;"",D46,IF(G46&lt;&gt;"",G46,IF(J46&lt;&gt;"",J46,M46))),"▼","=")))</f>
        <v/>
      </c>
    </row>
  </sheetData>
  <mergeCells count="13">
    <mergeCell ref="J5:L5"/>
    <mergeCell ref="A4:A6"/>
    <mergeCell ref="D5:F5"/>
    <mergeCell ref="B4:B6"/>
    <mergeCell ref="G5:I5"/>
    <mergeCell ref="D4:F4"/>
    <mergeCell ref="M4:O4"/>
    <mergeCell ref="M5:O5"/>
    <mergeCell ref="G4:I4"/>
    <mergeCell ref="J4:L4"/>
    <mergeCell ref="P4:S5"/>
    <mergeCell ref="C4:C6"/>
    <mergeCell ref="T4:X5"/>
  </mergeCells>
  <conditionalFormatting sqref="R7:R46">
    <cfRule type="expression" priority="1" dxfId="0">
      <formula>AND(ISNUMBER(R7),R7&lt;0)</formula>
    </cfRule>
  </conditionalFormatting>
  <conditionalFormatting sqref="X7:X46">
    <cfRule type="expression" priority="2" dxfId="1">
      <formula>X7="▼"</formula>
    </cfRule>
    <cfRule type="expression" priority="3" dxfId="2">
      <formula>X7="▲"</formula>
    </cfRule>
  </conditionalFormatting>
  <dataValidations count="12">
    <dataValidation sqref="D7:D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E7:E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F7:F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7:G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H7:H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I7:I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J7:J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K7:K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L7:L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M7:M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N7:N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O7:O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2026-09-24T21:04:00Z</dcterms:created>
  <dcterms:modified xmlns:dcterms="http://purl.org/dc/terms/" xmlns:xsi="http://www.w3.org/2001/XMLSchema-instance" xsi:type="dcterms:W3CDTF">2026-09-24T21:04:00Z</dcterms:modified>
</cp:coreProperties>
</file>