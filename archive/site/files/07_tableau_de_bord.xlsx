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 d'emploi" sheetId="1" state="visible" r:id="rId1"/>
    <sheet xmlns:r="http://schemas.openxmlformats.org/officeDocument/2006/relationships" name="Tableau de bord" sheetId="2" state="visible" r:id="rId2"/>
    <sheet xmlns:r="http://schemas.openxmlformats.org/officeDocument/2006/relationships" name="Produits" sheetId="3" state="visible" r:id="rId3"/>
    <sheet xmlns:r="http://schemas.openxmlformats.org/officeDocument/2006/relationships" name="Octobre 2026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DD/MM/YYYY"/>
  </numFmts>
  <fonts count="15">
    <font>
      <name val="Calibri"/>
      <family val="2"/>
      <color theme="1"/>
      <sz val="11"/>
      <scheme val="minor"/>
    </font>
    <font>
      <name val="Arial"/>
      <b val="1"/>
      <color rgb="003D3D3D"/>
      <sz val="16"/>
    </font>
    <font>
      <name val="Arial"/>
      <i val="1"/>
      <color rgb="00666666"/>
      <sz val="9"/>
    </font>
    <font>
      <name val="Arial"/>
      <b val="1"/>
      <color rgb="003D3D3D"/>
    </font>
    <font>
      <name val="Arial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1F4FD1"/>
    </font>
    <font>
      <name val="Arial"/>
      <b val="1"/>
      <color rgb="00000000"/>
      <sz val="10"/>
    </font>
    <font>
      <name val="Arial"/>
      <color rgb="00555555"/>
      <sz val="10"/>
    </font>
    <font>
      <name val="Arial"/>
      <b val="1"/>
      <color rgb="00888888"/>
      <sz val="10"/>
    </font>
    <font>
      <name val="Arial"/>
      <color rgb="00888888"/>
      <sz val="9"/>
    </font>
    <font>
      <name val="Arial"/>
      <b val="1"/>
      <color rgb="00FFFFFF"/>
      <sz val="9"/>
    </font>
    <font>
      <name val="Arial"/>
      <b val="1"/>
      <color rgb="00000000"/>
      <sz val="18"/>
    </font>
    <font>
      <name val="Arial"/>
      <b val="1"/>
      <color rgb="003D3D3D"/>
      <sz val="12"/>
    </font>
  </fonts>
  <fills count="6">
    <fill>
      <patternFill/>
    </fill>
    <fill>
      <patternFill patternType="gray125"/>
    </fill>
    <fill>
      <patternFill patternType="solid">
        <fgColor rgb="003D3D3D"/>
      </patternFill>
    </fill>
    <fill>
      <patternFill patternType="solid">
        <fgColor rgb="00FFF6D5"/>
      </patternFill>
    </fill>
    <fill>
      <patternFill patternType="solid">
        <fgColor rgb="00D8D8D8"/>
      </patternFill>
    </fill>
    <fill>
      <patternFill patternType="solid">
        <fgColor rgb="00EFEFEF"/>
      </patternFill>
    </fill>
  </fills>
  <borders count="5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3" fillId="0" borderId="0" pivotButton="0" quotePrefix="0" xfId="0"/>
    <xf numFmtId="0" fontId="10" fillId="0" borderId="0" applyAlignment="1" pivotButton="0" quotePrefix="0" xfId="0">
      <alignment horizontal="left" vertical="center"/>
    </xf>
    <xf numFmtId="0" fontId="12" fillId="2" borderId="1" applyAlignment="1" pivotButton="0" quotePrefix="0" xfId="0">
      <alignment horizontal="center" vertical="center"/>
    </xf>
    <xf numFmtId="0" fontId="0" fillId="2" borderId="0" pivotButton="0" quotePrefix="0" xfId="0"/>
    <xf numFmtId="0" fontId="8" fillId="4" borderId="1" applyAlignment="1" pivotButton="0" quotePrefix="0" xfId="0">
      <alignment horizontal="center" vertical="center" wrapText="1"/>
    </xf>
    <xf numFmtId="164" fontId="13" fillId="5" borderId="1" applyAlignment="1" pivotButton="0" quotePrefix="0" xfId="0">
      <alignment horizontal="center" vertical="center"/>
    </xf>
    <xf numFmtId="1" fontId="13" fillId="5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4" fontId="11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164" fontId="7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0" fontId="0" fillId="2" borderId="1" pivotButton="0" quotePrefix="0" xfId="0"/>
    <xf numFmtId="165" fontId="6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8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F8C9C4"/>
        </patternFill>
      </fill>
    </dxf>
    <dxf>
      <fill>
        <patternFill patternType="solid">
          <fgColor rgb="00FBDDB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Dépenses du mois (€)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'Tableau de bord'!E10</f>
            </strRef>
          </tx>
          <spPr>
            <a:solidFill xmlns:a="http://schemas.openxmlformats.org/drawingml/2006/main">
              <a:srgbClr val="3D3D3D"/>
            </a:solidFill>
            <a:ln xmlns:a="http://schemas.openxmlformats.org/drawingml/2006/main">
              <a:prstDash val="solid"/>
            </a:ln>
          </spPr>
          <cat>
            <numRef>
              <f>'Tableau de bord'!$B$11:$B$20</f>
            </numRef>
          </cat>
          <val>
            <numRef>
              <f>'Tableau de bord'!$E$11:$E$20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lele_auto</author>
  </authors>
  <commentList>
    <comment ref="D5" authorId="0" shapeId="0">
      <text>
        <t>Date du comptage (facultatif)</t>
      </text>
    </comment>
    <comment ref="G5" authorId="0" shapeId="0">
      <text>
        <t>Date du comptage (facultatif)</t>
      </text>
    </comment>
    <comment ref="J5" authorId="0" shapeId="0">
      <text>
        <t>Date du comptage (facultatif)</t>
      </text>
    </comment>
    <comment ref="M5" authorId="0" shapeId="0">
      <text>
        <t>Date du comptage (facultatif)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22</row>
      <rowOff>0</rowOff>
    </from>
    <ext cx="504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00" customWidth="1" min="2" max="2"/>
  </cols>
  <sheetData>
    <row r="1" ht="26" customHeight="1">
      <c r="A1" s="1" t="inlineStr">
        <is>
          <t>7 · Tableau de bord</t>
        </is>
      </c>
    </row>
    <row r="2">
      <c r="A2" s="2" t="inlineStr">
        <is>
          <t>Proposition de tableau de gestion des stocks — Excel et Google Sheets</t>
        </is>
      </c>
    </row>
    <row r="4">
      <c r="A4" s="3" t="inlineStr">
        <is>
          <t>L'idée</t>
        </is>
      </c>
      <c r="B4" s="4" t="inlineStr">
        <is>
          <t>Même saisie que le cahier classique, plus une page de résumé : combien tu as dépensé ce mois-ci, combien de livraisons étaient incomplètes, quels produits sont sous le minimum, et un graphique des 10 produits qui te coûtent le plus.</t>
        </is>
      </c>
    </row>
    <row r="5">
      <c r="A5" s="5" t="inlineStr"/>
      <c r="B5" s="4" t="inlineStr"/>
    </row>
    <row r="6">
      <c r="A6" s="5" t="inlineStr">
        <is>
          <t>Comment faire</t>
        </is>
      </c>
      <c r="B6" s="4" t="inlineStr">
        <is>
          <t>1. Onglet Produits : produit, fournisseur, unité, stock minimum, prix unitaire.</t>
        </is>
      </c>
    </row>
    <row r="7">
      <c r="A7" s="5" t="inlineStr"/>
      <c r="B7" s="4" t="inlineStr">
        <is>
          <t>2. Onglet du mois : Stock, Commandé, Reçu chaque semaine.</t>
        </is>
      </c>
    </row>
    <row r="8">
      <c r="A8" s="5" t="inlineStr"/>
      <c r="B8" s="4" t="inlineStr">
        <is>
          <t>3. Onglet Tableau de bord : tout se calcule, rien à remplir.</t>
        </is>
      </c>
    </row>
    <row r="9">
      <c r="A9" s="5" t="inlineStr"/>
      <c r="B9" s="4" t="inlineStr">
        <is>
          <t>4. Nouveau mois : duplique l'onglet du mois et change la référence en haut du tableau de bord (ou garde un fichier par mois).</t>
        </is>
      </c>
    </row>
    <row r="10">
      <c r="A10" s="5" t="inlineStr"/>
      <c r="B10" s="4" t="inlineStr"/>
    </row>
    <row r="11">
      <c r="A11" s="5" t="inlineStr">
        <is>
          <t>Les onglets</t>
        </is>
      </c>
      <c r="B11" s="4" t="inlineStr">
        <is>
          <t>Tableau de bord — les chiffres clés et le graphique.</t>
        </is>
      </c>
    </row>
    <row r="12">
      <c r="A12" s="5" t="inlineStr"/>
      <c r="B12" s="4" t="inlineStr">
        <is>
          <t>Produits — ta liste, avec minimum et prix.</t>
        </is>
      </c>
    </row>
    <row r="13">
      <c r="A13" s="5" t="inlineStr"/>
      <c r="B13" s="4" t="inlineStr">
        <is>
          <t>Octobre 2026 — la saisie de la semaine.</t>
        </is>
      </c>
    </row>
    <row r="14">
      <c r="A14" s="5" t="inlineStr"/>
      <c r="B14" s="4" t="inlineStr"/>
    </row>
    <row r="15">
      <c r="A15" s="5" t="inlineStr">
        <is>
          <t>Couleurs</t>
        </is>
      </c>
      <c r="B15" s="4" t="inlineStr">
        <is>
          <t>Cases jaunes = à remplir. Cases blanches = calculées toutes seules, ne pas y toucher.</t>
        </is>
      </c>
    </row>
    <row r="16">
      <c r="A16" s="5" t="inlineStr"/>
      <c r="B16" s="4" t="inlineStr">
        <is>
          <t>Chiffres en bleu = exemple pour montrer le fonctionnement, à effacer.</t>
        </is>
      </c>
    </row>
    <row r="17">
      <c r="A17" s="5" t="inlineStr"/>
      <c r="B17" s="4" t="inlineStr">
        <is>
          <t>Rouge = il manque quelque chose (livraison incomplète, stock trop bas).</t>
        </is>
      </c>
    </row>
    <row r="18">
      <c r="A18" s="5" t="inlineStr"/>
      <c r="B18" s="4" t="inlineStr"/>
    </row>
    <row r="19">
      <c r="A19" s="5" t="inlineStr">
        <is>
          <t>Google Sheets</t>
        </is>
      </c>
      <c r="B19" s="4" t="inlineStr">
        <is>
          <t>Fichier &gt; Importer &gt; Importer ce fichier. Tout fonctionne pareil, y compris sur téléphone.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hidden="1" width="22" customWidth="1" min="11" max="11"/>
    <col hidden="1" width="9" customWidth="1" min="12" max="12"/>
    <col hidden="1" width="9" customWidth="1" min="13" max="13"/>
    <col hidden="1" width="12" customWidth="1" min="14" max="14"/>
    <col hidden="1" width="12" customWidth="1" min="15" max="15"/>
    <col hidden="1" width="11" customWidth="1" min="16" max="16"/>
    <col hidden="1" width="6" customWidth="1" min="17" max="17"/>
  </cols>
  <sheetData>
    <row r="1" ht="26" customHeight="1">
      <c r="A1" s="1" t="inlineStr">
        <is>
          <t>Tableau de bord — Octobre 2026</t>
        </is>
      </c>
    </row>
    <row r="2">
      <c r="A2" s="2" t="inlineStr">
        <is>
          <t>Calculé à partir de l'onglet Octobre 2026 — rien à remplir</t>
        </is>
      </c>
    </row>
    <row r="3">
      <c r="K3" s="6" t="inlineStr">
        <is>
          <t>Calculs intermédiaires</t>
        </is>
      </c>
    </row>
    <row r="4">
      <c r="A4" s="7" t="inlineStr">
        <is>
          <t>Dépensé ce mois-ci</t>
        </is>
      </c>
      <c r="B4" s="8" t="n"/>
      <c r="C4" s="7" t="inlineStr">
        <is>
          <t>Livraisons incomplètes</t>
        </is>
      </c>
      <c r="D4" s="8" t="n"/>
      <c r="E4" s="7" t="inlineStr">
        <is>
          <t>Produits sous le minimum</t>
        </is>
      </c>
      <c r="F4" s="8" t="n"/>
      <c r="G4" s="7" t="inlineStr">
        <is>
          <t>Produits suivis</t>
        </is>
      </c>
      <c r="H4" s="8" t="n"/>
      <c r="K4" s="9" t="inlineStr">
        <is>
          <t>Produit</t>
        </is>
      </c>
      <c r="L4" s="9" t="inlineStr">
        <is>
          <t>Reçu</t>
        </is>
      </c>
      <c r="M4" s="9" t="inlineStr">
        <is>
          <t>Prix</t>
        </is>
      </c>
      <c r="N4" s="9" t="inlineStr">
        <is>
          <t>Dépense (€)</t>
        </is>
      </c>
      <c r="O4" s="9" t="inlineStr">
        <is>
          <t>Dernier stock</t>
        </is>
      </c>
      <c r="P4" s="9" t="inlineStr">
        <is>
          <t>Sous le mini</t>
        </is>
      </c>
      <c r="Q4" s="9" t="inlineStr">
        <is>
          <t>Tri</t>
        </is>
      </c>
    </row>
    <row r="5">
      <c r="A5" s="10">
        <f>SUM(N5:N44)</f>
        <v/>
      </c>
      <c r="C5" s="11">
        <f>COUNTIF('Octobre 2026'!R7:R46,"&lt;0")</f>
        <v/>
      </c>
      <c r="E5" s="11">
        <f>SUM(P5:P44)</f>
        <v/>
      </c>
      <c r="G5" s="11">
        <f>COUNTA(Produits!A5:A44)</f>
        <v/>
      </c>
      <c r="K5" s="12">
        <f>'Octobre 2026'!A7</f>
        <v/>
      </c>
      <c r="L5" s="12">
        <f>N('Octobre 2026'!Q7)</f>
        <v/>
      </c>
      <c r="M5" s="13">
        <f>N(Produits!E5)</f>
        <v/>
      </c>
      <c r="N5" s="13">
        <f>L5*M5</f>
        <v/>
      </c>
      <c r="O5" s="12">
        <f>'Octobre 2026'!S7</f>
        <v/>
      </c>
      <c r="P5" s="12">
        <f>IF(AND(K5&lt;&gt;"",O5&lt;&gt;"",Produits!D5&lt;&gt;""),IF(N(O5)&lt;=N(Produits!D5),1,0),0)</f>
        <v/>
      </c>
      <c r="Q5" s="12">
        <f>IF(K5="",-1,N5+ROW()/1000000)</f>
        <v/>
      </c>
    </row>
    <row r="6">
      <c r="K6" s="12">
        <f>'Octobre 2026'!A8</f>
        <v/>
      </c>
      <c r="L6" s="12">
        <f>N('Octobre 2026'!Q8)</f>
        <v/>
      </c>
      <c r="M6" s="13">
        <f>N(Produits!E6)</f>
        <v/>
      </c>
      <c r="N6" s="13">
        <f>L6*M6</f>
        <v/>
      </c>
      <c r="O6" s="12">
        <f>'Octobre 2026'!S8</f>
        <v/>
      </c>
      <c r="P6" s="12">
        <f>IF(AND(K6&lt;&gt;"",O6&lt;&gt;"",Produits!D6&lt;&gt;""),IF(N(O6)&lt;=N(Produits!D6),1,0),0)</f>
        <v/>
      </c>
      <c r="Q6" s="12">
        <f>IF(K6="",-1,N6+ROW()/1000000)</f>
        <v/>
      </c>
    </row>
    <row r="7">
      <c r="K7" s="12">
        <f>'Octobre 2026'!A9</f>
        <v/>
      </c>
      <c r="L7" s="12">
        <f>N('Octobre 2026'!Q9)</f>
        <v/>
      </c>
      <c r="M7" s="13">
        <f>N(Produits!E7)</f>
        <v/>
      </c>
      <c r="N7" s="13">
        <f>L7*M7</f>
        <v/>
      </c>
      <c r="O7" s="12">
        <f>'Octobre 2026'!S9</f>
        <v/>
      </c>
      <c r="P7" s="12">
        <f>IF(AND(K7&lt;&gt;"",O7&lt;&gt;"",Produits!D7&lt;&gt;""),IF(N(O7)&lt;=N(Produits!D7),1,0),0)</f>
        <v/>
      </c>
      <c r="Q7" s="12">
        <f>IF(K7="",-1,N7+ROW()/1000000)</f>
        <v/>
      </c>
    </row>
    <row r="8">
      <c r="K8" s="12">
        <f>'Octobre 2026'!A10</f>
        <v/>
      </c>
      <c r="L8" s="12">
        <f>N('Octobre 2026'!Q10)</f>
        <v/>
      </c>
      <c r="M8" s="13">
        <f>N(Produits!E8)</f>
        <v/>
      </c>
      <c r="N8" s="13">
        <f>L8*M8</f>
        <v/>
      </c>
      <c r="O8" s="12">
        <f>'Octobre 2026'!S10</f>
        <v/>
      </c>
      <c r="P8" s="12">
        <f>IF(AND(K8&lt;&gt;"",O8&lt;&gt;"",Produits!D8&lt;&gt;""),IF(N(O8)&lt;=N(Produits!D8),1,0),0)</f>
        <v/>
      </c>
      <c r="Q8" s="12">
        <f>IF(K8="",-1,N8+ROW()/1000000)</f>
        <v/>
      </c>
    </row>
    <row r="9">
      <c r="A9" s="14" t="inlineStr">
        <is>
          <t>Top 10 des dépenses du mois</t>
        </is>
      </c>
      <c r="K9" s="12">
        <f>'Octobre 2026'!A11</f>
        <v/>
      </c>
      <c r="L9" s="12">
        <f>N('Octobre 2026'!Q11)</f>
        <v/>
      </c>
      <c r="M9" s="13">
        <f>N(Produits!E9)</f>
        <v/>
      </c>
      <c r="N9" s="13">
        <f>L9*M9</f>
        <v/>
      </c>
      <c r="O9" s="12">
        <f>'Octobre 2026'!S11</f>
        <v/>
      </c>
      <c r="P9" s="12">
        <f>IF(AND(K9&lt;&gt;"",O9&lt;&gt;"",Produits!D9&lt;&gt;""),IF(N(O9)&lt;=N(Produits!D9),1,0),0)</f>
        <v/>
      </c>
      <c r="Q9" s="12">
        <f>IF(K9="",-1,N9+ROW()/1000000)</f>
        <v/>
      </c>
    </row>
    <row r="10">
      <c r="A10" s="15" t="inlineStr">
        <is>
          <t>Rang</t>
        </is>
      </c>
      <c r="B10" s="15" t="inlineStr">
        <is>
          <t>Produit</t>
        </is>
      </c>
      <c r="C10" s="16" t="n"/>
      <c r="D10" s="15" t="inlineStr">
        <is>
          <t>Reçu</t>
        </is>
      </c>
      <c r="E10" s="15" t="inlineStr">
        <is>
          <t>Dépense (€)</t>
        </is>
      </c>
      <c r="K10" s="12">
        <f>'Octobre 2026'!A12</f>
        <v/>
      </c>
      <c r="L10" s="12">
        <f>N('Octobre 2026'!Q12)</f>
        <v/>
      </c>
      <c r="M10" s="13">
        <f>N(Produits!E10)</f>
        <v/>
      </c>
      <c r="N10" s="13">
        <f>L10*M10</f>
        <v/>
      </c>
      <c r="O10" s="12">
        <f>'Octobre 2026'!S12</f>
        <v/>
      </c>
      <c r="P10" s="12">
        <f>IF(AND(K10&lt;&gt;"",O10&lt;&gt;"",Produits!D10&lt;&gt;""),IF(N(O10)&lt;=N(Produits!D10),1,0),0)</f>
        <v/>
      </c>
      <c r="Q10" s="12">
        <f>IF(K10="",-1,N10+ROW()/1000000)</f>
        <v/>
      </c>
    </row>
    <row r="11">
      <c r="A11" s="17" t="n">
        <v>1</v>
      </c>
      <c r="B11" s="18">
        <f>IF(LARGE($Q$5:$Q$44,1)&lt;=0,"",INDEX($K$5:$K$44,MATCH(LARGE($Q$5:$Q$44,1),$Q$5:$Q$44,0)))</f>
        <v/>
      </c>
      <c r="D11" s="17">
        <f>IF(B11="","",INDEX($L$5:$L$44,MATCH(LARGE($Q$5:$Q$44,1),$Q$5:$Q$44,0)))</f>
        <v/>
      </c>
      <c r="E11" s="19">
        <f>IF(B11="","",INDEX($N$5:$N$44,MATCH(LARGE($Q$5:$Q$44,1),$Q$5:$Q$44,0)))</f>
        <v/>
      </c>
      <c r="K11" s="12">
        <f>'Octobre 2026'!A13</f>
        <v/>
      </c>
      <c r="L11" s="12">
        <f>N('Octobre 2026'!Q13)</f>
        <v/>
      </c>
      <c r="M11" s="13">
        <f>N(Produits!E11)</f>
        <v/>
      </c>
      <c r="N11" s="13">
        <f>L11*M11</f>
        <v/>
      </c>
      <c r="O11" s="12">
        <f>'Octobre 2026'!S13</f>
        <v/>
      </c>
      <c r="P11" s="12">
        <f>IF(AND(K11&lt;&gt;"",O11&lt;&gt;"",Produits!D11&lt;&gt;""),IF(N(O11)&lt;=N(Produits!D11),1,0),0)</f>
        <v/>
      </c>
      <c r="Q11" s="12">
        <f>IF(K11="",-1,N11+ROW()/1000000)</f>
        <v/>
      </c>
    </row>
    <row r="12">
      <c r="A12" s="17" t="n">
        <v>2</v>
      </c>
      <c r="B12" s="18">
        <f>IF(LARGE($Q$5:$Q$44,2)&lt;=0,"",INDEX($K$5:$K$44,MATCH(LARGE($Q$5:$Q$44,2),$Q$5:$Q$44,0)))</f>
        <v/>
      </c>
      <c r="D12" s="17">
        <f>IF(B12="","",INDEX($L$5:$L$44,MATCH(LARGE($Q$5:$Q$44,2),$Q$5:$Q$44,0)))</f>
        <v/>
      </c>
      <c r="E12" s="19">
        <f>IF(B12="","",INDEX($N$5:$N$44,MATCH(LARGE($Q$5:$Q$44,2),$Q$5:$Q$44,0)))</f>
        <v/>
      </c>
      <c r="K12" s="12">
        <f>'Octobre 2026'!A14</f>
        <v/>
      </c>
      <c r="L12" s="12">
        <f>N('Octobre 2026'!Q14)</f>
        <v/>
      </c>
      <c r="M12" s="13">
        <f>N(Produits!E12)</f>
        <v/>
      </c>
      <c r="N12" s="13">
        <f>L12*M12</f>
        <v/>
      </c>
      <c r="O12" s="12">
        <f>'Octobre 2026'!S14</f>
        <v/>
      </c>
      <c r="P12" s="12">
        <f>IF(AND(K12&lt;&gt;"",O12&lt;&gt;"",Produits!D12&lt;&gt;""),IF(N(O12)&lt;=N(Produits!D12),1,0),0)</f>
        <v/>
      </c>
      <c r="Q12" s="12">
        <f>IF(K12="",-1,N12+ROW()/1000000)</f>
        <v/>
      </c>
    </row>
    <row r="13">
      <c r="A13" s="17" t="n">
        <v>3</v>
      </c>
      <c r="B13" s="18">
        <f>IF(LARGE($Q$5:$Q$44,3)&lt;=0,"",INDEX($K$5:$K$44,MATCH(LARGE($Q$5:$Q$44,3),$Q$5:$Q$44,0)))</f>
        <v/>
      </c>
      <c r="D13" s="17">
        <f>IF(B13="","",INDEX($L$5:$L$44,MATCH(LARGE($Q$5:$Q$44,3),$Q$5:$Q$44,0)))</f>
        <v/>
      </c>
      <c r="E13" s="19">
        <f>IF(B13="","",INDEX($N$5:$N$44,MATCH(LARGE($Q$5:$Q$44,3),$Q$5:$Q$44,0)))</f>
        <v/>
      </c>
      <c r="K13" s="12">
        <f>'Octobre 2026'!A15</f>
        <v/>
      </c>
      <c r="L13" s="12">
        <f>N('Octobre 2026'!Q15)</f>
        <v/>
      </c>
      <c r="M13" s="13">
        <f>N(Produits!E13)</f>
        <v/>
      </c>
      <c r="N13" s="13">
        <f>L13*M13</f>
        <v/>
      </c>
      <c r="O13" s="12">
        <f>'Octobre 2026'!S15</f>
        <v/>
      </c>
      <c r="P13" s="12">
        <f>IF(AND(K13&lt;&gt;"",O13&lt;&gt;"",Produits!D13&lt;&gt;""),IF(N(O13)&lt;=N(Produits!D13),1,0),0)</f>
        <v/>
      </c>
      <c r="Q13" s="12">
        <f>IF(K13="",-1,N13+ROW()/1000000)</f>
        <v/>
      </c>
    </row>
    <row r="14">
      <c r="A14" s="17" t="n">
        <v>4</v>
      </c>
      <c r="B14" s="18">
        <f>IF(LARGE($Q$5:$Q$44,4)&lt;=0,"",INDEX($K$5:$K$44,MATCH(LARGE($Q$5:$Q$44,4),$Q$5:$Q$44,0)))</f>
        <v/>
      </c>
      <c r="D14" s="17">
        <f>IF(B14="","",INDEX($L$5:$L$44,MATCH(LARGE($Q$5:$Q$44,4),$Q$5:$Q$44,0)))</f>
        <v/>
      </c>
      <c r="E14" s="19">
        <f>IF(B14="","",INDEX($N$5:$N$44,MATCH(LARGE($Q$5:$Q$44,4),$Q$5:$Q$44,0)))</f>
        <v/>
      </c>
      <c r="K14" s="12">
        <f>'Octobre 2026'!A16</f>
        <v/>
      </c>
      <c r="L14" s="12">
        <f>N('Octobre 2026'!Q16)</f>
        <v/>
      </c>
      <c r="M14" s="13">
        <f>N(Produits!E14)</f>
        <v/>
      </c>
      <c r="N14" s="13">
        <f>L14*M14</f>
        <v/>
      </c>
      <c r="O14" s="12">
        <f>'Octobre 2026'!S16</f>
        <v/>
      </c>
      <c r="P14" s="12">
        <f>IF(AND(K14&lt;&gt;"",O14&lt;&gt;"",Produits!D14&lt;&gt;""),IF(N(O14)&lt;=N(Produits!D14),1,0),0)</f>
        <v/>
      </c>
      <c r="Q14" s="12">
        <f>IF(K14="",-1,N14+ROW()/1000000)</f>
        <v/>
      </c>
    </row>
    <row r="15">
      <c r="A15" s="17" t="n">
        <v>5</v>
      </c>
      <c r="B15" s="18">
        <f>IF(LARGE($Q$5:$Q$44,5)&lt;=0,"",INDEX($K$5:$K$44,MATCH(LARGE($Q$5:$Q$44,5),$Q$5:$Q$44,0)))</f>
        <v/>
      </c>
      <c r="D15" s="17">
        <f>IF(B15="","",INDEX($L$5:$L$44,MATCH(LARGE($Q$5:$Q$44,5),$Q$5:$Q$44,0)))</f>
        <v/>
      </c>
      <c r="E15" s="19">
        <f>IF(B15="","",INDEX($N$5:$N$44,MATCH(LARGE($Q$5:$Q$44,5),$Q$5:$Q$44,0)))</f>
        <v/>
      </c>
      <c r="K15" s="12">
        <f>'Octobre 2026'!A17</f>
        <v/>
      </c>
      <c r="L15" s="12">
        <f>N('Octobre 2026'!Q17)</f>
        <v/>
      </c>
      <c r="M15" s="13">
        <f>N(Produits!E15)</f>
        <v/>
      </c>
      <c r="N15" s="13">
        <f>L15*M15</f>
        <v/>
      </c>
      <c r="O15" s="12">
        <f>'Octobre 2026'!S17</f>
        <v/>
      </c>
      <c r="P15" s="12">
        <f>IF(AND(K15&lt;&gt;"",O15&lt;&gt;"",Produits!D15&lt;&gt;""),IF(N(O15)&lt;=N(Produits!D15),1,0),0)</f>
        <v/>
      </c>
      <c r="Q15" s="12">
        <f>IF(K15="",-1,N15+ROW()/1000000)</f>
        <v/>
      </c>
    </row>
    <row r="16">
      <c r="A16" s="17" t="n">
        <v>6</v>
      </c>
      <c r="B16" s="18">
        <f>IF(LARGE($Q$5:$Q$44,6)&lt;=0,"",INDEX($K$5:$K$44,MATCH(LARGE($Q$5:$Q$44,6),$Q$5:$Q$44,0)))</f>
        <v/>
      </c>
      <c r="D16" s="17">
        <f>IF(B16="","",INDEX($L$5:$L$44,MATCH(LARGE($Q$5:$Q$44,6),$Q$5:$Q$44,0)))</f>
        <v/>
      </c>
      <c r="E16" s="19">
        <f>IF(B16="","",INDEX($N$5:$N$44,MATCH(LARGE($Q$5:$Q$44,6),$Q$5:$Q$44,0)))</f>
        <v/>
      </c>
      <c r="K16" s="12">
        <f>'Octobre 2026'!A18</f>
        <v/>
      </c>
      <c r="L16" s="12">
        <f>N('Octobre 2026'!Q18)</f>
        <v/>
      </c>
      <c r="M16" s="13">
        <f>N(Produits!E16)</f>
        <v/>
      </c>
      <c r="N16" s="13">
        <f>L16*M16</f>
        <v/>
      </c>
      <c r="O16" s="12">
        <f>'Octobre 2026'!S18</f>
        <v/>
      </c>
      <c r="P16" s="12">
        <f>IF(AND(K16&lt;&gt;"",O16&lt;&gt;"",Produits!D16&lt;&gt;""),IF(N(O16)&lt;=N(Produits!D16),1,0),0)</f>
        <v/>
      </c>
      <c r="Q16" s="12">
        <f>IF(K16="",-1,N16+ROW()/1000000)</f>
        <v/>
      </c>
    </row>
    <row r="17">
      <c r="A17" s="17" t="n">
        <v>7</v>
      </c>
      <c r="B17" s="18">
        <f>IF(LARGE($Q$5:$Q$44,7)&lt;=0,"",INDEX($K$5:$K$44,MATCH(LARGE($Q$5:$Q$44,7),$Q$5:$Q$44,0)))</f>
        <v/>
      </c>
      <c r="D17" s="17">
        <f>IF(B17="","",INDEX($L$5:$L$44,MATCH(LARGE($Q$5:$Q$44,7),$Q$5:$Q$44,0)))</f>
        <v/>
      </c>
      <c r="E17" s="19">
        <f>IF(B17="","",INDEX($N$5:$N$44,MATCH(LARGE($Q$5:$Q$44,7),$Q$5:$Q$44,0)))</f>
        <v/>
      </c>
      <c r="K17" s="12">
        <f>'Octobre 2026'!A19</f>
        <v/>
      </c>
      <c r="L17" s="12">
        <f>N('Octobre 2026'!Q19)</f>
        <v/>
      </c>
      <c r="M17" s="13">
        <f>N(Produits!E17)</f>
        <v/>
      </c>
      <c r="N17" s="13">
        <f>L17*M17</f>
        <v/>
      </c>
      <c r="O17" s="12">
        <f>'Octobre 2026'!S19</f>
        <v/>
      </c>
      <c r="P17" s="12">
        <f>IF(AND(K17&lt;&gt;"",O17&lt;&gt;"",Produits!D17&lt;&gt;""),IF(N(O17)&lt;=N(Produits!D17),1,0),0)</f>
        <v/>
      </c>
      <c r="Q17" s="12">
        <f>IF(K17="",-1,N17+ROW()/1000000)</f>
        <v/>
      </c>
    </row>
    <row r="18">
      <c r="A18" s="17" t="n">
        <v>8</v>
      </c>
      <c r="B18" s="18">
        <f>IF(LARGE($Q$5:$Q$44,8)&lt;=0,"",INDEX($K$5:$K$44,MATCH(LARGE($Q$5:$Q$44,8),$Q$5:$Q$44,0)))</f>
        <v/>
      </c>
      <c r="D18" s="17">
        <f>IF(B18="","",INDEX($L$5:$L$44,MATCH(LARGE($Q$5:$Q$44,8),$Q$5:$Q$44,0)))</f>
        <v/>
      </c>
      <c r="E18" s="19">
        <f>IF(B18="","",INDEX($N$5:$N$44,MATCH(LARGE($Q$5:$Q$44,8),$Q$5:$Q$44,0)))</f>
        <v/>
      </c>
      <c r="K18" s="12">
        <f>'Octobre 2026'!A20</f>
        <v/>
      </c>
      <c r="L18" s="12">
        <f>N('Octobre 2026'!Q20)</f>
        <v/>
      </c>
      <c r="M18" s="13">
        <f>N(Produits!E18)</f>
        <v/>
      </c>
      <c r="N18" s="13">
        <f>L18*M18</f>
        <v/>
      </c>
      <c r="O18" s="12">
        <f>'Octobre 2026'!S20</f>
        <v/>
      </c>
      <c r="P18" s="12">
        <f>IF(AND(K18&lt;&gt;"",O18&lt;&gt;"",Produits!D18&lt;&gt;""),IF(N(O18)&lt;=N(Produits!D18),1,0),0)</f>
        <v/>
      </c>
      <c r="Q18" s="12">
        <f>IF(K18="",-1,N18+ROW()/1000000)</f>
        <v/>
      </c>
    </row>
    <row r="19">
      <c r="A19" s="17" t="n">
        <v>9</v>
      </c>
      <c r="B19" s="18">
        <f>IF(LARGE($Q$5:$Q$44,9)&lt;=0,"",INDEX($K$5:$K$44,MATCH(LARGE($Q$5:$Q$44,9),$Q$5:$Q$44,0)))</f>
        <v/>
      </c>
      <c r="D19" s="17">
        <f>IF(B19="","",INDEX($L$5:$L$44,MATCH(LARGE($Q$5:$Q$44,9),$Q$5:$Q$44,0)))</f>
        <v/>
      </c>
      <c r="E19" s="19">
        <f>IF(B19="","",INDEX($N$5:$N$44,MATCH(LARGE($Q$5:$Q$44,9),$Q$5:$Q$44,0)))</f>
        <v/>
      </c>
      <c r="K19" s="12">
        <f>'Octobre 2026'!A21</f>
        <v/>
      </c>
      <c r="L19" s="12">
        <f>N('Octobre 2026'!Q21)</f>
        <v/>
      </c>
      <c r="M19" s="13">
        <f>N(Produits!E19)</f>
        <v/>
      </c>
      <c r="N19" s="13">
        <f>L19*M19</f>
        <v/>
      </c>
      <c r="O19" s="12">
        <f>'Octobre 2026'!S21</f>
        <v/>
      </c>
      <c r="P19" s="12">
        <f>IF(AND(K19&lt;&gt;"",O19&lt;&gt;"",Produits!D19&lt;&gt;""),IF(N(O19)&lt;=N(Produits!D19),1,0),0)</f>
        <v/>
      </c>
      <c r="Q19" s="12">
        <f>IF(K19="",-1,N19+ROW()/1000000)</f>
        <v/>
      </c>
    </row>
    <row r="20">
      <c r="A20" s="17" t="n">
        <v>10</v>
      </c>
      <c r="B20" s="18">
        <f>IF(LARGE($Q$5:$Q$44,10)&lt;=0,"",INDEX($K$5:$K$44,MATCH(LARGE($Q$5:$Q$44,10),$Q$5:$Q$44,0)))</f>
        <v/>
      </c>
      <c r="D20" s="17">
        <f>IF(B20="","",INDEX($L$5:$L$44,MATCH(LARGE($Q$5:$Q$44,10),$Q$5:$Q$44,0)))</f>
        <v/>
      </c>
      <c r="E20" s="19">
        <f>IF(B20="","",INDEX($N$5:$N$44,MATCH(LARGE($Q$5:$Q$44,10),$Q$5:$Q$44,0)))</f>
        <v/>
      </c>
      <c r="K20" s="12">
        <f>'Octobre 2026'!A22</f>
        <v/>
      </c>
      <c r="L20" s="12">
        <f>N('Octobre 2026'!Q22)</f>
        <v/>
      </c>
      <c r="M20" s="13">
        <f>N(Produits!E20)</f>
        <v/>
      </c>
      <c r="N20" s="13">
        <f>L20*M20</f>
        <v/>
      </c>
      <c r="O20" s="12">
        <f>'Octobre 2026'!S22</f>
        <v/>
      </c>
      <c r="P20" s="12">
        <f>IF(AND(K20&lt;&gt;"",O20&lt;&gt;"",Produits!D20&lt;&gt;""),IF(N(O20)&lt;=N(Produits!D20),1,0),0)</f>
        <v/>
      </c>
      <c r="Q20" s="12">
        <f>IF(K20="",-1,N20+ROW()/1000000)</f>
        <v/>
      </c>
    </row>
    <row r="21">
      <c r="K21" s="12">
        <f>'Octobre 2026'!A23</f>
        <v/>
      </c>
      <c r="L21" s="12">
        <f>N('Octobre 2026'!Q23)</f>
        <v/>
      </c>
      <c r="M21" s="13">
        <f>N(Produits!E21)</f>
        <v/>
      </c>
      <c r="N21" s="13">
        <f>L21*M21</f>
        <v/>
      </c>
      <c r="O21" s="12">
        <f>'Octobre 2026'!S23</f>
        <v/>
      </c>
      <c r="P21" s="12">
        <f>IF(AND(K21&lt;&gt;"",O21&lt;&gt;"",Produits!D21&lt;&gt;""),IF(N(O21)&lt;=N(Produits!D21),1,0),0)</f>
        <v/>
      </c>
      <c r="Q21" s="12">
        <f>IF(K21="",-1,N21+ROW()/1000000)</f>
        <v/>
      </c>
    </row>
    <row r="22">
      <c r="K22" s="12">
        <f>'Octobre 2026'!A24</f>
        <v/>
      </c>
      <c r="L22" s="12">
        <f>N('Octobre 2026'!Q24)</f>
        <v/>
      </c>
      <c r="M22" s="13">
        <f>N(Produits!E22)</f>
        <v/>
      </c>
      <c r="N22" s="13">
        <f>L22*M22</f>
        <v/>
      </c>
      <c r="O22" s="12">
        <f>'Octobre 2026'!S24</f>
        <v/>
      </c>
      <c r="P22" s="12">
        <f>IF(AND(K22&lt;&gt;"",O22&lt;&gt;"",Produits!D22&lt;&gt;""),IF(N(O22)&lt;=N(Produits!D22),1,0),0)</f>
        <v/>
      </c>
      <c r="Q22" s="12">
        <f>IF(K22="",-1,N22+ROW()/1000000)</f>
        <v/>
      </c>
    </row>
    <row r="23">
      <c r="K23" s="12">
        <f>'Octobre 2026'!A25</f>
        <v/>
      </c>
      <c r="L23" s="12">
        <f>N('Octobre 2026'!Q25)</f>
        <v/>
      </c>
      <c r="M23" s="13">
        <f>N(Produits!E23)</f>
        <v/>
      </c>
      <c r="N23" s="13">
        <f>L23*M23</f>
        <v/>
      </c>
      <c r="O23" s="12">
        <f>'Octobre 2026'!S25</f>
        <v/>
      </c>
      <c r="P23" s="12">
        <f>IF(AND(K23&lt;&gt;"",O23&lt;&gt;"",Produits!D23&lt;&gt;""),IF(N(O23)&lt;=N(Produits!D23),1,0),0)</f>
        <v/>
      </c>
      <c r="Q23" s="12">
        <f>IF(K23="",-1,N23+ROW()/1000000)</f>
        <v/>
      </c>
    </row>
    <row r="24">
      <c r="K24" s="12">
        <f>'Octobre 2026'!A26</f>
        <v/>
      </c>
      <c r="L24" s="12">
        <f>N('Octobre 2026'!Q26)</f>
        <v/>
      </c>
      <c r="M24" s="13">
        <f>N(Produits!E24)</f>
        <v/>
      </c>
      <c r="N24" s="13">
        <f>L24*M24</f>
        <v/>
      </c>
      <c r="O24" s="12">
        <f>'Octobre 2026'!S26</f>
        <v/>
      </c>
      <c r="P24" s="12">
        <f>IF(AND(K24&lt;&gt;"",O24&lt;&gt;"",Produits!D24&lt;&gt;""),IF(N(O24)&lt;=N(Produits!D24),1,0),0)</f>
        <v/>
      </c>
      <c r="Q24" s="12">
        <f>IF(K24="",-1,N24+ROW()/1000000)</f>
        <v/>
      </c>
    </row>
    <row r="25">
      <c r="K25" s="12">
        <f>'Octobre 2026'!A27</f>
        <v/>
      </c>
      <c r="L25" s="12">
        <f>N('Octobre 2026'!Q27)</f>
        <v/>
      </c>
      <c r="M25" s="13">
        <f>N(Produits!E25)</f>
        <v/>
      </c>
      <c r="N25" s="13">
        <f>L25*M25</f>
        <v/>
      </c>
      <c r="O25" s="12">
        <f>'Octobre 2026'!S27</f>
        <v/>
      </c>
      <c r="P25" s="12">
        <f>IF(AND(K25&lt;&gt;"",O25&lt;&gt;"",Produits!D25&lt;&gt;""),IF(N(O25)&lt;=N(Produits!D25),1,0),0)</f>
        <v/>
      </c>
      <c r="Q25" s="12">
        <f>IF(K25="",-1,N25+ROW()/1000000)</f>
        <v/>
      </c>
    </row>
    <row r="26">
      <c r="K26" s="12">
        <f>'Octobre 2026'!A28</f>
        <v/>
      </c>
      <c r="L26" s="12">
        <f>N('Octobre 2026'!Q28)</f>
        <v/>
      </c>
      <c r="M26" s="13">
        <f>N(Produits!E26)</f>
        <v/>
      </c>
      <c r="N26" s="13">
        <f>L26*M26</f>
        <v/>
      </c>
      <c r="O26" s="12">
        <f>'Octobre 2026'!S28</f>
        <v/>
      </c>
      <c r="P26" s="12">
        <f>IF(AND(K26&lt;&gt;"",O26&lt;&gt;"",Produits!D26&lt;&gt;""),IF(N(O26)&lt;=N(Produits!D26),1,0),0)</f>
        <v/>
      </c>
      <c r="Q26" s="12">
        <f>IF(K26="",-1,N26+ROW()/1000000)</f>
        <v/>
      </c>
    </row>
    <row r="27">
      <c r="K27" s="12">
        <f>'Octobre 2026'!A29</f>
        <v/>
      </c>
      <c r="L27" s="12">
        <f>N('Octobre 2026'!Q29)</f>
        <v/>
      </c>
      <c r="M27" s="13">
        <f>N(Produits!E27)</f>
        <v/>
      </c>
      <c r="N27" s="13">
        <f>L27*M27</f>
        <v/>
      </c>
      <c r="O27" s="12">
        <f>'Octobre 2026'!S29</f>
        <v/>
      </c>
      <c r="P27" s="12">
        <f>IF(AND(K27&lt;&gt;"",O27&lt;&gt;"",Produits!D27&lt;&gt;""),IF(N(O27)&lt;=N(Produits!D27),1,0),0)</f>
        <v/>
      </c>
      <c r="Q27" s="12">
        <f>IF(K27="",-1,N27+ROW()/1000000)</f>
        <v/>
      </c>
    </row>
    <row r="28">
      <c r="K28" s="12">
        <f>'Octobre 2026'!A30</f>
        <v/>
      </c>
      <c r="L28" s="12">
        <f>N('Octobre 2026'!Q30)</f>
        <v/>
      </c>
      <c r="M28" s="13">
        <f>N(Produits!E28)</f>
        <v/>
      </c>
      <c r="N28" s="13">
        <f>L28*M28</f>
        <v/>
      </c>
      <c r="O28" s="12">
        <f>'Octobre 2026'!S30</f>
        <v/>
      </c>
      <c r="P28" s="12">
        <f>IF(AND(K28&lt;&gt;"",O28&lt;&gt;"",Produits!D28&lt;&gt;""),IF(N(O28)&lt;=N(Produits!D28),1,0),0)</f>
        <v/>
      </c>
      <c r="Q28" s="12">
        <f>IF(K28="",-1,N28+ROW()/1000000)</f>
        <v/>
      </c>
    </row>
    <row r="29">
      <c r="K29" s="12">
        <f>'Octobre 2026'!A31</f>
        <v/>
      </c>
      <c r="L29" s="12">
        <f>N('Octobre 2026'!Q31)</f>
        <v/>
      </c>
      <c r="M29" s="13">
        <f>N(Produits!E29)</f>
        <v/>
      </c>
      <c r="N29" s="13">
        <f>L29*M29</f>
        <v/>
      </c>
      <c r="O29" s="12">
        <f>'Octobre 2026'!S31</f>
        <v/>
      </c>
      <c r="P29" s="12">
        <f>IF(AND(K29&lt;&gt;"",O29&lt;&gt;"",Produits!D29&lt;&gt;""),IF(N(O29)&lt;=N(Produits!D29),1,0),0)</f>
        <v/>
      </c>
      <c r="Q29" s="12">
        <f>IF(K29="",-1,N29+ROW()/1000000)</f>
        <v/>
      </c>
    </row>
    <row r="30">
      <c r="K30" s="12">
        <f>'Octobre 2026'!A32</f>
        <v/>
      </c>
      <c r="L30" s="12">
        <f>N('Octobre 2026'!Q32)</f>
        <v/>
      </c>
      <c r="M30" s="13">
        <f>N(Produits!E30)</f>
        <v/>
      </c>
      <c r="N30" s="13">
        <f>L30*M30</f>
        <v/>
      </c>
      <c r="O30" s="12">
        <f>'Octobre 2026'!S32</f>
        <v/>
      </c>
      <c r="P30" s="12">
        <f>IF(AND(K30&lt;&gt;"",O30&lt;&gt;"",Produits!D30&lt;&gt;""),IF(N(O30)&lt;=N(Produits!D30),1,0),0)</f>
        <v/>
      </c>
      <c r="Q30" s="12">
        <f>IF(K30="",-1,N30+ROW()/1000000)</f>
        <v/>
      </c>
    </row>
    <row r="31">
      <c r="K31" s="12">
        <f>'Octobre 2026'!A33</f>
        <v/>
      </c>
      <c r="L31" s="12">
        <f>N('Octobre 2026'!Q33)</f>
        <v/>
      </c>
      <c r="M31" s="13">
        <f>N(Produits!E31)</f>
        <v/>
      </c>
      <c r="N31" s="13">
        <f>L31*M31</f>
        <v/>
      </c>
      <c r="O31" s="12">
        <f>'Octobre 2026'!S33</f>
        <v/>
      </c>
      <c r="P31" s="12">
        <f>IF(AND(K31&lt;&gt;"",O31&lt;&gt;"",Produits!D31&lt;&gt;""),IF(N(O31)&lt;=N(Produits!D31),1,0),0)</f>
        <v/>
      </c>
      <c r="Q31" s="12">
        <f>IF(K31="",-1,N31+ROW()/1000000)</f>
        <v/>
      </c>
    </row>
    <row r="32">
      <c r="K32" s="12">
        <f>'Octobre 2026'!A34</f>
        <v/>
      </c>
      <c r="L32" s="12">
        <f>N('Octobre 2026'!Q34)</f>
        <v/>
      </c>
      <c r="M32" s="13">
        <f>N(Produits!E32)</f>
        <v/>
      </c>
      <c r="N32" s="13">
        <f>L32*M32</f>
        <v/>
      </c>
      <c r="O32" s="12">
        <f>'Octobre 2026'!S34</f>
        <v/>
      </c>
      <c r="P32" s="12">
        <f>IF(AND(K32&lt;&gt;"",O32&lt;&gt;"",Produits!D32&lt;&gt;""),IF(N(O32)&lt;=N(Produits!D32),1,0),0)</f>
        <v/>
      </c>
      <c r="Q32" s="12">
        <f>IF(K32="",-1,N32+ROW()/1000000)</f>
        <v/>
      </c>
    </row>
    <row r="33">
      <c r="K33" s="12">
        <f>'Octobre 2026'!A35</f>
        <v/>
      </c>
      <c r="L33" s="12">
        <f>N('Octobre 2026'!Q35)</f>
        <v/>
      </c>
      <c r="M33" s="13">
        <f>N(Produits!E33)</f>
        <v/>
      </c>
      <c r="N33" s="13">
        <f>L33*M33</f>
        <v/>
      </c>
      <c r="O33" s="12">
        <f>'Octobre 2026'!S35</f>
        <v/>
      </c>
      <c r="P33" s="12">
        <f>IF(AND(K33&lt;&gt;"",O33&lt;&gt;"",Produits!D33&lt;&gt;""),IF(N(O33)&lt;=N(Produits!D33),1,0),0)</f>
        <v/>
      </c>
      <c r="Q33" s="12">
        <f>IF(K33="",-1,N33+ROW()/1000000)</f>
        <v/>
      </c>
    </row>
    <row r="34">
      <c r="K34" s="12">
        <f>'Octobre 2026'!A36</f>
        <v/>
      </c>
      <c r="L34" s="12">
        <f>N('Octobre 2026'!Q36)</f>
        <v/>
      </c>
      <c r="M34" s="13">
        <f>N(Produits!E34)</f>
        <v/>
      </c>
      <c r="N34" s="13">
        <f>L34*M34</f>
        <v/>
      </c>
      <c r="O34" s="12">
        <f>'Octobre 2026'!S36</f>
        <v/>
      </c>
      <c r="P34" s="12">
        <f>IF(AND(K34&lt;&gt;"",O34&lt;&gt;"",Produits!D34&lt;&gt;""),IF(N(O34)&lt;=N(Produits!D34),1,0),0)</f>
        <v/>
      </c>
      <c r="Q34" s="12">
        <f>IF(K34="",-1,N34+ROW()/1000000)</f>
        <v/>
      </c>
    </row>
    <row r="35">
      <c r="K35" s="12">
        <f>'Octobre 2026'!A37</f>
        <v/>
      </c>
      <c r="L35" s="12">
        <f>N('Octobre 2026'!Q37)</f>
        <v/>
      </c>
      <c r="M35" s="13">
        <f>N(Produits!E35)</f>
        <v/>
      </c>
      <c r="N35" s="13">
        <f>L35*M35</f>
        <v/>
      </c>
      <c r="O35" s="12">
        <f>'Octobre 2026'!S37</f>
        <v/>
      </c>
      <c r="P35" s="12">
        <f>IF(AND(K35&lt;&gt;"",O35&lt;&gt;"",Produits!D35&lt;&gt;""),IF(N(O35)&lt;=N(Produits!D35),1,0),0)</f>
        <v/>
      </c>
      <c r="Q35" s="12">
        <f>IF(K35="",-1,N35+ROW()/1000000)</f>
        <v/>
      </c>
    </row>
    <row r="36">
      <c r="K36" s="12">
        <f>'Octobre 2026'!A38</f>
        <v/>
      </c>
      <c r="L36" s="12">
        <f>N('Octobre 2026'!Q38)</f>
        <v/>
      </c>
      <c r="M36" s="13">
        <f>N(Produits!E36)</f>
        <v/>
      </c>
      <c r="N36" s="13">
        <f>L36*M36</f>
        <v/>
      </c>
      <c r="O36" s="12">
        <f>'Octobre 2026'!S38</f>
        <v/>
      </c>
      <c r="P36" s="12">
        <f>IF(AND(K36&lt;&gt;"",O36&lt;&gt;"",Produits!D36&lt;&gt;""),IF(N(O36)&lt;=N(Produits!D36),1,0),0)</f>
        <v/>
      </c>
      <c r="Q36" s="12">
        <f>IF(K36="",-1,N36+ROW()/1000000)</f>
        <v/>
      </c>
    </row>
    <row r="37">
      <c r="K37" s="12">
        <f>'Octobre 2026'!A39</f>
        <v/>
      </c>
      <c r="L37" s="12">
        <f>N('Octobre 2026'!Q39)</f>
        <v/>
      </c>
      <c r="M37" s="13">
        <f>N(Produits!E37)</f>
        <v/>
      </c>
      <c r="N37" s="13">
        <f>L37*M37</f>
        <v/>
      </c>
      <c r="O37" s="12">
        <f>'Octobre 2026'!S39</f>
        <v/>
      </c>
      <c r="P37" s="12">
        <f>IF(AND(K37&lt;&gt;"",O37&lt;&gt;"",Produits!D37&lt;&gt;""),IF(N(O37)&lt;=N(Produits!D37),1,0),0)</f>
        <v/>
      </c>
      <c r="Q37" s="12">
        <f>IF(K37="",-1,N37+ROW()/1000000)</f>
        <v/>
      </c>
    </row>
    <row r="38">
      <c r="K38" s="12">
        <f>'Octobre 2026'!A40</f>
        <v/>
      </c>
      <c r="L38" s="12">
        <f>N('Octobre 2026'!Q40)</f>
        <v/>
      </c>
      <c r="M38" s="13">
        <f>N(Produits!E38)</f>
        <v/>
      </c>
      <c r="N38" s="13">
        <f>L38*M38</f>
        <v/>
      </c>
      <c r="O38" s="12">
        <f>'Octobre 2026'!S40</f>
        <v/>
      </c>
      <c r="P38" s="12">
        <f>IF(AND(K38&lt;&gt;"",O38&lt;&gt;"",Produits!D38&lt;&gt;""),IF(N(O38)&lt;=N(Produits!D38),1,0),0)</f>
        <v/>
      </c>
      <c r="Q38" s="12">
        <f>IF(K38="",-1,N38+ROW()/1000000)</f>
        <v/>
      </c>
    </row>
    <row r="39">
      <c r="K39" s="12">
        <f>'Octobre 2026'!A41</f>
        <v/>
      </c>
      <c r="L39" s="12">
        <f>N('Octobre 2026'!Q41)</f>
        <v/>
      </c>
      <c r="M39" s="13">
        <f>N(Produits!E39)</f>
        <v/>
      </c>
      <c r="N39" s="13">
        <f>L39*M39</f>
        <v/>
      </c>
      <c r="O39" s="12">
        <f>'Octobre 2026'!S41</f>
        <v/>
      </c>
      <c r="P39" s="12">
        <f>IF(AND(K39&lt;&gt;"",O39&lt;&gt;"",Produits!D39&lt;&gt;""),IF(N(O39)&lt;=N(Produits!D39),1,0),0)</f>
        <v/>
      </c>
      <c r="Q39" s="12">
        <f>IF(K39="",-1,N39+ROW()/1000000)</f>
        <v/>
      </c>
    </row>
    <row r="40">
      <c r="K40" s="12">
        <f>'Octobre 2026'!A42</f>
        <v/>
      </c>
      <c r="L40" s="12">
        <f>N('Octobre 2026'!Q42)</f>
        <v/>
      </c>
      <c r="M40" s="13">
        <f>N(Produits!E40)</f>
        <v/>
      </c>
      <c r="N40" s="13">
        <f>L40*M40</f>
        <v/>
      </c>
      <c r="O40" s="12">
        <f>'Octobre 2026'!S42</f>
        <v/>
      </c>
      <c r="P40" s="12">
        <f>IF(AND(K40&lt;&gt;"",O40&lt;&gt;"",Produits!D40&lt;&gt;""),IF(N(O40)&lt;=N(Produits!D40),1,0),0)</f>
        <v/>
      </c>
      <c r="Q40" s="12">
        <f>IF(K40="",-1,N40+ROW()/1000000)</f>
        <v/>
      </c>
    </row>
    <row r="41">
      <c r="K41" s="12">
        <f>'Octobre 2026'!A43</f>
        <v/>
      </c>
      <c r="L41" s="12">
        <f>N('Octobre 2026'!Q43)</f>
        <v/>
      </c>
      <c r="M41" s="13">
        <f>N(Produits!E41)</f>
        <v/>
      </c>
      <c r="N41" s="13">
        <f>L41*M41</f>
        <v/>
      </c>
      <c r="O41" s="12">
        <f>'Octobre 2026'!S43</f>
        <v/>
      </c>
      <c r="P41" s="12">
        <f>IF(AND(K41&lt;&gt;"",O41&lt;&gt;"",Produits!D41&lt;&gt;""),IF(N(O41)&lt;=N(Produits!D41),1,0),0)</f>
        <v/>
      </c>
      <c r="Q41" s="12">
        <f>IF(K41="",-1,N41+ROW()/1000000)</f>
        <v/>
      </c>
    </row>
    <row r="42">
      <c r="K42" s="12">
        <f>'Octobre 2026'!A44</f>
        <v/>
      </c>
      <c r="L42" s="12">
        <f>N('Octobre 2026'!Q44)</f>
        <v/>
      </c>
      <c r="M42" s="13">
        <f>N(Produits!E42)</f>
        <v/>
      </c>
      <c r="N42" s="13">
        <f>L42*M42</f>
        <v/>
      </c>
      <c r="O42" s="12">
        <f>'Octobre 2026'!S44</f>
        <v/>
      </c>
      <c r="P42" s="12">
        <f>IF(AND(K42&lt;&gt;"",O42&lt;&gt;"",Produits!D42&lt;&gt;""),IF(N(O42)&lt;=N(Produits!D42),1,0),0)</f>
        <v/>
      </c>
      <c r="Q42" s="12">
        <f>IF(K42="",-1,N42+ROW()/1000000)</f>
        <v/>
      </c>
    </row>
    <row r="43">
      <c r="K43" s="12">
        <f>'Octobre 2026'!A45</f>
        <v/>
      </c>
      <c r="L43" s="12">
        <f>N('Octobre 2026'!Q45)</f>
        <v/>
      </c>
      <c r="M43" s="13">
        <f>N(Produits!E43)</f>
        <v/>
      </c>
      <c r="N43" s="13">
        <f>L43*M43</f>
        <v/>
      </c>
      <c r="O43" s="12">
        <f>'Octobre 2026'!S45</f>
        <v/>
      </c>
      <c r="P43" s="12">
        <f>IF(AND(K43&lt;&gt;"",O43&lt;&gt;"",Produits!D43&lt;&gt;""),IF(N(O43)&lt;=N(Produits!D43),1,0),0)</f>
        <v/>
      </c>
      <c r="Q43" s="12">
        <f>IF(K43="",-1,N43+ROW()/1000000)</f>
        <v/>
      </c>
    </row>
    <row r="44">
      <c r="K44" s="12">
        <f>'Octobre 2026'!A46</f>
        <v/>
      </c>
      <c r="L44" s="12">
        <f>N('Octobre 2026'!Q46)</f>
        <v/>
      </c>
      <c r="M44" s="13">
        <f>N(Produits!E44)</f>
        <v/>
      </c>
      <c r="N44" s="13">
        <f>L44*M44</f>
        <v/>
      </c>
      <c r="O44" s="12">
        <f>'Octobre 2026'!S46</f>
        <v/>
      </c>
      <c r="P44" s="12">
        <f>IF(AND(K44&lt;&gt;"",O44&lt;&gt;"",Produits!D44&lt;&gt;""),IF(N(O44)&lt;=N(Produits!D44),1,0),0)</f>
        <v/>
      </c>
      <c r="Q44" s="12">
        <f>IF(K44="",-1,N44+ROW()/1000000)</f>
        <v/>
      </c>
    </row>
  </sheetData>
  <mergeCells count="19">
    <mergeCell ref="B16:C16"/>
    <mergeCell ref="A5:B6"/>
    <mergeCell ref="G5:H6"/>
    <mergeCell ref="B18:C18"/>
    <mergeCell ref="B12:C12"/>
    <mergeCell ref="C4:D4"/>
    <mergeCell ref="E4:F4"/>
    <mergeCell ref="B11:C11"/>
    <mergeCell ref="B14:C14"/>
    <mergeCell ref="B17:C17"/>
    <mergeCell ref="B13:C13"/>
    <mergeCell ref="B19:C19"/>
    <mergeCell ref="B10:C10"/>
    <mergeCell ref="C5:D6"/>
    <mergeCell ref="E5:F6"/>
    <mergeCell ref="A4:B4"/>
    <mergeCell ref="G4:H4"/>
    <mergeCell ref="B15:C15"/>
    <mergeCell ref="B20:C20"/>
  </mergeCells>
  <conditionalFormatting sqref="C5">
    <cfRule type="expression" priority="1" dxfId="0">
      <formula>C5&gt;0</formula>
    </cfRule>
  </conditionalFormatting>
  <conditionalFormatting sqref="E5">
    <cfRule type="expression" priority="2" dxfId="1">
      <formula>E5&gt;0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9" customWidth="1" min="3" max="3"/>
    <col width="13" customWidth="1" min="4" max="4"/>
    <col width="14" customWidth="1" min="5" max="5"/>
  </cols>
  <sheetData>
    <row r="1" ht="26" customHeight="1">
      <c r="A1" s="1" t="inlineStr">
        <is>
          <t>Mes produits</t>
        </is>
      </c>
    </row>
    <row r="2">
      <c r="A2" s="2" t="inlineStr">
        <is>
          <t>Une ligne par produit. Tout le reste du fichier se remplit à partir de cette liste.</t>
        </is>
      </c>
    </row>
    <row r="4">
      <c r="A4" s="15" t="inlineStr">
        <is>
          <t>Produit</t>
        </is>
      </c>
      <c r="B4" s="15" t="inlineStr">
        <is>
          <t>Fournisseur</t>
        </is>
      </c>
      <c r="C4" s="15" t="inlineStr">
        <is>
          <t>Unité</t>
        </is>
      </c>
      <c r="D4" s="15" t="inlineStr">
        <is>
          <t>Stock minimum</t>
        </is>
      </c>
      <c r="E4" s="15" t="inlineStr">
        <is>
          <t>Prix unitaire (€)</t>
        </is>
      </c>
    </row>
    <row r="5">
      <c r="A5" s="20" t="inlineStr">
        <is>
          <t>Farine T55</t>
        </is>
      </c>
      <c r="B5" s="20" t="inlineStr">
        <is>
          <t>Metro</t>
        </is>
      </c>
      <c r="C5" s="21" t="inlineStr">
        <is>
          <t>kg</t>
        </is>
      </c>
      <c r="D5" s="21" t="n">
        <v>5</v>
      </c>
      <c r="E5" s="22" t="n">
        <v>0.9</v>
      </c>
    </row>
    <row r="6">
      <c r="A6" s="20" t="inlineStr">
        <is>
          <t>Farine T45</t>
        </is>
      </c>
      <c r="B6" s="20" t="inlineStr">
        <is>
          <t>Metro</t>
        </is>
      </c>
      <c r="C6" s="21" t="inlineStr">
        <is>
          <t>kg</t>
        </is>
      </c>
      <c r="D6" s="21" t="n">
        <v>3</v>
      </c>
      <c r="E6" s="22" t="n">
        <v>1.1</v>
      </c>
    </row>
    <row r="7">
      <c r="A7" s="20" t="inlineStr">
        <is>
          <t>Sucre semoule</t>
        </is>
      </c>
      <c r="B7" s="20" t="inlineStr">
        <is>
          <t>Metro</t>
        </is>
      </c>
      <c r="C7" s="21" t="inlineStr">
        <is>
          <t>kg</t>
        </is>
      </c>
      <c r="D7" s="21" t="n">
        <v>5</v>
      </c>
      <c r="E7" s="22" t="n">
        <v>1.2</v>
      </c>
    </row>
    <row r="8">
      <c r="A8" s="20" t="inlineStr">
        <is>
          <t>Sucre glace</t>
        </is>
      </c>
      <c r="B8" s="20" t="inlineStr">
        <is>
          <t>Metro</t>
        </is>
      </c>
      <c r="C8" s="21" t="inlineStr">
        <is>
          <t>kg</t>
        </is>
      </c>
      <c r="D8" s="21" t="n">
        <v>2</v>
      </c>
      <c r="E8" s="22" t="n">
        <v>1.8</v>
      </c>
    </row>
    <row r="9">
      <c r="A9" s="20" t="inlineStr">
        <is>
          <t>Beurre doux</t>
        </is>
      </c>
      <c r="B9" s="20" t="inlineStr">
        <is>
          <t>Crèmerie</t>
        </is>
      </c>
      <c r="C9" s="21" t="inlineStr">
        <is>
          <t>kg</t>
        </is>
      </c>
      <c r="D9" s="21" t="n">
        <v>4</v>
      </c>
      <c r="E9" s="22" t="n">
        <v>8.5</v>
      </c>
    </row>
    <row r="10">
      <c r="A10" s="20" t="inlineStr">
        <is>
          <t>Crème liquide 35%</t>
        </is>
      </c>
      <c r="B10" s="20" t="inlineStr">
        <is>
          <t>Crèmerie</t>
        </is>
      </c>
      <c r="C10" s="21" t="inlineStr">
        <is>
          <t>L</t>
        </is>
      </c>
      <c r="D10" s="21" t="n">
        <v>6</v>
      </c>
      <c r="E10" s="22" t="n">
        <v>4.2</v>
      </c>
    </row>
    <row r="11">
      <c r="A11" s="20" t="inlineStr">
        <is>
          <t>Lait entier</t>
        </is>
      </c>
      <c r="B11" s="20" t="inlineStr">
        <is>
          <t>Crèmerie</t>
        </is>
      </c>
      <c r="C11" s="21" t="inlineStr">
        <is>
          <t>L</t>
        </is>
      </c>
      <c r="D11" s="21" t="n">
        <v>5</v>
      </c>
      <c r="E11" s="22" t="n">
        <v>1.1</v>
      </c>
    </row>
    <row r="12">
      <c r="A12" s="20" t="inlineStr">
        <is>
          <t>Oeufs</t>
        </is>
      </c>
      <c r="B12" s="20" t="inlineStr">
        <is>
          <t>Crèmerie</t>
        </is>
      </c>
      <c r="C12" s="21" t="inlineStr">
        <is>
          <t>pièce</t>
        </is>
      </c>
      <c r="D12" s="21" t="n">
        <v>60</v>
      </c>
      <c r="E12" s="22" t="n">
        <v>0.25</v>
      </c>
    </row>
    <row r="13">
      <c r="A13" s="20" t="inlineStr">
        <is>
          <t>Chocolat blanc</t>
        </is>
      </c>
      <c r="B13" s="20" t="inlineStr">
        <is>
          <t>Transgourmet</t>
        </is>
      </c>
      <c r="C13" s="21" t="inlineStr">
        <is>
          <t>kg</t>
        </is>
      </c>
      <c r="D13" s="21" t="n">
        <v>2</v>
      </c>
      <c r="E13" s="22" t="n">
        <v>14</v>
      </c>
    </row>
    <row r="14">
      <c r="A14" s="20" t="inlineStr">
        <is>
          <t>Chocolat noir 70%</t>
        </is>
      </c>
      <c r="B14" s="20" t="inlineStr">
        <is>
          <t>Transgourmet</t>
        </is>
      </c>
      <c r="C14" s="21" t="inlineStr">
        <is>
          <t>kg</t>
        </is>
      </c>
      <c r="D14" s="21" t="n">
        <v>2</v>
      </c>
      <c r="E14" s="22" t="n">
        <v>13</v>
      </c>
    </row>
    <row r="15">
      <c r="A15" s="20" t="inlineStr">
        <is>
          <t>Levure chimique</t>
        </is>
      </c>
      <c r="B15" s="20" t="inlineStr">
        <is>
          <t>Transgourmet</t>
        </is>
      </c>
      <c r="C15" s="21" t="inlineStr">
        <is>
          <t>kg</t>
        </is>
      </c>
      <c r="D15" s="21" t="n">
        <v>0.5</v>
      </c>
      <c r="E15" s="22" t="n">
        <v>6</v>
      </c>
    </row>
    <row r="16">
      <c r="A16" s="20" t="inlineStr">
        <is>
          <t>Vanille (gousse)</t>
        </is>
      </c>
      <c r="B16" s="20" t="inlineStr">
        <is>
          <t>Transgourmet</t>
        </is>
      </c>
      <c r="C16" s="21" t="inlineStr">
        <is>
          <t>pièce</t>
        </is>
      </c>
      <c r="D16" s="21" t="n">
        <v>5</v>
      </c>
      <c r="E16" s="22" t="n">
        <v>2.5</v>
      </c>
    </row>
    <row r="17">
      <c r="A17" s="23" t="n"/>
      <c r="B17" s="23" t="n"/>
      <c r="C17" s="24" t="n"/>
      <c r="D17" s="24" t="n"/>
      <c r="E17" s="25" t="n"/>
    </row>
    <row r="18">
      <c r="A18" s="23" t="n"/>
      <c r="B18" s="23" t="n"/>
      <c r="C18" s="24" t="n"/>
      <c r="D18" s="24" t="n"/>
      <c r="E18" s="25" t="n"/>
    </row>
    <row r="19">
      <c r="A19" s="23" t="n"/>
      <c r="B19" s="23" t="n"/>
      <c r="C19" s="24" t="n"/>
      <c r="D19" s="24" t="n"/>
      <c r="E19" s="25" t="n"/>
    </row>
    <row r="20">
      <c r="A20" s="23" t="n"/>
      <c r="B20" s="23" t="n"/>
      <c r="C20" s="24" t="n"/>
      <c r="D20" s="24" t="n"/>
      <c r="E20" s="25" t="n"/>
    </row>
    <row r="21">
      <c r="A21" s="23" t="n"/>
      <c r="B21" s="23" t="n"/>
      <c r="C21" s="24" t="n"/>
      <c r="D21" s="24" t="n"/>
      <c r="E21" s="25" t="n"/>
    </row>
    <row r="22">
      <c r="A22" s="23" t="n"/>
      <c r="B22" s="23" t="n"/>
      <c r="C22" s="24" t="n"/>
      <c r="D22" s="24" t="n"/>
      <c r="E22" s="25" t="n"/>
    </row>
    <row r="23">
      <c r="A23" s="23" t="n"/>
      <c r="B23" s="23" t="n"/>
      <c r="C23" s="24" t="n"/>
      <c r="D23" s="24" t="n"/>
      <c r="E23" s="25" t="n"/>
    </row>
    <row r="24">
      <c r="A24" s="23" t="n"/>
      <c r="B24" s="23" t="n"/>
      <c r="C24" s="24" t="n"/>
      <c r="D24" s="24" t="n"/>
      <c r="E24" s="25" t="n"/>
    </row>
    <row r="25">
      <c r="A25" s="23" t="n"/>
      <c r="B25" s="23" t="n"/>
      <c r="C25" s="24" t="n"/>
      <c r="D25" s="24" t="n"/>
      <c r="E25" s="25" t="n"/>
    </row>
    <row r="26">
      <c r="A26" s="23" t="n"/>
      <c r="B26" s="23" t="n"/>
      <c r="C26" s="24" t="n"/>
      <c r="D26" s="24" t="n"/>
      <c r="E26" s="25" t="n"/>
    </row>
    <row r="27">
      <c r="A27" s="23" t="n"/>
      <c r="B27" s="23" t="n"/>
      <c r="C27" s="24" t="n"/>
      <c r="D27" s="24" t="n"/>
      <c r="E27" s="25" t="n"/>
    </row>
    <row r="28">
      <c r="A28" s="23" t="n"/>
      <c r="B28" s="23" t="n"/>
      <c r="C28" s="24" t="n"/>
      <c r="D28" s="24" t="n"/>
      <c r="E28" s="25" t="n"/>
    </row>
    <row r="29">
      <c r="A29" s="23" t="n"/>
      <c r="B29" s="23" t="n"/>
      <c r="C29" s="24" t="n"/>
      <c r="D29" s="24" t="n"/>
      <c r="E29" s="25" t="n"/>
    </row>
    <row r="30">
      <c r="A30" s="23" t="n"/>
      <c r="B30" s="23" t="n"/>
      <c r="C30" s="24" t="n"/>
      <c r="D30" s="24" t="n"/>
      <c r="E30" s="25" t="n"/>
    </row>
    <row r="31">
      <c r="A31" s="23" t="n"/>
      <c r="B31" s="23" t="n"/>
      <c r="C31" s="24" t="n"/>
      <c r="D31" s="24" t="n"/>
      <c r="E31" s="25" t="n"/>
    </row>
    <row r="32">
      <c r="A32" s="23" t="n"/>
      <c r="B32" s="23" t="n"/>
      <c r="C32" s="24" t="n"/>
      <c r="D32" s="24" t="n"/>
      <c r="E32" s="25" t="n"/>
    </row>
    <row r="33">
      <c r="A33" s="23" t="n"/>
      <c r="B33" s="23" t="n"/>
      <c r="C33" s="24" t="n"/>
      <c r="D33" s="24" t="n"/>
      <c r="E33" s="25" t="n"/>
    </row>
    <row r="34">
      <c r="A34" s="23" t="n"/>
      <c r="B34" s="23" t="n"/>
      <c r="C34" s="24" t="n"/>
      <c r="D34" s="24" t="n"/>
      <c r="E34" s="25" t="n"/>
    </row>
    <row r="35">
      <c r="A35" s="23" t="n"/>
      <c r="B35" s="23" t="n"/>
      <c r="C35" s="24" t="n"/>
      <c r="D35" s="24" t="n"/>
      <c r="E35" s="25" t="n"/>
    </row>
    <row r="36">
      <c r="A36" s="23" t="n"/>
      <c r="B36" s="23" t="n"/>
      <c r="C36" s="24" t="n"/>
      <c r="D36" s="24" t="n"/>
      <c r="E36" s="25" t="n"/>
    </row>
    <row r="37">
      <c r="A37" s="23" t="n"/>
      <c r="B37" s="23" t="n"/>
      <c r="C37" s="24" t="n"/>
      <c r="D37" s="24" t="n"/>
      <c r="E37" s="25" t="n"/>
    </row>
    <row r="38">
      <c r="A38" s="23" t="n"/>
      <c r="B38" s="23" t="n"/>
      <c r="C38" s="24" t="n"/>
      <c r="D38" s="24" t="n"/>
      <c r="E38" s="25" t="n"/>
    </row>
    <row r="39">
      <c r="A39" s="23" t="n"/>
      <c r="B39" s="23" t="n"/>
      <c r="C39" s="24" t="n"/>
      <c r="D39" s="24" t="n"/>
      <c r="E39" s="25" t="n"/>
    </row>
    <row r="40">
      <c r="A40" s="23" t="n"/>
      <c r="B40" s="23" t="n"/>
      <c r="C40" s="24" t="n"/>
      <c r="D40" s="24" t="n"/>
      <c r="E40" s="25" t="n"/>
    </row>
    <row r="41">
      <c r="A41" s="23" t="n"/>
      <c r="B41" s="23" t="n"/>
      <c r="C41" s="24" t="n"/>
      <c r="D41" s="24" t="n"/>
      <c r="E41" s="25" t="n"/>
    </row>
    <row r="42">
      <c r="A42" s="23" t="n"/>
      <c r="B42" s="23" t="n"/>
      <c r="C42" s="24" t="n"/>
      <c r="D42" s="24" t="n"/>
      <c r="E42" s="25" t="n"/>
    </row>
    <row r="43">
      <c r="A43" s="23" t="n"/>
      <c r="B43" s="23" t="n"/>
      <c r="C43" s="24" t="n"/>
      <c r="D43" s="24" t="n"/>
      <c r="E43" s="25" t="n"/>
    </row>
    <row r="44">
      <c r="A44" s="23" t="n"/>
      <c r="B44" s="23" t="n"/>
      <c r="C44" s="24" t="n"/>
      <c r="D44" s="24" t="n"/>
      <c r="E44" s="25" t="n"/>
    </row>
  </sheetData>
  <dataValidations count="2">
    <dataValidation sqref="C5:C44" showDropDown="0" showInputMessage="0" showErrorMessage="0" allowBlank="1" type="list">
      <formula1>"kg,g,L,pièce,paquet,boîte,sac"</formula1>
    </dataValidation>
    <dataValidation sqref="D5:E44" showDropDown="0" showInputMessage="0" showErrorMessage="1" allowBlank="1" errorTitle="Valeur invalide" error="Entre un nombre positif (ou laisse vide)." type="decimal" operator="greaterThanOrEqual">
      <formula1>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6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 ht="26" customHeight="1">
      <c r="A1" s="1" t="inlineStr">
        <is>
          <t>Octobre 2026</t>
        </is>
      </c>
    </row>
    <row r="2">
      <c r="A2" s="2" t="inlineStr">
        <is>
          <t>Stock = ce qu'il reste · Commandé = ce que tu demandes · Reçu = ce qui est arrivé</t>
        </is>
      </c>
    </row>
    <row r="4">
      <c r="A4" s="15" t="inlineStr">
        <is>
          <t>Produit</t>
        </is>
      </c>
      <c r="B4" s="15" t="inlineStr">
        <is>
          <t>Fournisseur</t>
        </is>
      </c>
      <c r="C4" s="15" t="inlineStr">
        <is>
          <t>Unité</t>
        </is>
      </c>
      <c r="D4" s="15" t="inlineStr">
        <is>
          <t>Semaine 1</t>
        </is>
      </c>
      <c r="E4" s="26" t="n"/>
      <c r="F4" s="26" t="n"/>
      <c r="G4" s="15" t="inlineStr">
        <is>
          <t>Semaine 2</t>
        </is>
      </c>
      <c r="H4" s="26" t="n"/>
      <c r="I4" s="26" t="n"/>
      <c r="J4" s="15" t="inlineStr">
        <is>
          <t>Semaine 3</t>
        </is>
      </c>
      <c r="K4" s="26" t="n"/>
      <c r="L4" s="26" t="n"/>
      <c r="M4" s="15" t="inlineStr">
        <is>
          <t>Semaine 4</t>
        </is>
      </c>
      <c r="N4" s="26" t="n"/>
      <c r="O4" s="26" t="n"/>
      <c r="P4" s="15" t="inlineStr">
        <is>
          <t>Total du mois</t>
        </is>
      </c>
      <c r="Q4" s="26" t="n"/>
      <c r="R4" s="26" t="n"/>
      <c r="S4" s="26" t="n"/>
    </row>
    <row r="5">
      <c r="A5" s="26" t="n"/>
      <c r="B5" s="26" t="n"/>
      <c r="C5" s="26" t="n"/>
      <c r="D5" s="27" t="n"/>
      <c r="E5" s="28" t="n"/>
      <c r="F5" s="28" t="n"/>
      <c r="G5" s="27" t="n"/>
      <c r="H5" s="28" t="n"/>
      <c r="I5" s="28" t="n"/>
      <c r="J5" s="27" t="n"/>
      <c r="K5" s="28" t="n"/>
      <c r="L5" s="28" t="n"/>
      <c r="M5" s="27" t="n"/>
      <c r="N5" s="28" t="n"/>
      <c r="O5" s="28" t="n"/>
      <c r="P5" s="26" t="n"/>
      <c r="Q5" s="26" t="n"/>
      <c r="R5" s="26" t="n"/>
      <c r="S5" s="26" t="n"/>
    </row>
    <row r="6">
      <c r="A6" s="26" t="n"/>
      <c r="B6" s="26" t="n"/>
      <c r="C6" s="26" t="n"/>
      <c r="D6" s="9" t="inlineStr">
        <is>
          <t>Stock</t>
        </is>
      </c>
      <c r="E6" s="9" t="inlineStr">
        <is>
          <t>Commandé</t>
        </is>
      </c>
      <c r="F6" s="9" t="inlineStr">
        <is>
          <t>Reçu</t>
        </is>
      </c>
      <c r="G6" s="9" t="inlineStr">
        <is>
          <t>Stock</t>
        </is>
      </c>
      <c r="H6" s="9" t="inlineStr">
        <is>
          <t>Commandé</t>
        </is>
      </c>
      <c r="I6" s="9" t="inlineStr">
        <is>
          <t>Reçu</t>
        </is>
      </c>
      <c r="J6" s="9" t="inlineStr">
        <is>
          <t>Stock</t>
        </is>
      </c>
      <c r="K6" s="9" t="inlineStr">
        <is>
          <t>Commandé</t>
        </is>
      </c>
      <c r="L6" s="9" t="inlineStr">
        <is>
          <t>Reçu</t>
        </is>
      </c>
      <c r="M6" s="9" t="inlineStr">
        <is>
          <t>Stock</t>
        </is>
      </c>
      <c r="N6" s="9" t="inlineStr">
        <is>
          <t>Commandé</t>
        </is>
      </c>
      <c r="O6" s="9" t="inlineStr">
        <is>
          <t>Reçu</t>
        </is>
      </c>
      <c r="P6" s="9" t="inlineStr">
        <is>
          <t>Commandé</t>
        </is>
      </c>
      <c r="Q6" s="9" t="inlineStr">
        <is>
          <t>Reçu</t>
        </is>
      </c>
      <c r="R6" s="9" t="inlineStr">
        <is>
          <t>Écart</t>
        </is>
      </c>
      <c r="S6" s="9" t="inlineStr">
        <is>
          <t>Dernier stock</t>
        </is>
      </c>
    </row>
    <row r="7">
      <c r="A7" s="29">
        <f>IF(Produits!$A$5="","",Produits!$A$5)</f>
        <v/>
      </c>
      <c r="B7" s="30">
        <f>IF(Produits!$A$5="","",Produits!$B$5)</f>
        <v/>
      </c>
      <c r="C7" s="31">
        <f>IF(Produits!$A$5="","",Produits!$C$5)</f>
        <v/>
      </c>
      <c r="D7" s="21" t="n">
        <v>8</v>
      </c>
      <c r="E7" s="21" t="n">
        <v>10</v>
      </c>
      <c r="F7" s="21" t="n">
        <v>7</v>
      </c>
      <c r="G7" s="21" t="n">
        <v>5</v>
      </c>
      <c r="H7" s="21" t="n">
        <v>10</v>
      </c>
      <c r="I7" s="21" t="n">
        <v>10</v>
      </c>
      <c r="J7" s="24" t="n"/>
      <c r="K7" s="24" t="n"/>
      <c r="L7" s="24" t="n"/>
      <c r="M7" s="24" t="n"/>
      <c r="N7" s="24" t="n"/>
      <c r="O7" s="24" t="n"/>
      <c r="P7" s="32">
        <f>IF(COUNT(E7,H7,K7,N7)=0,"",SUM(E7,H7,K7,N7))</f>
        <v/>
      </c>
      <c r="Q7" s="32">
        <f>IF(COUNT(F7,I7,L7,O7)=0,"",SUM(F7,I7,L7,O7))</f>
        <v/>
      </c>
      <c r="R7" s="32">
        <f>IF(OR(P7="",Q7=""),"",Q7-P7)</f>
        <v/>
      </c>
      <c r="S7" s="32">
        <f>IF(M7&lt;&gt;"",M7,IF(J7&lt;&gt;"",J7,IF(G7&lt;&gt;"",G7,IF(D7&lt;&gt;"",D7,""))))</f>
        <v/>
      </c>
    </row>
    <row r="8">
      <c r="A8" s="29">
        <f>IF(Produits!$A$6="","",Produits!$A$6)</f>
        <v/>
      </c>
      <c r="B8" s="30">
        <f>IF(Produits!$A$6="","",Produits!$B$6)</f>
        <v/>
      </c>
      <c r="C8" s="31">
        <f>IF(Produits!$A$6="","",Produits!$C$6)</f>
        <v/>
      </c>
      <c r="D8" s="21" t="n">
        <v>2</v>
      </c>
      <c r="E8" s="21" t="n">
        <v>5</v>
      </c>
      <c r="F8" s="21" t="n">
        <v>5</v>
      </c>
      <c r="G8" s="21" t="n">
        <v>3</v>
      </c>
      <c r="H8" s="21" t="n">
        <v>3</v>
      </c>
      <c r="I8" s="21" t="n">
        <v>3</v>
      </c>
      <c r="J8" s="24" t="n"/>
      <c r="K8" s="24" t="n"/>
      <c r="L8" s="24" t="n"/>
      <c r="M8" s="24" t="n"/>
      <c r="N8" s="24" t="n"/>
      <c r="O8" s="24" t="n"/>
      <c r="P8" s="32">
        <f>IF(COUNT(E8,H8,K8,N8)=0,"",SUM(E8,H8,K8,N8))</f>
        <v/>
      </c>
      <c r="Q8" s="32">
        <f>IF(COUNT(F8,I8,L8,O8)=0,"",SUM(F8,I8,L8,O8))</f>
        <v/>
      </c>
      <c r="R8" s="32">
        <f>IF(OR(P8="",Q8=""),"",Q8-P8)</f>
        <v/>
      </c>
      <c r="S8" s="32">
        <f>IF(M8&lt;&gt;"",M8,IF(J8&lt;&gt;"",J8,IF(G8&lt;&gt;"",G8,IF(D8&lt;&gt;"",D8,""))))</f>
        <v/>
      </c>
    </row>
    <row r="9">
      <c r="A9" s="29">
        <f>IF(Produits!$A$7="","",Produits!$A$7)</f>
        <v/>
      </c>
      <c r="B9" s="30">
        <f>IF(Produits!$A$7="","",Produits!$B$7)</f>
        <v/>
      </c>
      <c r="C9" s="31">
        <f>IF(Produits!$A$7="","",Produits!$C$7)</f>
        <v/>
      </c>
      <c r="D9" s="21" t="n">
        <v>6</v>
      </c>
      <c r="E9" s="21" t="n">
        <v>10</v>
      </c>
      <c r="F9" s="21" t="n">
        <v>10</v>
      </c>
      <c r="G9" s="21" t="n">
        <v>7</v>
      </c>
      <c r="H9" s="21" t="n">
        <v>5</v>
      </c>
      <c r="I9" s="21" t="n">
        <v>5</v>
      </c>
      <c r="J9" s="24" t="n"/>
      <c r="K9" s="24" t="n"/>
      <c r="L9" s="24" t="n"/>
      <c r="M9" s="24" t="n"/>
      <c r="N9" s="24" t="n"/>
      <c r="O9" s="24" t="n"/>
      <c r="P9" s="32">
        <f>IF(COUNT(E9,H9,K9,N9)=0,"",SUM(E9,H9,K9,N9))</f>
        <v/>
      </c>
      <c r="Q9" s="32">
        <f>IF(COUNT(F9,I9,L9,O9)=0,"",SUM(F9,I9,L9,O9))</f>
        <v/>
      </c>
      <c r="R9" s="32">
        <f>IF(OR(P9="",Q9=""),"",Q9-P9)</f>
        <v/>
      </c>
      <c r="S9" s="32">
        <f>IF(M9&lt;&gt;"",M9,IF(J9&lt;&gt;"",J9,IF(G9&lt;&gt;"",G9,IF(D9&lt;&gt;"",D9,""))))</f>
        <v/>
      </c>
    </row>
    <row r="10">
      <c r="A10" s="29">
        <f>IF(Produits!$A$8="","",Produits!$A$8)</f>
        <v/>
      </c>
      <c r="B10" s="30">
        <f>IF(Produits!$A$8="","",Produits!$B$8)</f>
        <v/>
      </c>
      <c r="C10" s="31">
        <f>IF(Produits!$A$8="","",Produits!$C$8)</f>
        <v/>
      </c>
      <c r="D10" s="21" t="n">
        <v>1</v>
      </c>
      <c r="E10" s="21" t="n">
        <v>3</v>
      </c>
      <c r="F10" s="21" t="n">
        <v>3</v>
      </c>
      <c r="G10" s="21" t="n">
        <v>2</v>
      </c>
      <c r="H10" s="21" t="n">
        <v>0</v>
      </c>
      <c r="I10" s="21" t="n">
        <v>0</v>
      </c>
      <c r="J10" s="24" t="n"/>
      <c r="K10" s="24" t="n"/>
      <c r="L10" s="24" t="n"/>
      <c r="M10" s="24" t="n"/>
      <c r="N10" s="24" t="n"/>
      <c r="O10" s="24" t="n"/>
      <c r="P10" s="32">
        <f>IF(COUNT(E10,H10,K10,N10)=0,"",SUM(E10,H10,K10,N10))</f>
        <v/>
      </c>
      <c r="Q10" s="32">
        <f>IF(COUNT(F10,I10,L10,O10)=0,"",SUM(F10,I10,L10,O10))</f>
        <v/>
      </c>
      <c r="R10" s="32">
        <f>IF(OR(P10="",Q10=""),"",Q10-P10)</f>
        <v/>
      </c>
      <c r="S10" s="32">
        <f>IF(M10&lt;&gt;"",M10,IF(J10&lt;&gt;"",J10,IF(G10&lt;&gt;"",G10,IF(D10&lt;&gt;"",D10,""))))</f>
        <v/>
      </c>
    </row>
    <row r="11">
      <c r="A11" s="29">
        <f>IF(Produits!$A$9="","",Produits!$A$9)</f>
        <v/>
      </c>
      <c r="B11" s="30">
        <f>IF(Produits!$A$9="","",Produits!$B$9)</f>
        <v/>
      </c>
      <c r="C11" s="31">
        <f>IF(Produits!$A$9="","",Produits!$C$9)</f>
        <v/>
      </c>
      <c r="D11" s="21" t="n">
        <v>3</v>
      </c>
      <c r="E11" s="21" t="n">
        <v>5</v>
      </c>
      <c r="F11" s="21" t="n">
        <v>5</v>
      </c>
      <c r="G11" s="21" t="n">
        <v>4</v>
      </c>
      <c r="H11" s="21" t="n">
        <v>5</v>
      </c>
      <c r="I11" s="21" t="n">
        <v>5</v>
      </c>
      <c r="J11" s="24" t="n"/>
      <c r="K11" s="24" t="n"/>
      <c r="L11" s="24" t="n"/>
      <c r="M11" s="24" t="n"/>
      <c r="N11" s="24" t="n"/>
      <c r="O11" s="24" t="n"/>
      <c r="P11" s="32">
        <f>IF(COUNT(E11,H11,K11,N11)=0,"",SUM(E11,H11,K11,N11))</f>
        <v/>
      </c>
      <c r="Q11" s="32">
        <f>IF(COUNT(F11,I11,L11,O11)=0,"",SUM(F11,I11,L11,O11))</f>
        <v/>
      </c>
      <c r="R11" s="32">
        <f>IF(OR(P11="",Q11=""),"",Q11-P11)</f>
        <v/>
      </c>
      <c r="S11" s="32">
        <f>IF(M11&lt;&gt;"",M11,IF(J11&lt;&gt;"",J11,IF(G11&lt;&gt;"",G11,IF(D11&lt;&gt;"",D11,""))))</f>
        <v/>
      </c>
    </row>
    <row r="12">
      <c r="A12" s="29">
        <f>IF(Produits!$A$10="","",Produits!$A$10)</f>
        <v/>
      </c>
      <c r="B12" s="30">
        <f>IF(Produits!$A$10="","",Produits!$B$10)</f>
        <v/>
      </c>
      <c r="C12" s="31">
        <f>IF(Produits!$A$10="","",Produits!$C$10)</f>
        <v/>
      </c>
      <c r="D12" s="21" t="n">
        <v>4</v>
      </c>
      <c r="E12" s="21" t="n">
        <v>12</v>
      </c>
      <c r="F12" s="21" t="n">
        <v>12</v>
      </c>
      <c r="G12" s="21" t="n">
        <v>5</v>
      </c>
      <c r="H12" s="21" t="n">
        <v>10</v>
      </c>
      <c r="I12" s="21" t="n">
        <v>10</v>
      </c>
      <c r="J12" s="24" t="n"/>
      <c r="K12" s="24" t="n"/>
      <c r="L12" s="24" t="n"/>
      <c r="M12" s="24" t="n"/>
      <c r="N12" s="24" t="n"/>
      <c r="O12" s="24" t="n"/>
      <c r="P12" s="32">
        <f>IF(COUNT(E12,H12,K12,N12)=0,"",SUM(E12,H12,K12,N12))</f>
        <v/>
      </c>
      <c r="Q12" s="32">
        <f>IF(COUNT(F12,I12,L12,O12)=0,"",SUM(F12,I12,L12,O12))</f>
        <v/>
      </c>
      <c r="R12" s="32">
        <f>IF(OR(P12="",Q12=""),"",Q12-P12)</f>
        <v/>
      </c>
      <c r="S12" s="32">
        <f>IF(M12&lt;&gt;"",M12,IF(J12&lt;&gt;"",J12,IF(G12&lt;&gt;"",G12,IF(D12&lt;&gt;"",D12,""))))</f>
        <v/>
      </c>
    </row>
    <row r="13">
      <c r="A13" s="29">
        <f>IF(Produits!$A$11="","",Produits!$A$11)</f>
        <v/>
      </c>
      <c r="B13" s="30">
        <f>IF(Produits!$A$11="","",Produits!$B$11)</f>
        <v/>
      </c>
      <c r="C13" s="31">
        <f>IF(Produits!$A$11="","",Produits!$C$11)</f>
        <v/>
      </c>
      <c r="D13" s="21" t="n">
        <v>3</v>
      </c>
      <c r="E13" s="21" t="n">
        <v>6</v>
      </c>
      <c r="F13" s="21" t="n">
        <v>6</v>
      </c>
      <c r="G13" s="21" t="n">
        <v>4</v>
      </c>
      <c r="H13" s="21" t="n">
        <v>6</v>
      </c>
      <c r="I13" s="21" t="n">
        <v>6</v>
      </c>
      <c r="J13" s="24" t="n"/>
      <c r="K13" s="24" t="n"/>
      <c r="L13" s="24" t="n"/>
      <c r="M13" s="24" t="n"/>
      <c r="N13" s="24" t="n"/>
      <c r="O13" s="24" t="n"/>
      <c r="P13" s="32">
        <f>IF(COUNT(E13,H13,K13,N13)=0,"",SUM(E13,H13,K13,N13))</f>
        <v/>
      </c>
      <c r="Q13" s="32">
        <f>IF(COUNT(F13,I13,L13,O13)=0,"",SUM(F13,I13,L13,O13))</f>
        <v/>
      </c>
      <c r="R13" s="32">
        <f>IF(OR(P13="",Q13=""),"",Q13-P13)</f>
        <v/>
      </c>
      <c r="S13" s="32">
        <f>IF(M13&lt;&gt;"",M13,IF(J13&lt;&gt;"",J13,IF(G13&lt;&gt;"",G13,IF(D13&lt;&gt;"",D13,""))))</f>
        <v/>
      </c>
    </row>
    <row r="14">
      <c r="A14" s="29">
        <f>IF(Produits!$A$12="","",Produits!$A$12)</f>
        <v/>
      </c>
      <c r="B14" s="30">
        <f>IF(Produits!$A$12="","",Produits!$B$12)</f>
        <v/>
      </c>
      <c r="C14" s="31">
        <f>IF(Produits!$A$12="","",Produits!$C$12)</f>
        <v/>
      </c>
      <c r="D14" s="21" t="n">
        <v>40</v>
      </c>
      <c r="E14" s="21" t="n">
        <v>90</v>
      </c>
      <c r="F14" s="21" t="n">
        <v>90</v>
      </c>
      <c r="G14" s="21" t="n">
        <v>50</v>
      </c>
      <c r="H14" s="21" t="n">
        <v>60</v>
      </c>
      <c r="I14" s="21" t="n">
        <v>60</v>
      </c>
      <c r="J14" s="24" t="n"/>
      <c r="K14" s="24" t="n"/>
      <c r="L14" s="24" t="n"/>
      <c r="M14" s="24" t="n"/>
      <c r="N14" s="24" t="n"/>
      <c r="O14" s="24" t="n"/>
      <c r="P14" s="32">
        <f>IF(COUNT(E14,H14,K14,N14)=0,"",SUM(E14,H14,K14,N14))</f>
        <v/>
      </c>
      <c r="Q14" s="32">
        <f>IF(COUNT(F14,I14,L14,O14)=0,"",SUM(F14,I14,L14,O14))</f>
        <v/>
      </c>
      <c r="R14" s="32">
        <f>IF(OR(P14="",Q14=""),"",Q14-P14)</f>
        <v/>
      </c>
      <c r="S14" s="32">
        <f>IF(M14&lt;&gt;"",M14,IF(J14&lt;&gt;"",J14,IF(G14&lt;&gt;"",G14,IF(D14&lt;&gt;"",D14,""))))</f>
        <v/>
      </c>
    </row>
    <row r="15">
      <c r="A15" s="29">
        <f>IF(Produits!$A$13="","",Produits!$A$13)</f>
        <v/>
      </c>
      <c r="B15" s="30">
        <f>IF(Produits!$A$13="","",Produits!$B$13)</f>
        <v/>
      </c>
      <c r="C15" s="31">
        <f>IF(Produits!$A$13="","",Produits!$C$13)</f>
        <v/>
      </c>
      <c r="D15" s="21" t="n">
        <v>1.5</v>
      </c>
      <c r="E15" s="21" t="n">
        <v>3</v>
      </c>
      <c r="F15" s="21" t="n">
        <v>2</v>
      </c>
      <c r="G15" s="21" t="n">
        <v>2</v>
      </c>
      <c r="H15" s="21" t="n">
        <v>2</v>
      </c>
      <c r="I15" s="21" t="n">
        <v>2</v>
      </c>
      <c r="J15" s="24" t="n"/>
      <c r="K15" s="24" t="n"/>
      <c r="L15" s="24" t="n"/>
      <c r="M15" s="24" t="n"/>
      <c r="N15" s="24" t="n"/>
      <c r="O15" s="24" t="n"/>
      <c r="P15" s="32">
        <f>IF(COUNT(E15,H15,K15,N15)=0,"",SUM(E15,H15,K15,N15))</f>
        <v/>
      </c>
      <c r="Q15" s="32">
        <f>IF(COUNT(F15,I15,L15,O15)=0,"",SUM(F15,I15,L15,O15))</f>
        <v/>
      </c>
      <c r="R15" s="32">
        <f>IF(OR(P15="",Q15=""),"",Q15-P15)</f>
        <v/>
      </c>
      <c r="S15" s="32">
        <f>IF(M15&lt;&gt;"",M15,IF(J15&lt;&gt;"",J15,IF(G15&lt;&gt;"",G15,IF(D15&lt;&gt;"",D15,""))))</f>
        <v/>
      </c>
    </row>
    <row r="16">
      <c r="A16" s="29">
        <f>IF(Produits!$A$14="","",Produits!$A$14)</f>
        <v/>
      </c>
      <c r="B16" s="30">
        <f>IF(Produits!$A$14="","",Produits!$B$14)</f>
        <v/>
      </c>
      <c r="C16" s="31">
        <f>IF(Produits!$A$14="","",Produits!$C$14)</f>
        <v/>
      </c>
      <c r="D16" s="21" t="n">
        <v>2</v>
      </c>
      <c r="E16" s="21" t="n">
        <v>2</v>
      </c>
      <c r="F16" s="21" t="n">
        <v>2</v>
      </c>
      <c r="G16" s="21" t="n">
        <v>2</v>
      </c>
      <c r="H16" s="21" t="n">
        <v>2</v>
      </c>
      <c r="I16" s="21" t="n">
        <v>2</v>
      </c>
      <c r="J16" s="24" t="n"/>
      <c r="K16" s="24" t="n"/>
      <c r="L16" s="24" t="n"/>
      <c r="M16" s="24" t="n"/>
      <c r="N16" s="24" t="n"/>
      <c r="O16" s="24" t="n"/>
      <c r="P16" s="32">
        <f>IF(COUNT(E16,H16,K16,N16)=0,"",SUM(E16,H16,K16,N16))</f>
        <v/>
      </c>
      <c r="Q16" s="32">
        <f>IF(COUNT(F16,I16,L16,O16)=0,"",SUM(F16,I16,L16,O16))</f>
        <v/>
      </c>
      <c r="R16" s="32">
        <f>IF(OR(P16="",Q16=""),"",Q16-P16)</f>
        <v/>
      </c>
      <c r="S16" s="32">
        <f>IF(M16&lt;&gt;"",M16,IF(J16&lt;&gt;"",J16,IF(G16&lt;&gt;"",G16,IF(D16&lt;&gt;"",D16,""))))</f>
        <v/>
      </c>
    </row>
    <row r="17">
      <c r="A17" s="29">
        <f>IF(Produits!$A$15="","",Produits!$A$15)</f>
        <v/>
      </c>
      <c r="B17" s="30">
        <f>IF(Produits!$A$15="","",Produits!$B$15)</f>
        <v/>
      </c>
      <c r="C17" s="31">
        <f>IF(Produits!$A$15="","",Produits!$C$15)</f>
        <v/>
      </c>
      <c r="D17" s="21" t="n">
        <v>0.4</v>
      </c>
      <c r="E17" s="21" t="n">
        <v>1</v>
      </c>
      <c r="F17" s="21" t="n">
        <v>1</v>
      </c>
      <c r="G17" s="21" t="n">
        <v>0.6</v>
      </c>
      <c r="H17" s="21" t="n">
        <v>0</v>
      </c>
      <c r="I17" s="21" t="n">
        <v>0</v>
      </c>
      <c r="J17" s="24" t="n"/>
      <c r="K17" s="24" t="n"/>
      <c r="L17" s="24" t="n"/>
      <c r="M17" s="24" t="n"/>
      <c r="N17" s="24" t="n"/>
      <c r="O17" s="24" t="n"/>
      <c r="P17" s="32">
        <f>IF(COUNT(E17,H17,K17,N17)=0,"",SUM(E17,H17,K17,N17))</f>
        <v/>
      </c>
      <c r="Q17" s="32">
        <f>IF(COUNT(F17,I17,L17,O17)=0,"",SUM(F17,I17,L17,O17))</f>
        <v/>
      </c>
      <c r="R17" s="32">
        <f>IF(OR(P17="",Q17=""),"",Q17-P17)</f>
        <v/>
      </c>
      <c r="S17" s="32">
        <f>IF(M17&lt;&gt;"",M17,IF(J17&lt;&gt;"",J17,IF(G17&lt;&gt;"",G17,IF(D17&lt;&gt;"",D17,""))))</f>
        <v/>
      </c>
    </row>
    <row r="18">
      <c r="A18" s="29">
        <f>IF(Produits!$A$16="","",Produits!$A$16)</f>
        <v/>
      </c>
      <c r="B18" s="30">
        <f>IF(Produits!$A$16="","",Produits!$B$16)</f>
        <v/>
      </c>
      <c r="C18" s="31">
        <f>IF(Produits!$A$16="","",Produits!$C$16)</f>
        <v/>
      </c>
      <c r="D18" s="21" t="n">
        <v>6</v>
      </c>
      <c r="E18" s="21" t="n">
        <v>0</v>
      </c>
      <c r="F18" s="21" t="n">
        <v>0</v>
      </c>
      <c r="G18" s="21" t="n">
        <v>6</v>
      </c>
      <c r="H18" s="21" t="n">
        <v>0</v>
      </c>
      <c r="I18" s="21" t="n">
        <v>0</v>
      </c>
      <c r="J18" s="24" t="n"/>
      <c r="K18" s="24" t="n"/>
      <c r="L18" s="24" t="n"/>
      <c r="M18" s="24" t="n"/>
      <c r="N18" s="24" t="n"/>
      <c r="O18" s="24" t="n"/>
      <c r="P18" s="32">
        <f>IF(COUNT(E18,H18,K18,N18)=0,"",SUM(E18,H18,K18,N18))</f>
        <v/>
      </c>
      <c r="Q18" s="32">
        <f>IF(COUNT(F18,I18,L18,O18)=0,"",SUM(F18,I18,L18,O18))</f>
        <v/>
      </c>
      <c r="R18" s="32">
        <f>IF(OR(P18="",Q18=""),"",Q18-P18)</f>
        <v/>
      </c>
      <c r="S18" s="32">
        <f>IF(M18&lt;&gt;"",M18,IF(J18&lt;&gt;"",J18,IF(G18&lt;&gt;"",G18,IF(D18&lt;&gt;"",D18,""))))</f>
        <v/>
      </c>
    </row>
    <row r="19">
      <c r="A19" s="29">
        <f>IF(Produits!$A$17="","",Produits!$A$17)</f>
        <v/>
      </c>
      <c r="B19" s="30">
        <f>IF(Produits!$A$17="","",Produits!$B$17)</f>
        <v/>
      </c>
      <c r="C19" s="31">
        <f>IF(Produits!$A$17="","",Produits!$C$17)</f>
        <v/>
      </c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32">
        <f>IF(COUNT(E19,H19,K19,N19)=0,"",SUM(E19,H19,K19,N19))</f>
        <v/>
      </c>
      <c r="Q19" s="32">
        <f>IF(COUNT(F19,I19,L19,O19)=0,"",SUM(F19,I19,L19,O19))</f>
        <v/>
      </c>
      <c r="R19" s="32">
        <f>IF(OR(P19="",Q19=""),"",Q19-P19)</f>
        <v/>
      </c>
      <c r="S19" s="32">
        <f>IF(M19&lt;&gt;"",M19,IF(J19&lt;&gt;"",J19,IF(G19&lt;&gt;"",G19,IF(D19&lt;&gt;"",D19,""))))</f>
        <v/>
      </c>
    </row>
    <row r="20">
      <c r="A20" s="29">
        <f>IF(Produits!$A$18="","",Produits!$A$18)</f>
        <v/>
      </c>
      <c r="B20" s="30">
        <f>IF(Produits!$A$18="","",Produits!$B$18)</f>
        <v/>
      </c>
      <c r="C20" s="31">
        <f>IF(Produits!$A$18="","",Produits!$C$18)</f>
        <v/>
      </c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32">
        <f>IF(COUNT(E20,H20,K20,N20)=0,"",SUM(E20,H20,K20,N20))</f>
        <v/>
      </c>
      <c r="Q20" s="32">
        <f>IF(COUNT(F20,I20,L20,O20)=0,"",SUM(F20,I20,L20,O20))</f>
        <v/>
      </c>
      <c r="R20" s="32">
        <f>IF(OR(P20="",Q20=""),"",Q20-P20)</f>
        <v/>
      </c>
      <c r="S20" s="32">
        <f>IF(M20&lt;&gt;"",M20,IF(J20&lt;&gt;"",J20,IF(G20&lt;&gt;"",G20,IF(D20&lt;&gt;"",D20,""))))</f>
        <v/>
      </c>
    </row>
    <row r="21">
      <c r="A21" s="29">
        <f>IF(Produits!$A$19="","",Produits!$A$19)</f>
        <v/>
      </c>
      <c r="B21" s="30">
        <f>IF(Produits!$A$19="","",Produits!$B$19)</f>
        <v/>
      </c>
      <c r="C21" s="31">
        <f>IF(Produits!$A$19="","",Produits!$C$19)</f>
        <v/>
      </c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32">
        <f>IF(COUNT(E21,H21,K21,N21)=0,"",SUM(E21,H21,K21,N21))</f>
        <v/>
      </c>
      <c r="Q21" s="32">
        <f>IF(COUNT(F21,I21,L21,O21)=0,"",SUM(F21,I21,L21,O21))</f>
        <v/>
      </c>
      <c r="R21" s="32">
        <f>IF(OR(P21="",Q21=""),"",Q21-P21)</f>
        <v/>
      </c>
      <c r="S21" s="32">
        <f>IF(M21&lt;&gt;"",M21,IF(J21&lt;&gt;"",J21,IF(G21&lt;&gt;"",G21,IF(D21&lt;&gt;"",D21,""))))</f>
        <v/>
      </c>
    </row>
    <row r="22">
      <c r="A22" s="29">
        <f>IF(Produits!$A$20="","",Produits!$A$20)</f>
        <v/>
      </c>
      <c r="B22" s="30">
        <f>IF(Produits!$A$20="","",Produits!$B$20)</f>
        <v/>
      </c>
      <c r="C22" s="31">
        <f>IF(Produits!$A$20="","",Produits!$C$20)</f>
        <v/>
      </c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32">
        <f>IF(COUNT(E22,H22,K22,N22)=0,"",SUM(E22,H22,K22,N22))</f>
        <v/>
      </c>
      <c r="Q22" s="32">
        <f>IF(COUNT(F22,I22,L22,O22)=0,"",SUM(F22,I22,L22,O22))</f>
        <v/>
      </c>
      <c r="R22" s="32">
        <f>IF(OR(P22="",Q22=""),"",Q22-P22)</f>
        <v/>
      </c>
      <c r="S22" s="32">
        <f>IF(M22&lt;&gt;"",M22,IF(J22&lt;&gt;"",J22,IF(G22&lt;&gt;"",G22,IF(D22&lt;&gt;"",D22,""))))</f>
        <v/>
      </c>
    </row>
    <row r="23">
      <c r="A23" s="29">
        <f>IF(Produits!$A$21="","",Produits!$A$21)</f>
        <v/>
      </c>
      <c r="B23" s="30">
        <f>IF(Produits!$A$21="","",Produits!$B$21)</f>
        <v/>
      </c>
      <c r="C23" s="31">
        <f>IF(Produits!$A$21="","",Produits!$C$21)</f>
        <v/>
      </c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32">
        <f>IF(COUNT(E23,H23,K23,N23)=0,"",SUM(E23,H23,K23,N23))</f>
        <v/>
      </c>
      <c r="Q23" s="32">
        <f>IF(COUNT(F23,I23,L23,O23)=0,"",SUM(F23,I23,L23,O23))</f>
        <v/>
      </c>
      <c r="R23" s="32">
        <f>IF(OR(P23="",Q23=""),"",Q23-P23)</f>
        <v/>
      </c>
      <c r="S23" s="32">
        <f>IF(M23&lt;&gt;"",M23,IF(J23&lt;&gt;"",J23,IF(G23&lt;&gt;"",G23,IF(D23&lt;&gt;"",D23,""))))</f>
        <v/>
      </c>
    </row>
    <row r="24">
      <c r="A24" s="29">
        <f>IF(Produits!$A$22="","",Produits!$A$22)</f>
        <v/>
      </c>
      <c r="B24" s="30">
        <f>IF(Produits!$A$22="","",Produits!$B$22)</f>
        <v/>
      </c>
      <c r="C24" s="31">
        <f>IF(Produits!$A$22="","",Produits!$C$22)</f>
        <v/>
      </c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32">
        <f>IF(COUNT(E24,H24,K24,N24)=0,"",SUM(E24,H24,K24,N24))</f>
        <v/>
      </c>
      <c r="Q24" s="32">
        <f>IF(COUNT(F24,I24,L24,O24)=0,"",SUM(F24,I24,L24,O24))</f>
        <v/>
      </c>
      <c r="R24" s="32">
        <f>IF(OR(P24="",Q24=""),"",Q24-P24)</f>
        <v/>
      </c>
      <c r="S24" s="32">
        <f>IF(M24&lt;&gt;"",M24,IF(J24&lt;&gt;"",J24,IF(G24&lt;&gt;"",G24,IF(D24&lt;&gt;"",D24,""))))</f>
        <v/>
      </c>
    </row>
    <row r="25">
      <c r="A25" s="29">
        <f>IF(Produits!$A$23="","",Produits!$A$23)</f>
        <v/>
      </c>
      <c r="B25" s="30">
        <f>IF(Produits!$A$23="","",Produits!$B$23)</f>
        <v/>
      </c>
      <c r="C25" s="31">
        <f>IF(Produits!$A$23="","",Produits!$C$23)</f>
        <v/>
      </c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32">
        <f>IF(COUNT(E25,H25,K25,N25)=0,"",SUM(E25,H25,K25,N25))</f>
        <v/>
      </c>
      <c r="Q25" s="32">
        <f>IF(COUNT(F25,I25,L25,O25)=0,"",SUM(F25,I25,L25,O25))</f>
        <v/>
      </c>
      <c r="R25" s="32">
        <f>IF(OR(P25="",Q25=""),"",Q25-P25)</f>
        <v/>
      </c>
      <c r="S25" s="32">
        <f>IF(M25&lt;&gt;"",M25,IF(J25&lt;&gt;"",J25,IF(G25&lt;&gt;"",G25,IF(D25&lt;&gt;"",D25,""))))</f>
        <v/>
      </c>
    </row>
    <row r="26">
      <c r="A26" s="29">
        <f>IF(Produits!$A$24="","",Produits!$A$24)</f>
        <v/>
      </c>
      <c r="B26" s="30">
        <f>IF(Produits!$A$24="","",Produits!$B$24)</f>
        <v/>
      </c>
      <c r="C26" s="31">
        <f>IF(Produits!$A$24="","",Produits!$C$24)</f>
        <v/>
      </c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32">
        <f>IF(COUNT(E26,H26,K26,N26)=0,"",SUM(E26,H26,K26,N26))</f>
        <v/>
      </c>
      <c r="Q26" s="32">
        <f>IF(COUNT(F26,I26,L26,O26)=0,"",SUM(F26,I26,L26,O26))</f>
        <v/>
      </c>
      <c r="R26" s="32">
        <f>IF(OR(P26="",Q26=""),"",Q26-P26)</f>
        <v/>
      </c>
      <c r="S26" s="32">
        <f>IF(M26&lt;&gt;"",M26,IF(J26&lt;&gt;"",J26,IF(G26&lt;&gt;"",G26,IF(D26&lt;&gt;"",D26,""))))</f>
        <v/>
      </c>
    </row>
    <row r="27">
      <c r="A27" s="29">
        <f>IF(Produits!$A$25="","",Produits!$A$25)</f>
        <v/>
      </c>
      <c r="B27" s="30">
        <f>IF(Produits!$A$25="","",Produits!$B$25)</f>
        <v/>
      </c>
      <c r="C27" s="31">
        <f>IF(Produits!$A$25="","",Produits!$C$25)</f>
        <v/>
      </c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32">
        <f>IF(COUNT(E27,H27,K27,N27)=0,"",SUM(E27,H27,K27,N27))</f>
        <v/>
      </c>
      <c r="Q27" s="32">
        <f>IF(COUNT(F27,I27,L27,O27)=0,"",SUM(F27,I27,L27,O27))</f>
        <v/>
      </c>
      <c r="R27" s="32">
        <f>IF(OR(P27="",Q27=""),"",Q27-P27)</f>
        <v/>
      </c>
      <c r="S27" s="32">
        <f>IF(M27&lt;&gt;"",M27,IF(J27&lt;&gt;"",J27,IF(G27&lt;&gt;"",G27,IF(D27&lt;&gt;"",D27,""))))</f>
        <v/>
      </c>
    </row>
    <row r="28">
      <c r="A28" s="29">
        <f>IF(Produits!$A$26="","",Produits!$A$26)</f>
        <v/>
      </c>
      <c r="B28" s="30">
        <f>IF(Produits!$A$26="","",Produits!$B$26)</f>
        <v/>
      </c>
      <c r="C28" s="31">
        <f>IF(Produits!$A$26="","",Produits!$C$26)</f>
        <v/>
      </c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32">
        <f>IF(COUNT(E28,H28,K28,N28)=0,"",SUM(E28,H28,K28,N28))</f>
        <v/>
      </c>
      <c r="Q28" s="32">
        <f>IF(COUNT(F28,I28,L28,O28)=0,"",SUM(F28,I28,L28,O28))</f>
        <v/>
      </c>
      <c r="R28" s="32">
        <f>IF(OR(P28="",Q28=""),"",Q28-P28)</f>
        <v/>
      </c>
      <c r="S28" s="32">
        <f>IF(M28&lt;&gt;"",M28,IF(J28&lt;&gt;"",J28,IF(G28&lt;&gt;"",G28,IF(D28&lt;&gt;"",D28,""))))</f>
        <v/>
      </c>
    </row>
    <row r="29">
      <c r="A29" s="29">
        <f>IF(Produits!$A$27="","",Produits!$A$27)</f>
        <v/>
      </c>
      <c r="B29" s="30">
        <f>IF(Produits!$A$27="","",Produits!$B$27)</f>
        <v/>
      </c>
      <c r="C29" s="31">
        <f>IF(Produits!$A$27="","",Produits!$C$27)</f>
        <v/>
      </c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32">
        <f>IF(COUNT(E29,H29,K29,N29)=0,"",SUM(E29,H29,K29,N29))</f>
        <v/>
      </c>
      <c r="Q29" s="32">
        <f>IF(COUNT(F29,I29,L29,O29)=0,"",SUM(F29,I29,L29,O29))</f>
        <v/>
      </c>
      <c r="R29" s="32">
        <f>IF(OR(P29="",Q29=""),"",Q29-P29)</f>
        <v/>
      </c>
      <c r="S29" s="32">
        <f>IF(M29&lt;&gt;"",M29,IF(J29&lt;&gt;"",J29,IF(G29&lt;&gt;"",G29,IF(D29&lt;&gt;"",D29,""))))</f>
        <v/>
      </c>
    </row>
    <row r="30">
      <c r="A30" s="29">
        <f>IF(Produits!$A$28="","",Produits!$A$28)</f>
        <v/>
      </c>
      <c r="B30" s="30">
        <f>IF(Produits!$A$28="","",Produits!$B$28)</f>
        <v/>
      </c>
      <c r="C30" s="31">
        <f>IF(Produits!$A$28="","",Produits!$C$28)</f>
        <v/>
      </c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32">
        <f>IF(COUNT(E30,H30,K30,N30)=0,"",SUM(E30,H30,K30,N30))</f>
        <v/>
      </c>
      <c r="Q30" s="32">
        <f>IF(COUNT(F30,I30,L30,O30)=0,"",SUM(F30,I30,L30,O30))</f>
        <v/>
      </c>
      <c r="R30" s="32">
        <f>IF(OR(P30="",Q30=""),"",Q30-P30)</f>
        <v/>
      </c>
      <c r="S30" s="32">
        <f>IF(M30&lt;&gt;"",M30,IF(J30&lt;&gt;"",J30,IF(G30&lt;&gt;"",G30,IF(D30&lt;&gt;"",D30,""))))</f>
        <v/>
      </c>
    </row>
    <row r="31">
      <c r="A31" s="29">
        <f>IF(Produits!$A$29="","",Produits!$A$29)</f>
        <v/>
      </c>
      <c r="B31" s="30">
        <f>IF(Produits!$A$29="","",Produits!$B$29)</f>
        <v/>
      </c>
      <c r="C31" s="31">
        <f>IF(Produits!$A$29="","",Produits!$C$29)</f>
        <v/>
      </c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32">
        <f>IF(COUNT(E31,H31,K31,N31)=0,"",SUM(E31,H31,K31,N31))</f>
        <v/>
      </c>
      <c r="Q31" s="32">
        <f>IF(COUNT(F31,I31,L31,O31)=0,"",SUM(F31,I31,L31,O31))</f>
        <v/>
      </c>
      <c r="R31" s="32">
        <f>IF(OR(P31="",Q31=""),"",Q31-P31)</f>
        <v/>
      </c>
      <c r="S31" s="32">
        <f>IF(M31&lt;&gt;"",M31,IF(J31&lt;&gt;"",J31,IF(G31&lt;&gt;"",G31,IF(D31&lt;&gt;"",D31,""))))</f>
        <v/>
      </c>
    </row>
    <row r="32">
      <c r="A32" s="29">
        <f>IF(Produits!$A$30="","",Produits!$A$30)</f>
        <v/>
      </c>
      <c r="B32" s="30">
        <f>IF(Produits!$A$30="","",Produits!$B$30)</f>
        <v/>
      </c>
      <c r="C32" s="31">
        <f>IF(Produits!$A$30="","",Produits!$C$30)</f>
        <v/>
      </c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32">
        <f>IF(COUNT(E32,H32,K32,N32)=0,"",SUM(E32,H32,K32,N32))</f>
        <v/>
      </c>
      <c r="Q32" s="32">
        <f>IF(COUNT(F32,I32,L32,O32)=0,"",SUM(F32,I32,L32,O32))</f>
        <v/>
      </c>
      <c r="R32" s="32">
        <f>IF(OR(P32="",Q32=""),"",Q32-P32)</f>
        <v/>
      </c>
      <c r="S32" s="32">
        <f>IF(M32&lt;&gt;"",M32,IF(J32&lt;&gt;"",J32,IF(G32&lt;&gt;"",G32,IF(D32&lt;&gt;"",D32,""))))</f>
        <v/>
      </c>
    </row>
    <row r="33">
      <c r="A33" s="29">
        <f>IF(Produits!$A$31="","",Produits!$A$31)</f>
        <v/>
      </c>
      <c r="B33" s="30">
        <f>IF(Produits!$A$31="","",Produits!$B$31)</f>
        <v/>
      </c>
      <c r="C33" s="31">
        <f>IF(Produits!$A$31="","",Produits!$C$31)</f>
        <v/>
      </c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32">
        <f>IF(COUNT(E33,H33,K33,N33)=0,"",SUM(E33,H33,K33,N33))</f>
        <v/>
      </c>
      <c r="Q33" s="32">
        <f>IF(COUNT(F33,I33,L33,O33)=0,"",SUM(F33,I33,L33,O33))</f>
        <v/>
      </c>
      <c r="R33" s="32">
        <f>IF(OR(P33="",Q33=""),"",Q33-P33)</f>
        <v/>
      </c>
      <c r="S33" s="32">
        <f>IF(M33&lt;&gt;"",M33,IF(J33&lt;&gt;"",J33,IF(G33&lt;&gt;"",G33,IF(D33&lt;&gt;"",D33,""))))</f>
        <v/>
      </c>
    </row>
    <row r="34">
      <c r="A34" s="29">
        <f>IF(Produits!$A$32="","",Produits!$A$32)</f>
        <v/>
      </c>
      <c r="B34" s="30">
        <f>IF(Produits!$A$32="","",Produits!$B$32)</f>
        <v/>
      </c>
      <c r="C34" s="31">
        <f>IF(Produits!$A$32="","",Produits!$C$32)</f>
        <v/>
      </c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32">
        <f>IF(COUNT(E34,H34,K34,N34)=0,"",SUM(E34,H34,K34,N34))</f>
        <v/>
      </c>
      <c r="Q34" s="32">
        <f>IF(COUNT(F34,I34,L34,O34)=0,"",SUM(F34,I34,L34,O34))</f>
        <v/>
      </c>
      <c r="R34" s="32">
        <f>IF(OR(P34="",Q34=""),"",Q34-P34)</f>
        <v/>
      </c>
      <c r="S34" s="32">
        <f>IF(M34&lt;&gt;"",M34,IF(J34&lt;&gt;"",J34,IF(G34&lt;&gt;"",G34,IF(D34&lt;&gt;"",D34,""))))</f>
        <v/>
      </c>
    </row>
    <row r="35">
      <c r="A35" s="29">
        <f>IF(Produits!$A$33="","",Produits!$A$33)</f>
        <v/>
      </c>
      <c r="B35" s="30">
        <f>IF(Produits!$A$33="","",Produits!$B$33)</f>
        <v/>
      </c>
      <c r="C35" s="31">
        <f>IF(Produits!$A$33="","",Produits!$C$33)</f>
        <v/>
      </c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32">
        <f>IF(COUNT(E35,H35,K35,N35)=0,"",SUM(E35,H35,K35,N35))</f>
        <v/>
      </c>
      <c r="Q35" s="32">
        <f>IF(COUNT(F35,I35,L35,O35)=0,"",SUM(F35,I35,L35,O35))</f>
        <v/>
      </c>
      <c r="R35" s="32">
        <f>IF(OR(P35="",Q35=""),"",Q35-P35)</f>
        <v/>
      </c>
      <c r="S35" s="32">
        <f>IF(M35&lt;&gt;"",M35,IF(J35&lt;&gt;"",J35,IF(G35&lt;&gt;"",G35,IF(D35&lt;&gt;"",D35,""))))</f>
        <v/>
      </c>
    </row>
    <row r="36">
      <c r="A36" s="29">
        <f>IF(Produits!$A$34="","",Produits!$A$34)</f>
        <v/>
      </c>
      <c r="B36" s="30">
        <f>IF(Produits!$A$34="","",Produits!$B$34)</f>
        <v/>
      </c>
      <c r="C36" s="31">
        <f>IF(Produits!$A$34="","",Produits!$C$34)</f>
        <v/>
      </c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32">
        <f>IF(COUNT(E36,H36,K36,N36)=0,"",SUM(E36,H36,K36,N36))</f>
        <v/>
      </c>
      <c r="Q36" s="32">
        <f>IF(COUNT(F36,I36,L36,O36)=0,"",SUM(F36,I36,L36,O36))</f>
        <v/>
      </c>
      <c r="R36" s="32">
        <f>IF(OR(P36="",Q36=""),"",Q36-P36)</f>
        <v/>
      </c>
      <c r="S36" s="32">
        <f>IF(M36&lt;&gt;"",M36,IF(J36&lt;&gt;"",J36,IF(G36&lt;&gt;"",G36,IF(D36&lt;&gt;"",D36,""))))</f>
        <v/>
      </c>
    </row>
    <row r="37">
      <c r="A37" s="29">
        <f>IF(Produits!$A$35="","",Produits!$A$35)</f>
        <v/>
      </c>
      <c r="B37" s="30">
        <f>IF(Produits!$A$35="","",Produits!$B$35)</f>
        <v/>
      </c>
      <c r="C37" s="31">
        <f>IF(Produits!$A$35="","",Produits!$C$35)</f>
        <v/>
      </c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32">
        <f>IF(COUNT(E37,H37,K37,N37)=0,"",SUM(E37,H37,K37,N37))</f>
        <v/>
      </c>
      <c r="Q37" s="32">
        <f>IF(COUNT(F37,I37,L37,O37)=0,"",SUM(F37,I37,L37,O37))</f>
        <v/>
      </c>
      <c r="R37" s="32">
        <f>IF(OR(P37="",Q37=""),"",Q37-P37)</f>
        <v/>
      </c>
      <c r="S37" s="32">
        <f>IF(M37&lt;&gt;"",M37,IF(J37&lt;&gt;"",J37,IF(G37&lt;&gt;"",G37,IF(D37&lt;&gt;"",D37,""))))</f>
        <v/>
      </c>
    </row>
    <row r="38">
      <c r="A38" s="29">
        <f>IF(Produits!$A$36="","",Produits!$A$36)</f>
        <v/>
      </c>
      <c r="B38" s="30">
        <f>IF(Produits!$A$36="","",Produits!$B$36)</f>
        <v/>
      </c>
      <c r="C38" s="31">
        <f>IF(Produits!$A$36="","",Produits!$C$36)</f>
        <v/>
      </c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32">
        <f>IF(COUNT(E38,H38,K38,N38)=0,"",SUM(E38,H38,K38,N38))</f>
        <v/>
      </c>
      <c r="Q38" s="32">
        <f>IF(COUNT(F38,I38,L38,O38)=0,"",SUM(F38,I38,L38,O38))</f>
        <v/>
      </c>
      <c r="R38" s="32">
        <f>IF(OR(P38="",Q38=""),"",Q38-P38)</f>
        <v/>
      </c>
      <c r="S38" s="32">
        <f>IF(M38&lt;&gt;"",M38,IF(J38&lt;&gt;"",J38,IF(G38&lt;&gt;"",G38,IF(D38&lt;&gt;"",D38,""))))</f>
        <v/>
      </c>
    </row>
    <row r="39">
      <c r="A39" s="29">
        <f>IF(Produits!$A$37="","",Produits!$A$37)</f>
        <v/>
      </c>
      <c r="B39" s="30">
        <f>IF(Produits!$A$37="","",Produits!$B$37)</f>
        <v/>
      </c>
      <c r="C39" s="31">
        <f>IF(Produits!$A$37="","",Produits!$C$37)</f>
        <v/>
      </c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32">
        <f>IF(COUNT(E39,H39,K39,N39)=0,"",SUM(E39,H39,K39,N39))</f>
        <v/>
      </c>
      <c r="Q39" s="32">
        <f>IF(COUNT(F39,I39,L39,O39)=0,"",SUM(F39,I39,L39,O39))</f>
        <v/>
      </c>
      <c r="R39" s="32">
        <f>IF(OR(P39="",Q39=""),"",Q39-P39)</f>
        <v/>
      </c>
      <c r="S39" s="32">
        <f>IF(M39&lt;&gt;"",M39,IF(J39&lt;&gt;"",J39,IF(G39&lt;&gt;"",G39,IF(D39&lt;&gt;"",D39,""))))</f>
        <v/>
      </c>
    </row>
    <row r="40">
      <c r="A40" s="29">
        <f>IF(Produits!$A$38="","",Produits!$A$38)</f>
        <v/>
      </c>
      <c r="B40" s="30">
        <f>IF(Produits!$A$38="","",Produits!$B$38)</f>
        <v/>
      </c>
      <c r="C40" s="31">
        <f>IF(Produits!$A$38="","",Produits!$C$38)</f>
        <v/>
      </c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32">
        <f>IF(COUNT(E40,H40,K40,N40)=0,"",SUM(E40,H40,K40,N40))</f>
        <v/>
      </c>
      <c r="Q40" s="32">
        <f>IF(COUNT(F40,I40,L40,O40)=0,"",SUM(F40,I40,L40,O40))</f>
        <v/>
      </c>
      <c r="R40" s="32">
        <f>IF(OR(P40="",Q40=""),"",Q40-P40)</f>
        <v/>
      </c>
      <c r="S40" s="32">
        <f>IF(M40&lt;&gt;"",M40,IF(J40&lt;&gt;"",J40,IF(G40&lt;&gt;"",G40,IF(D40&lt;&gt;"",D40,""))))</f>
        <v/>
      </c>
    </row>
    <row r="41">
      <c r="A41" s="29">
        <f>IF(Produits!$A$39="","",Produits!$A$39)</f>
        <v/>
      </c>
      <c r="B41" s="30">
        <f>IF(Produits!$A$39="","",Produits!$B$39)</f>
        <v/>
      </c>
      <c r="C41" s="31">
        <f>IF(Produits!$A$39="","",Produits!$C$39)</f>
        <v/>
      </c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32">
        <f>IF(COUNT(E41,H41,K41,N41)=0,"",SUM(E41,H41,K41,N41))</f>
        <v/>
      </c>
      <c r="Q41" s="32">
        <f>IF(COUNT(F41,I41,L41,O41)=0,"",SUM(F41,I41,L41,O41))</f>
        <v/>
      </c>
      <c r="R41" s="32">
        <f>IF(OR(P41="",Q41=""),"",Q41-P41)</f>
        <v/>
      </c>
      <c r="S41" s="32">
        <f>IF(M41&lt;&gt;"",M41,IF(J41&lt;&gt;"",J41,IF(G41&lt;&gt;"",G41,IF(D41&lt;&gt;"",D41,""))))</f>
        <v/>
      </c>
    </row>
    <row r="42">
      <c r="A42" s="29">
        <f>IF(Produits!$A$40="","",Produits!$A$40)</f>
        <v/>
      </c>
      <c r="B42" s="30">
        <f>IF(Produits!$A$40="","",Produits!$B$40)</f>
        <v/>
      </c>
      <c r="C42" s="31">
        <f>IF(Produits!$A$40="","",Produits!$C$40)</f>
        <v/>
      </c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32">
        <f>IF(COUNT(E42,H42,K42,N42)=0,"",SUM(E42,H42,K42,N42))</f>
        <v/>
      </c>
      <c r="Q42" s="32">
        <f>IF(COUNT(F42,I42,L42,O42)=0,"",SUM(F42,I42,L42,O42))</f>
        <v/>
      </c>
      <c r="R42" s="32">
        <f>IF(OR(P42="",Q42=""),"",Q42-P42)</f>
        <v/>
      </c>
      <c r="S42" s="32">
        <f>IF(M42&lt;&gt;"",M42,IF(J42&lt;&gt;"",J42,IF(G42&lt;&gt;"",G42,IF(D42&lt;&gt;"",D42,""))))</f>
        <v/>
      </c>
    </row>
    <row r="43">
      <c r="A43" s="29">
        <f>IF(Produits!$A$41="","",Produits!$A$41)</f>
        <v/>
      </c>
      <c r="B43" s="30">
        <f>IF(Produits!$A$41="","",Produits!$B$41)</f>
        <v/>
      </c>
      <c r="C43" s="31">
        <f>IF(Produits!$A$41="","",Produits!$C$41)</f>
        <v/>
      </c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32">
        <f>IF(COUNT(E43,H43,K43,N43)=0,"",SUM(E43,H43,K43,N43))</f>
        <v/>
      </c>
      <c r="Q43" s="32">
        <f>IF(COUNT(F43,I43,L43,O43)=0,"",SUM(F43,I43,L43,O43))</f>
        <v/>
      </c>
      <c r="R43" s="32">
        <f>IF(OR(P43="",Q43=""),"",Q43-P43)</f>
        <v/>
      </c>
      <c r="S43" s="32">
        <f>IF(M43&lt;&gt;"",M43,IF(J43&lt;&gt;"",J43,IF(G43&lt;&gt;"",G43,IF(D43&lt;&gt;"",D43,""))))</f>
        <v/>
      </c>
    </row>
    <row r="44">
      <c r="A44" s="29">
        <f>IF(Produits!$A$42="","",Produits!$A$42)</f>
        <v/>
      </c>
      <c r="B44" s="30">
        <f>IF(Produits!$A$42="","",Produits!$B$42)</f>
        <v/>
      </c>
      <c r="C44" s="31">
        <f>IF(Produits!$A$42="","",Produits!$C$42)</f>
        <v/>
      </c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32">
        <f>IF(COUNT(E44,H44,K44,N44)=0,"",SUM(E44,H44,K44,N44))</f>
        <v/>
      </c>
      <c r="Q44" s="32">
        <f>IF(COUNT(F44,I44,L44,O44)=0,"",SUM(F44,I44,L44,O44))</f>
        <v/>
      </c>
      <c r="R44" s="32">
        <f>IF(OR(P44="",Q44=""),"",Q44-P44)</f>
        <v/>
      </c>
      <c r="S44" s="32">
        <f>IF(M44&lt;&gt;"",M44,IF(J44&lt;&gt;"",J44,IF(G44&lt;&gt;"",G44,IF(D44&lt;&gt;"",D44,""))))</f>
        <v/>
      </c>
    </row>
    <row r="45">
      <c r="A45" s="29">
        <f>IF(Produits!$A$43="","",Produits!$A$43)</f>
        <v/>
      </c>
      <c r="B45" s="30">
        <f>IF(Produits!$A$43="","",Produits!$B$43)</f>
        <v/>
      </c>
      <c r="C45" s="31">
        <f>IF(Produits!$A$43="","",Produits!$C$43)</f>
        <v/>
      </c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32">
        <f>IF(COUNT(E45,H45,K45,N45)=0,"",SUM(E45,H45,K45,N45))</f>
        <v/>
      </c>
      <c r="Q45" s="32">
        <f>IF(COUNT(F45,I45,L45,O45)=0,"",SUM(F45,I45,L45,O45))</f>
        <v/>
      </c>
      <c r="R45" s="32">
        <f>IF(OR(P45="",Q45=""),"",Q45-P45)</f>
        <v/>
      </c>
      <c r="S45" s="32">
        <f>IF(M45&lt;&gt;"",M45,IF(J45&lt;&gt;"",J45,IF(G45&lt;&gt;"",G45,IF(D45&lt;&gt;"",D45,""))))</f>
        <v/>
      </c>
    </row>
    <row r="46">
      <c r="A46" s="29">
        <f>IF(Produits!$A$44="","",Produits!$A$44)</f>
        <v/>
      </c>
      <c r="B46" s="30">
        <f>IF(Produits!$A$44="","",Produits!$B$44)</f>
        <v/>
      </c>
      <c r="C46" s="31">
        <f>IF(Produits!$A$44="","",Produits!$C$44)</f>
        <v/>
      </c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32">
        <f>IF(COUNT(E46,H46,K46,N46)=0,"",SUM(E46,H46,K46,N46))</f>
        <v/>
      </c>
      <c r="Q46" s="32">
        <f>IF(COUNT(F46,I46,L46,O46)=0,"",SUM(F46,I46,L46,O46))</f>
        <v/>
      </c>
      <c r="R46" s="32">
        <f>IF(OR(P46="",Q46=""),"",Q46-P46)</f>
        <v/>
      </c>
      <c r="S46" s="32">
        <f>IF(M46&lt;&gt;"",M46,IF(J46&lt;&gt;"",J46,IF(G46&lt;&gt;"",G46,IF(D46&lt;&gt;"",D46,""))))</f>
        <v/>
      </c>
    </row>
  </sheetData>
  <mergeCells count="12">
    <mergeCell ref="J5:L5"/>
    <mergeCell ref="A4:A6"/>
    <mergeCell ref="D5:F5"/>
    <mergeCell ref="B4:B6"/>
    <mergeCell ref="G5:I5"/>
    <mergeCell ref="D4:F4"/>
    <mergeCell ref="M4:O4"/>
    <mergeCell ref="M5:O5"/>
    <mergeCell ref="G4:I4"/>
    <mergeCell ref="J4:L4"/>
    <mergeCell ref="P4:S5"/>
    <mergeCell ref="C4:C6"/>
  </mergeCells>
  <conditionalFormatting sqref="R7:R46">
    <cfRule type="expression" priority="1" dxfId="0">
      <formula>AND(ISNUMBER(R7),R7&lt;0)</formula>
    </cfRule>
  </conditionalFormatting>
  <dataValidations count="12">
    <dataValidation sqref="D7:D46" showDropDown="0" showInputMessage="0" showErrorMessage="1" allowBlank="1" errorTitle="Valeur invalide" error="Entre un nombre positif (ou laisse vide)." type="decimal" operator="greaterThanOrEqual">
      <formula1>0</formula1>
    </dataValidation>
    <dataValidation sqref="E7:E46" showDropDown="0" showInputMessage="0" showErrorMessage="1" allowBlank="1" errorTitle="Valeur invalide" error="Entre un nombre positif (ou laisse vide)." type="decimal" operator="greaterThanOrEqual">
      <formula1>0</formula1>
    </dataValidation>
    <dataValidation sqref="F7:F46" showDropDown="0" showInputMessage="0" showErrorMessage="1" allowBlank="1" errorTitle="Valeur invalide" error="Entre un nombre positif (ou laisse vide)." type="decimal" operator="greaterThanOrEqual">
      <formula1>0</formula1>
    </dataValidation>
    <dataValidation sqref="G7:G46" showDropDown="0" showInputMessage="0" showErrorMessage="1" allowBlank="1" errorTitle="Valeur invalide" error="Entre un nombre positif (ou laisse vide)." type="decimal" operator="greaterThanOrEqual">
      <formula1>0</formula1>
    </dataValidation>
    <dataValidation sqref="H7:H46" showDropDown="0" showInputMessage="0" showErrorMessage="1" allowBlank="1" errorTitle="Valeur invalide" error="Entre un nombre positif (ou laisse vide)." type="decimal" operator="greaterThanOrEqual">
      <formula1>0</formula1>
    </dataValidation>
    <dataValidation sqref="I7:I46" showDropDown="0" showInputMessage="0" showErrorMessage="1" allowBlank="1" errorTitle="Valeur invalide" error="Entre un nombre positif (ou laisse vide)." type="decimal" operator="greaterThanOrEqual">
      <formula1>0</formula1>
    </dataValidation>
    <dataValidation sqref="J7:J46" showDropDown="0" showInputMessage="0" showErrorMessage="1" allowBlank="1" errorTitle="Valeur invalide" error="Entre un nombre positif (ou laisse vide)." type="decimal" operator="greaterThanOrEqual">
      <formula1>0</formula1>
    </dataValidation>
    <dataValidation sqref="K7:K46" showDropDown="0" showInputMessage="0" showErrorMessage="1" allowBlank="1" errorTitle="Valeur invalide" error="Entre un nombre positif (ou laisse vide)." type="decimal" operator="greaterThanOrEqual">
      <formula1>0</formula1>
    </dataValidation>
    <dataValidation sqref="L7:L46" showDropDown="0" showInputMessage="0" showErrorMessage="1" allowBlank="1" errorTitle="Valeur invalide" error="Entre un nombre positif (ou laisse vide)." type="decimal" operator="greaterThanOrEqual">
      <formula1>0</formula1>
    </dataValidation>
    <dataValidation sqref="M7:M46" showDropDown="0" showInputMessage="0" showErrorMessage="1" allowBlank="1" errorTitle="Valeur invalide" error="Entre un nombre positif (ou laisse vide)." type="decimal" operator="greaterThanOrEqual">
      <formula1>0</formula1>
    </dataValidation>
    <dataValidation sqref="N7:N46" showDropDown="0" showInputMessage="0" showErrorMessage="1" allowBlank="1" errorTitle="Valeur invalide" error="Entre un nombre positif (ou laisse vide)." type="decimal" operator="greaterThanOrEqual">
      <formula1>0</formula1>
    </dataValidation>
    <dataValidation sqref="O7:O46" showDropDown="0" showInputMessage="0" showErrorMessage="1" allowBlank="1" errorTitle="Valeur invalide" error="Entre un nombre positif (ou laisse vide)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2026-09-24T19:35:40Z</dcterms:created>
  <dcterms:modified xmlns:dcterms="http://purl.org/dc/terms/" xmlns:xsi="http://www.w3.org/2001/XMLSchema-instance" xsi:type="dcterms:W3CDTF">2026-09-24T19:35:41Z</dcterms:modified>
</cp:coreProperties>
</file>