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Produits" sheetId="2" state="visible" r:id="rId2"/>
    <sheet xmlns:r="http://schemas.openxmlformats.org/officeDocument/2006/relationships" name="Octobre 2026" sheetId="3" state="visible" r:id="rId3"/>
    <sheet xmlns:r="http://schemas.openxmlformats.org/officeDocument/2006/relationships" name="Réclamations"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name val="Arial"/>
      <b val="1"/>
      <color rgb="001F7A7A"/>
      <sz val="16"/>
    </font>
    <font>
      <name val="Arial"/>
      <i val="1"/>
      <color rgb="00666666"/>
      <sz val="9"/>
    </font>
    <font>
      <name val="Arial"/>
      <b val="1"/>
      <color rgb="001F7A7A"/>
    </font>
    <font>
      <name val="Arial"/>
    </font>
    <font>
      <name val="Arial"/>
      <b val="1"/>
      <color rgb="00FFFFFF"/>
      <sz val="10"/>
    </font>
    <font>
      <name val="Arial"/>
      <color rgb="00000000"/>
      <sz val="10"/>
    </font>
    <font>
      <name val="Arial"/>
      <color rgb="001F4FD1"/>
    </font>
    <font>
      <name val="Arial"/>
      <b val="1"/>
      <color rgb="00000000"/>
      <sz val="10"/>
    </font>
    <font>
      <name val="Arial"/>
      <color rgb="00555555"/>
      <sz val="10"/>
    </font>
  </fonts>
  <fills count="5">
    <fill>
      <patternFill/>
    </fill>
    <fill>
      <patternFill patternType="gray125"/>
    </fill>
    <fill>
      <patternFill patternType="solid">
        <fgColor rgb="001F7A7A"/>
      </patternFill>
    </fill>
    <fill>
      <patternFill patternType="solid">
        <fgColor rgb="00FFF6D5"/>
      </patternFill>
    </fill>
    <fill>
      <patternFill patternType="solid">
        <fgColor rgb="00D2E4E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3" fillId="0" borderId="0" pivotButton="0" quotePrefix="0" xfId="0"/>
    <xf numFmtId="0" fontId="5" fillId="2" borderId="1" applyAlignment="1" pivotButton="0" quotePrefix="0" xfId="0">
      <alignment horizontal="center" vertical="center" wrapText="1"/>
    </xf>
    <xf numFmtId="0" fontId="7" fillId="3" borderId="1" applyAlignment="1" pivotButton="0" quotePrefix="0" xfId="0">
      <alignment horizontal="left" vertical="center"/>
    </xf>
    <xf numFmtId="0" fontId="7" fillId="3" borderId="1" applyAlignment="1" pivotButton="0" quotePrefix="0" xfId="0">
      <alignment horizontal="center" vertical="center"/>
    </xf>
    <xf numFmtId="0" fontId="6" fillId="3" borderId="1" applyAlignment="1" pivotButton="0" quotePrefix="0" xfId="0">
      <alignment horizontal="left" vertical="center"/>
    </xf>
    <xf numFmtId="0" fontId="6" fillId="3" borderId="1" applyAlignment="1" pivotButton="0" quotePrefix="0" xfId="0">
      <alignment horizontal="center" vertical="center"/>
    </xf>
    <xf numFmtId="0" fontId="0" fillId="2" borderId="1" pivotButton="0" quotePrefix="0" xfId="0"/>
    <xf numFmtId="164" fontId="6" fillId="3" borderId="1" applyAlignment="1" pivotButton="0" quotePrefix="0" xfId="0">
      <alignment horizontal="center" vertical="center"/>
    </xf>
    <xf numFmtId="0" fontId="0" fillId="3" borderId="1" pivotButton="0" quotePrefix="0" xfId="0"/>
    <xf numFmtId="0" fontId="8" fillId="4" borderId="1" applyAlignment="1" pivotButton="0" quotePrefix="0" xfId="0">
      <alignment horizontal="center" vertical="center" wrapText="1"/>
    </xf>
    <xf numFmtId="0" fontId="8" fillId="0" borderId="1" applyAlignment="1" pivotButton="0" quotePrefix="0" xfId="0">
      <alignment horizontal="left" vertical="center"/>
    </xf>
    <xf numFmtId="0" fontId="9" fillId="0" borderId="1" applyAlignment="1" pivotButton="0" quotePrefix="0" xfId="0">
      <alignment horizontal="left" vertical="center"/>
    </xf>
    <xf numFmtId="0" fontId="9" fillId="0" borderId="1" applyAlignment="1" pivotButton="0" quotePrefix="0" xfId="0">
      <alignment horizontal="center" vertical="center"/>
    </xf>
    <xf numFmtId="0" fontId="6" fillId="0" borderId="1" applyAlignment="1" pivotButton="0" quotePrefix="0" xfId="0">
      <alignment horizontal="center" vertical="center"/>
    </xf>
    <xf numFmtId="0" fontId="8" fillId="0" borderId="1" applyAlignment="1" pivotButton="0" quotePrefix="0" xfId="0">
      <alignment horizontal="center" vertical="center"/>
    </xf>
    <xf numFmtId="164" fontId="7" fillId="3" borderId="1" applyAlignment="1" pivotButton="0" quotePrefix="0" xfId="0">
      <alignment horizontal="center" vertical="center"/>
    </xf>
  </cellXfs>
  <cellStyles count="1">
    <cellStyle name="Normal" xfId="0" builtinId="0" hidden="0"/>
  </cellStyles>
  <dxfs count="3">
    <dxf>
      <fill>
        <patternFill patternType="solid">
          <fgColor rgb="00F8C9C4"/>
        </patternFill>
      </fill>
    </dxf>
    <dxf>
      <fill>
        <patternFill patternType="solid">
          <fgColor rgb="00FBDDB0"/>
        </patternFill>
      </fill>
    </dxf>
    <dxf>
      <fill>
        <patternFill patternType="solid">
          <fgColor rgb="00D3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lele_auto</author>
  </authors>
  <commentList>
    <comment ref="D5" authorId="0" shapeId="0">
      <text>
        <t>Date du comptage (facultatif)</t>
      </text>
    </comment>
    <comment ref="I5" authorId="0" shapeId="0">
      <text>
        <t>Date du comptage (facultatif)</t>
      </text>
    </comment>
    <comment ref="N5" authorId="0" shapeId="0">
      <text>
        <t>Date du comptage (facultatif)</t>
      </text>
    </comment>
    <comment ref="S5" authorId="0" shapeId="0">
      <text>
        <t>Date du comptage (facultatif)</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RowHeight="15"/>
  <cols>
    <col width="16" customWidth="1" min="1" max="1"/>
    <col width="100" customWidth="1" min="2" max="2"/>
  </cols>
  <sheetData>
    <row r="1" ht="26" customHeight="1">
      <c r="A1" s="1" t="inlineStr">
        <is>
          <t>6 · Contrôle des livraisons</t>
        </is>
      </c>
    </row>
    <row r="2">
      <c r="A2" s="2" t="inlineStr">
        <is>
          <t>Proposition de tableau de gestion des stocks — Excel et Google Sheets</t>
        </is>
      </c>
    </row>
    <row r="4">
      <c r="A4" s="3" t="inlineStr">
        <is>
          <t>L'idée</t>
        </is>
      </c>
      <c r="B4" s="4" t="inlineStr">
        <is>
          <t>Met l'accent sur ce que tu reçois vraiment. Pour chaque produit, le fichier compare commandé et reçu et affiche OK, MANQUE ou EN TROP. Un onglet Réclamations garde la trace des appels au fournisseur.</t>
        </is>
      </c>
    </row>
    <row r="5">
      <c r="A5" s="5" t="inlineStr"/>
      <c r="B5" s="4" t="inlineStr"/>
    </row>
    <row r="6">
      <c r="A6" s="5" t="inlineStr">
        <is>
          <t>Comment faire</t>
        </is>
      </c>
      <c r="B6" s="4" t="inlineStr">
        <is>
          <t>1. Remplis l'onglet Produits une seule fois.</t>
        </is>
      </c>
    </row>
    <row r="7">
      <c r="A7" s="5" t="inlineStr"/>
      <c r="B7" s="4" t="inlineStr">
        <is>
          <t>2. Chaque semaine : Stock, Commandé, puis Reçu à la livraison. Le Statut s'affiche tout seul.</t>
        </is>
      </c>
    </row>
    <row r="8">
      <c r="A8" s="5" t="inlineStr"/>
      <c r="B8" s="4" t="inlineStr">
        <is>
          <t>3. En cas de MANQUE : ajoute une ligne dans Réclamations (date, produit, ce que tu as fait).</t>
        </is>
      </c>
    </row>
    <row r="9">
      <c r="A9" s="5" t="inlineStr"/>
      <c r="B9" s="4" t="inlineStr">
        <is>
          <t>4. Nouveau mois : duplique l'onglet du mois.</t>
        </is>
      </c>
    </row>
    <row r="10">
      <c r="A10" s="5" t="inlineStr"/>
      <c r="B10" s="4" t="inlineStr"/>
    </row>
    <row r="11">
      <c r="A11" s="5" t="inlineStr">
        <is>
          <t>Les onglets</t>
        </is>
      </c>
      <c r="B11" s="4" t="inlineStr">
        <is>
          <t>Produits — ta liste.</t>
        </is>
      </c>
    </row>
    <row r="12">
      <c r="A12" s="5" t="inlineStr"/>
      <c r="B12" s="4" t="inlineStr">
        <is>
          <t>Octobre 2026 — stock, commandé, reçu, statut par semaine.</t>
        </is>
      </c>
    </row>
    <row r="13">
      <c r="A13" s="5" t="inlineStr"/>
      <c r="B13" s="4" t="inlineStr">
        <is>
          <t>Réclamations — suivi des livraisons incomplètes.</t>
        </is>
      </c>
    </row>
    <row r="14">
      <c r="A14" s="5" t="inlineStr"/>
      <c r="B14" s="4" t="inlineStr"/>
    </row>
    <row r="15">
      <c r="A15" s="5" t="inlineStr">
        <is>
          <t>Couleurs</t>
        </is>
      </c>
      <c r="B15" s="4" t="inlineStr">
        <is>
          <t>Cases jaunes = à remplir. Cases blanches = calculées toutes seules, ne pas y toucher.</t>
        </is>
      </c>
    </row>
    <row r="16">
      <c r="A16" s="5" t="inlineStr"/>
      <c r="B16" s="4" t="inlineStr">
        <is>
          <t>Chiffres en bleu = exemple pour montrer le fonctionnement, à effacer.</t>
        </is>
      </c>
    </row>
    <row r="17">
      <c r="A17" s="5" t="inlineStr"/>
      <c r="B17" s="4" t="inlineStr">
        <is>
          <t>Rouge = il manque quelque chose (livraison incomplète, stock trop bas).</t>
        </is>
      </c>
    </row>
    <row r="18">
      <c r="A18" s="5" t="inlineStr"/>
      <c r="B18" s="4" t="inlineStr"/>
    </row>
    <row r="19">
      <c r="A19" s="5" t="inlineStr">
        <is>
          <t>Google Sheets</t>
        </is>
      </c>
      <c r="B19" s="4" t="inlineStr">
        <is>
          <t>Fichier &gt; Importer &gt; Importer ce fichier. Tout fonctionne pareil, y compris sur téléphone.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4"/>
  <sheetViews>
    <sheetView showGridLines="0" workbookViewId="0">
      <pane ySplit="4" topLeftCell="A5" activePane="bottomLeft" state="frozen"/>
      <selection pane="bottomLeft" activeCell="A1" sqref="A1"/>
    </sheetView>
  </sheetViews>
  <sheetFormatPr baseColWidth="8" defaultRowHeight="15"/>
  <cols>
    <col width="26" customWidth="1" min="1" max="1"/>
    <col width="18" customWidth="1" min="2" max="2"/>
    <col width="9" customWidth="1" min="3" max="3"/>
  </cols>
  <sheetData>
    <row r="1" ht="26" customHeight="1">
      <c r="A1" s="1" t="inlineStr">
        <is>
          <t>Mes produits</t>
        </is>
      </c>
    </row>
    <row r="2">
      <c r="A2" s="2" t="inlineStr">
        <is>
          <t>Une ligne par produit. Tout le reste du fichier se remplit à partir de cette liste.</t>
        </is>
      </c>
    </row>
    <row r="4">
      <c r="A4" s="6" t="inlineStr">
        <is>
          <t>Produit</t>
        </is>
      </c>
      <c r="B4" s="6" t="inlineStr">
        <is>
          <t>Fournisseur</t>
        </is>
      </c>
      <c r="C4" s="6" t="inlineStr">
        <is>
          <t>Unité</t>
        </is>
      </c>
    </row>
    <row r="5">
      <c r="A5" s="7" t="inlineStr">
        <is>
          <t>Farine T55</t>
        </is>
      </c>
      <c r="B5" s="7" t="inlineStr">
        <is>
          <t>Metro</t>
        </is>
      </c>
      <c r="C5" s="8" t="inlineStr">
        <is>
          <t>kg</t>
        </is>
      </c>
    </row>
    <row r="6">
      <c r="A6" s="7" t="inlineStr">
        <is>
          <t>Farine T45</t>
        </is>
      </c>
      <c r="B6" s="7" t="inlineStr">
        <is>
          <t>Metro</t>
        </is>
      </c>
      <c r="C6" s="8" t="inlineStr">
        <is>
          <t>kg</t>
        </is>
      </c>
    </row>
    <row r="7">
      <c r="A7" s="7" t="inlineStr">
        <is>
          <t>Sucre semoule</t>
        </is>
      </c>
      <c r="B7" s="7" t="inlineStr">
        <is>
          <t>Metro</t>
        </is>
      </c>
      <c r="C7" s="8" t="inlineStr">
        <is>
          <t>kg</t>
        </is>
      </c>
    </row>
    <row r="8">
      <c r="A8" s="7" t="inlineStr">
        <is>
          <t>Sucre glace</t>
        </is>
      </c>
      <c r="B8" s="7" t="inlineStr">
        <is>
          <t>Metro</t>
        </is>
      </c>
      <c r="C8" s="8" t="inlineStr">
        <is>
          <t>kg</t>
        </is>
      </c>
    </row>
    <row r="9">
      <c r="A9" s="7" t="inlineStr">
        <is>
          <t>Beurre doux</t>
        </is>
      </c>
      <c r="B9" s="7" t="inlineStr">
        <is>
          <t>Crèmerie</t>
        </is>
      </c>
      <c r="C9" s="8" t="inlineStr">
        <is>
          <t>kg</t>
        </is>
      </c>
    </row>
    <row r="10">
      <c r="A10" s="7" t="inlineStr">
        <is>
          <t>Crème liquide 35%</t>
        </is>
      </c>
      <c r="B10" s="7" t="inlineStr">
        <is>
          <t>Crèmerie</t>
        </is>
      </c>
      <c r="C10" s="8" t="inlineStr">
        <is>
          <t>L</t>
        </is>
      </c>
    </row>
    <row r="11">
      <c r="A11" s="7" t="inlineStr">
        <is>
          <t>Lait entier</t>
        </is>
      </c>
      <c r="B11" s="7" t="inlineStr">
        <is>
          <t>Crèmerie</t>
        </is>
      </c>
      <c r="C11" s="8" t="inlineStr">
        <is>
          <t>L</t>
        </is>
      </c>
    </row>
    <row r="12">
      <c r="A12" s="7" t="inlineStr">
        <is>
          <t>Oeufs</t>
        </is>
      </c>
      <c r="B12" s="7" t="inlineStr">
        <is>
          <t>Crèmerie</t>
        </is>
      </c>
      <c r="C12" s="8" t="inlineStr">
        <is>
          <t>pièce</t>
        </is>
      </c>
    </row>
    <row r="13">
      <c r="A13" s="7" t="inlineStr">
        <is>
          <t>Chocolat blanc</t>
        </is>
      </c>
      <c r="B13" s="7" t="inlineStr">
        <is>
          <t>Transgourmet</t>
        </is>
      </c>
      <c r="C13" s="8" t="inlineStr">
        <is>
          <t>kg</t>
        </is>
      </c>
    </row>
    <row r="14">
      <c r="A14" s="7" t="inlineStr">
        <is>
          <t>Chocolat noir 70%</t>
        </is>
      </c>
      <c r="B14" s="7" t="inlineStr">
        <is>
          <t>Transgourmet</t>
        </is>
      </c>
      <c r="C14" s="8" t="inlineStr">
        <is>
          <t>kg</t>
        </is>
      </c>
    </row>
    <row r="15">
      <c r="A15" s="7" t="inlineStr">
        <is>
          <t>Levure chimique</t>
        </is>
      </c>
      <c r="B15" s="7" t="inlineStr">
        <is>
          <t>Transgourmet</t>
        </is>
      </c>
      <c r="C15" s="8" t="inlineStr">
        <is>
          <t>kg</t>
        </is>
      </c>
    </row>
    <row r="16">
      <c r="A16" s="7" t="inlineStr">
        <is>
          <t>Vanille (gousse)</t>
        </is>
      </c>
      <c r="B16" s="7" t="inlineStr">
        <is>
          <t>Transgourmet</t>
        </is>
      </c>
      <c r="C16" s="8" t="inlineStr">
        <is>
          <t>pièce</t>
        </is>
      </c>
    </row>
    <row r="17">
      <c r="A17" s="9" t="n"/>
      <c r="B17" s="9" t="n"/>
      <c r="C17" s="10" t="n"/>
    </row>
    <row r="18">
      <c r="A18" s="9" t="n"/>
      <c r="B18" s="9" t="n"/>
      <c r="C18" s="10" t="n"/>
    </row>
    <row r="19">
      <c r="A19" s="9" t="n"/>
      <c r="B19" s="9" t="n"/>
      <c r="C19" s="10" t="n"/>
    </row>
    <row r="20">
      <c r="A20" s="9" t="n"/>
      <c r="B20" s="9" t="n"/>
      <c r="C20" s="10" t="n"/>
    </row>
    <row r="21">
      <c r="A21" s="9" t="n"/>
      <c r="B21" s="9" t="n"/>
      <c r="C21" s="10" t="n"/>
    </row>
    <row r="22">
      <c r="A22" s="9" t="n"/>
      <c r="B22" s="9" t="n"/>
      <c r="C22" s="10" t="n"/>
    </row>
    <row r="23">
      <c r="A23" s="9" t="n"/>
      <c r="B23" s="9" t="n"/>
      <c r="C23" s="10" t="n"/>
    </row>
    <row r="24">
      <c r="A24" s="9" t="n"/>
      <c r="B24" s="9" t="n"/>
      <c r="C24" s="10" t="n"/>
    </row>
    <row r="25">
      <c r="A25" s="9" t="n"/>
      <c r="B25" s="9" t="n"/>
      <c r="C25" s="10" t="n"/>
    </row>
    <row r="26">
      <c r="A26" s="9" t="n"/>
      <c r="B26" s="9" t="n"/>
      <c r="C26" s="10" t="n"/>
    </row>
    <row r="27">
      <c r="A27" s="9" t="n"/>
      <c r="B27" s="9" t="n"/>
      <c r="C27" s="10" t="n"/>
    </row>
    <row r="28">
      <c r="A28" s="9" t="n"/>
      <c r="B28" s="9" t="n"/>
      <c r="C28" s="10" t="n"/>
    </row>
    <row r="29">
      <c r="A29" s="9" t="n"/>
      <c r="B29" s="9" t="n"/>
      <c r="C29" s="10" t="n"/>
    </row>
    <row r="30">
      <c r="A30" s="9" t="n"/>
      <c r="B30" s="9" t="n"/>
      <c r="C30" s="10" t="n"/>
    </row>
    <row r="31">
      <c r="A31" s="9" t="n"/>
      <c r="B31" s="9" t="n"/>
      <c r="C31" s="10" t="n"/>
    </row>
    <row r="32">
      <c r="A32" s="9" t="n"/>
      <c r="B32" s="9" t="n"/>
      <c r="C32" s="10" t="n"/>
    </row>
    <row r="33">
      <c r="A33" s="9" t="n"/>
      <c r="B33" s="9" t="n"/>
      <c r="C33" s="10" t="n"/>
    </row>
    <row r="34">
      <c r="A34" s="9" t="n"/>
      <c r="B34" s="9" t="n"/>
      <c r="C34" s="10" t="n"/>
    </row>
    <row r="35">
      <c r="A35" s="9" t="n"/>
      <c r="B35" s="9" t="n"/>
      <c r="C35" s="10" t="n"/>
    </row>
    <row r="36">
      <c r="A36" s="9" t="n"/>
      <c r="B36" s="9" t="n"/>
      <c r="C36" s="10" t="n"/>
    </row>
    <row r="37">
      <c r="A37" s="9" t="n"/>
      <c r="B37" s="9" t="n"/>
      <c r="C37" s="10" t="n"/>
    </row>
    <row r="38">
      <c r="A38" s="9" t="n"/>
      <c r="B38" s="9" t="n"/>
      <c r="C38" s="10" t="n"/>
    </row>
    <row r="39">
      <c r="A39" s="9" t="n"/>
      <c r="B39" s="9" t="n"/>
      <c r="C39" s="10" t="n"/>
    </row>
    <row r="40">
      <c r="A40" s="9" t="n"/>
      <c r="B40" s="9" t="n"/>
      <c r="C40" s="10" t="n"/>
    </row>
    <row r="41">
      <c r="A41" s="9" t="n"/>
      <c r="B41" s="9" t="n"/>
      <c r="C41" s="10" t="n"/>
    </row>
    <row r="42">
      <c r="A42" s="9" t="n"/>
      <c r="B42" s="9" t="n"/>
      <c r="C42" s="10" t="n"/>
    </row>
    <row r="43">
      <c r="A43" s="9" t="n"/>
      <c r="B43" s="9" t="n"/>
      <c r="C43" s="10" t="n"/>
    </row>
    <row r="44">
      <c r="A44" s="9" t="n"/>
      <c r="B44" s="9" t="n"/>
      <c r="C44" s="10" t="n"/>
    </row>
  </sheetData>
  <dataValidations count="1">
    <dataValidation sqref="C5:C44" showDropDown="0" showInputMessage="0" showErrorMessage="0" allowBlank="1" type="list">
      <formula1>"kg,g,L,pièce,paquet,boîte,sac"</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7" customWidth="1" min="3" max="3"/>
    <col width="10.5" customWidth="1" min="4" max="4"/>
    <col width="10.5" customWidth="1" min="5" max="5"/>
    <col width="10.5" customWidth="1" min="6" max="6"/>
    <col width="10.5" customWidth="1" min="7" max="7"/>
    <col width="10" customWidth="1" min="8" max="8"/>
    <col width="10.5" customWidth="1" min="9" max="9"/>
    <col width="10.5" customWidth="1" min="10" max="10"/>
    <col width="10.5" customWidth="1" min="11" max="11"/>
    <col width="10.5" customWidth="1" min="12" max="12"/>
    <col width="10" customWidth="1" min="13" max="13"/>
    <col width="10.5" customWidth="1" min="14" max="14"/>
    <col width="10.5" customWidth="1" min="15" max="15"/>
    <col width="10.5" customWidth="1" min="16" max="16"/>
    <col width="10.5" customWidth="1" min="17" max="17"/>
    <col width="10" customWidth="1" min="18" max="18"/>
    <col width="10.5" customWidth="1" min="19" max="19"/>
    <col width="10.5" customWidth="1" min="20" max="20"/>
    <col width="10.5" customWidth="1" min="21" max="21"/>
    <col width="10.5" customWidth="1" min="22" max="22"/>
    <col width="10" customWidth="1" min="23" max="23"/>
    <col width="14" customWidth="1" min="24" max="24"/>
  </cols>
  <sheetData>
    <row r="1" ht="26" customHeight="1">
      <c r="A1" s="1" t="inlineStr">
        <is>
          <t>Octobre 2026</t>
        </is>
      </c>
    </row>
    <row r="2">
      <c r="A2" s="2" t="inlineStr">
        <is>
          <t>Statut : OK = tout reçu · MANQUE = moins que commandé · EN TROP = plus que commandé</t>
        </is>
      </c>
    </row>
    <row r="4">
      <c r="A4" s="6" t="inlineStr">
        <is>
          <t>Produit</t>
        </is>
      </c>
      <c r="B4" s="6" t="inlineStr">
        <is>
          <t>Fournisseur</t>
        </is>
      </c>
      <c r="C4" s="6" t="inlineStr">
        <is>
          <t>Unité</t>
        </is>
      </c>
      <c r="D4" s="6" t="inlineStr">
        <is>
          <t>Semaine 1</t>
        </is>
      </c>
      <c r="E4" s="11" t="n"/>
      <c r="F4" s="11" t="n"/>
      <c r="G4" s="11" t="n"/>
      <c r="H4" s="11" t="n"/>
      <c r="I4" s="6" t="inlineStr">
        <is>
          <t>Semaine 2</t>
        </is>
      </c>
      <c r="J4" s="11" t="n"/>
      <c r="K4" s="11" t="n"/>
      <c r="L4" s="11" t="n"/>
      <c r="M4" s="11" t="n"/>
      <c r="N4" s="6" t="inlineStr">
        <is>
          <t>Semaine 3</t>
        </is>
      </c>
      <c r="O4" s="11" t="n"/>
      <c r="P4" s="11" t="n"/>
      <c r="Q4" s="11" t="n"/>
      <c r="R4" s="11" t="n"/>
      <c r="S4" s="6" t="inlineStr">
        <is>
          <t>Semaine 4</t>
        </is>
      </c>
      <c r="T4" s="11" t="n"/>
      <c r="U4" s="11" t="n"/>
      <c r="V4" s="11" t="n"/>
      <c r="W4" s="11" t="n"/>
      <c r="X4" s="6" t="inlineStr">
        <is>
          <t>Total du mois</t>
        </is>
      </c>
    </row>
    <row r="5">
      <c r="A5" s="11" t="n"/>
      <c r="B5" s="11" t="n"/>
      <c r="C5" s="11" t="n"/>
      <c r="D5" s="12" t="n"/>
      <c r="E5" s="13" t="n"/>
      <c r="F5" s="13" t="n"/>
      <c r="G5" s="13" t="n"/>
      <c r="H5" s="13" t="n"/>
      <c r="I5" s="12" t="n"/>
      <c r="J5" s="13" t="n"/>
      <c r="K5" s="13" t="n"/>
      <c r="L5" s="13" t="n"/>
      <c r="M5" s="13" t="n"/>
      <c r="N5" s="12" t="n"/>
      <c r="O5" s="13" t="n"/>
      <c r="P5" s="13" t="n"/>
      <c r="Q5" s="13" t="n"/>
      <c r="R5" s="13" t="n"/>
      <c r="S5" s="12" t="n"/>
      <c r="T5" s="13" t="n"/>
      <c r="U5" s="13" t="n"/>
      <c r="V5" s="13" t="n"/>
      <c r="W5" s="13" t="n"/>
      <c r="X5" s="11" t="n"/>
    </row>
    <row r="6">
      <c r="A6" s="11" t="n"/>
      <c r="B6" s="11" t="n"/>
      <c r="C6" s="11" t="n"/>
      <c r="D6" s="14" t="inlineStr">
        <is>
          <t>Stock</t>
        </is>
      </c>
      <c r="E6" s="14" t="inlineStr">
        <is>
          <t>Commandé</t>
        </is>
      </c>
      <c r="F6" s="14" t="inlineStr">
        <is>
          <t>Reçu</t>
        </is>
      </c>
      <c r="G6" s="14" t="inlineStr">
        <is>
          <t>Écart</t>
        </is>
      </c>
      <c r="H6" s="14" t="inlineStr">
        <is>
          <t>Statut</t>
        </is>
      </c>
      <c r="I6" s="14" t="inlineStr">
        <is>
          <t>Stock</t>
        </is>
      </c>
      <c r="J6" s="14" t="inlineStr">
        <is>
          <t>Commandé</t>
        </is>
      </c>
      <c r="K6" s="14" t="inlineStr">
        <is>
          <t>Reçu</t>
        </is>
      </c>
      <c r="L6" s="14" t="inlineStr">
        <is>
          <t>Écart</t>
        </is>
      </c>
      <c r="M6" s="14" t="inlineStr">
        <is>
          <t>Statut</t>
        </is>
      </c>
      <c r="N6" s="14" t="inlineStr">
        <is>
          <t>Stock</t>
        </is>
      </c>
      <c r="O6" s="14" t="inlineStr">
        <is>
          <t>Commandé</t>
        </is>
      </c>
      <c r="P6" s="14" t="inlineStr">
        <is>
          <t>Reçu</t>
        </is>
      </c>
      <c r="Q6" s="14" t="inlineStr">
        <is>
          <t>Écart</t>
        </is>
      </c>
      <c r="R6" s="14" t="inlineStr">
        <is>
          <t>Statut</t>
        </is>
      </c>
      <c r="S6" s="14" t="inlineStr">
        <is>
          <t>Stock</t>
        </is>
      </c>
      <c r="T6" s="14" t="inlineStr">
        <is>
          <t>Commandé</t>
        </is>
      </c>
      <c r="U6" s="14" t="inlineStr">
        <is>
          <t>Reçu</t>
        </is>
      </c>
      <c r="V6" s="14" t="inlineStr">
        <is>
          <t>Écart</t>
        </is>
      </c>
      <c r="W6" s="14" t="inlineStr">
        <is>
          <t>Statut</t>
        </is>
      </c>
      <c r="X6" s="14" t="inlineStr">
        <is>
          <t>Livraisons incomplètes</t>
        </is>
      </c>
    </row>
    <row r="7">
      <c r="A7" s="15">
        <f>IF(Produits!$A$5="","",Produits!$A$5)</f>
        <v/>
      </c>
      <c r="B7" s="16">
        <f>IF(Produits!$A$5="","",Produits!$B$5)</f>
        <v/>
      </c>
      <c r="C7" s="17">
        <f>IF(Produits!$A$5="","",Produits!$C$5)</f>
        <v/>
      </c>
      <c r="D7" s="8" t="n">
        <v>8</v>
      </c>
      <c r="E7" s="8" t="n">
        <v>10</v>
      </c>
      <c r="F7" s="8" t="n">
        <v>7</v>
      </c>
      <c r="G7" s="18">
        <f>IF(OR(E7="",F7=""),"",F7-E7)</f>
        <v/>
      </c>
      <c r="H7" s="18">
        <f>IF(OR(E7="",F7="",N(E7)=0),"",IF(F7&lt;E7,"MANQUE",IF(F7&gt;E7,"EN TROP","OK")))</f>
        <v/>
      </c>
      <c r="I7" s="8" t="n">
        <v>5</v>
      </c>
      <c r="J7" s="8" t="n">
        <v>10</v>
      </c>
      <c r="K7" s="8" t="n">
        <v>10</v>
      </c>
      <c r="L7" s="18">
        <f>IF(OR(J7="",K7=""),"",K7-J7)</f>
        <v/>
      </c>
      <c r="M7" s="18">
        <f>IF(OR(J7="",K7="",N(J7)=0),"",IF(K7&lt;J7,"MANQUE",IF(K7&gt;J7,"EN TROP","OK")))</f>
        <v/>
      </c>
      <c r="N7" s="10" t="n"/>
      <c r="O7" s="10" t="n"/>
      <c r="P7" s="10" t="n"/>
      <c r="Q7" s="18">
        <f>IF(OR(O7="",P7=""),"",P7-O7)</f>
        <v/>
      </c>
      <c r="R7" s="18">
        <f>IF(OR(O7="",P7="",N(O7)=0),"",IF(P7&lt;O7,"MANQUE",IF(P7&gt;O7,"EN TROP","OK")))</f>
        <v/>
      </c>
      <c r="S7" s="10" t="n"/>
      <c r="T7" s="10" t="n"/>
      <c r="U7" s="10" t="n"/>
      <c r="V7" s="18">
        <f>IF(OR(T7="",U7=""),"",U7-T7)</f>
        <v/>
      </c>
      <c r="W7" s="18">
        <f>IF(OR(T7="",U7="",N(T7)=0),"",IF(U7&lt;T7,"MANQUE",IF(U7&gt;T7,"EN TROP","OK")))</f>
        <v/>
      </c>
      <c r="X7" s="19">
        <f>IF(A7="","",COUNTIF(H7:W7,"MANQUE"))</f>
        <v/>
      </c>
    </row>
    <row r="8">
      <c r="A8" s="15">
        <f>IF(Produits!$A$6="","",Produits!$A$6)</f>
        <v/>
      </c>
      <c r="B8" s="16">
        <f>IF(Produits!$A$6="","",Produits!$B$6)</f>
        <v/>
      </c>
      <c r="C8" s="17">
        <f>IF(Produits!$A$6="","",Produits!$C$6)</f>
        <v/>
      </c>
      <c r="D8" s="8" t="n">
        <v>2</v>
      </c>
      <c r="E8" s="8" t="n">
        <v>5</v>
      </c>
      <c r="F8" s="8" t="n">
        <v>5</v>
      </c>
      <c r="G8" s="18">
        <f>IF(OR(E8="",F8=""),"",F8-E8)</f>
        <v/>
      </c>
      <c r="H8" s="18">
        <f>IF(OR(E8="",F8="",N(E8)=0),"",IF(F8&lt;E8,"MANQUE",IF(F8&gt;E8,"EN TROP","OK")))</f>
        <v/>
      </c>
      <c r="I8" s="8" t="n">
        <v>3</v>
      </c>
      <c r="J8" s="8" t="n">
        <v>3</v>
      </c>
      <c r="K8" s="8" t="n">
        <v>3</v>
      </c>
      <c r="L8" s="18">
        <f>IF(OR(J8="",K8=""),"",K8-J8)</f>
        <v/>
      </c>
      <c r="M8" s="18">
        <f>IF(OR(J8="",K8="",N(J8)=0),"",IF(K8&lt;J8,"MANQUE",IF(K8&gt;J8,"EN TROP","OK")))</f>
        <v/>
      </c>
      <c r="N8" s="10" t="n"/>
      <c r="O8" s="10" t="n"/>
      <c r="P8" s="10" t="n"/>
      <c r="Q8" s="18">
        <f>IF(OR(O8="",P8=""),"",P8-O8)</f>
        <v/>
      </c>
      <c r="R8" s="18">
        <f>IF(OR(O8="",P8="",N(O8)=0),"",IF(P8&lt;O8,"MANQUE",IF(P8&gt;O8,"EN TROP","OK")))</f>
        <v/>
      </c>
      <c r="S8" s="10" t="n"/>
      <c r="T8" s="10" t="n"/>
      <c r="U8" s="10" t="n"/>
      <c r="V8" s="18">
        <f>IF(OR(T8="",U8=""),"",U8-T8)</f>
        <v/>
      </c>
      <c r="W8" s="18">
        <f>IF(OR(T8="",U8="",N(T8)=0),"",IF(U8&lt;T8,"MANQUE",IF(U8&gt;T8,"EN TROP","OK")))</f>
        <v/>
      </c>
      <c r="X8" s="19">
        <f>IF(A8="","",COUNTIF(H8:W8,"MANQUE"))</f>
        <v/>
      </c>
    </row>
    <row r="9">
      <c r="A9" s="15">
        <f>IF(Produits!$A$7="","",Produits!$A$7)</f>
        <v/>
      </c>
      <c r="B9" s="16">
        <f>IF(Produits!$A$7="","",Produits!$B$7)</f>
        <v/>
      </c>
      <c r="C9" s="17">
        <f>IF(Produits!$A$7="","",Produits!$C$7)</f>
        <v/>
      </c>
      <c r="D9" s="8" t="n">
        <v>6</v>
      </c>
      <c r="E9" s="8" t="n">
        <v>10</v>
      </c>
      <c r="F9" s="8" t="n">
        <v>10</v>
      </c>
      <c r="G9" s="18">
        <f>IF(OR(E9="",F9=""),"",F9-E9)</f>
        <v/>
      </c>
      <c r="H9" s="18">
        <f>IF(OR(E9="",F9="",N(E9)=0),"",IF(F9&lt;E9,"MANQUE",IF(F9&gt;E9,"EN TROP","OK")))</f>
        <v/>
      </c>
      <c r="I9" s="8" t="n">
        <v>7</v>
      </c>
      <c r="J9" s="8" t="n">
        <v>5</v>
      </c>
      <c r="K9" s="8" t="n">
        <v>5</v>
      </c>
      <c r="L9" s="18">
        <f>IF(OR(J9="",K9=""),"",K9-J9)</f>
        <v/>
      </c>
      <c r="M9" s="18">
        <f>IF(OR(J9="",K9="",N(J9)=0),"",IF(K9&lt;J9,"MANQUE",IF(K9&gt;J9,"EN TROP","OK")))</f>
        <v/>
      </c>
      <c r="N9" s="10" t="n"/>
      <c r="O9" s="10" t="n"/>
      <c r="P9" s="10" t="n"/>
      <c r="Q9" s="18">
        <f>IF(OR(O9="",P9=""),"",P9-O9)</f>
        <v/>
      </c>
      <c r="R9" s="18">
        <f>IF(OR(O9="",P9="",N(O9)=0),"",IF(P9&lt;O9,"MANQUE",IF(P9&gt;O9,"EN TROP","OK")))</f>
        <v/>
      </c>
      <c r="S9" s="10" t="n"/>
      <c r="T9" s="10" t="n"/>
      <c r="U9" s="10" t="n"/>
      <c r="V9" s="18">
        <f>IF(OR(T9="",U9=""),"",U9-T9)</f>
        <v/>
      </c>
      <c r="W9" s="18">
        <f>IF(OR(T9="",U9="",N(T9)=0),"",IF(U9&lt;T9,"MANQUE",IF(U9&gt;T9,"EN TROP","OK")))</f>
        <v/>
      </c>
      <c r="X9" s="19">
        <f>IF(A9="","",COUNTIF(H9:W9,"MANQUE"))</f>
        <v/>
      </c>
    </row>
    <row r="10">
      <c r="A10" s="15">
        <f>IF(Produits!$A$8="","",Produits!$A$8)</f>
        <v/>
      </c>
      <c r="B10" s="16">
        <f>IF(Produits!$A$8="","",Produits!$B$8)</f>
        <v/>
      </c>
      <c r="C10" s="17">
        <f>IF(Produits!$A$8="","",Produits!$C$8)</f>
        <v/>
      </c>
      <c r="D10" s="8" t="n">
        <v>1</v>
      </c>
      <c r="E10" s="8" t="n">
        <v>3</v>
      </c>
      <c r="F10" s="8" t="n">
        <v>3</v>
      </c>
      <c r="G10" s="18">
        <f>IF(OR(E10="",F10=""),"",F10-E10)</f>
        <v/>
      </c>
      <c r="H10" s="18">
        <f>IF(OR(E10="",F10="",N(E10)=0),"",IF(F10&lt;E10,"MANQUE",IF(F10&gt;E10,"EN TROP","OK")))</f>
        <v/>
      </c>
      <c r="I10" s="8" t="n">
        <v>2</v>
      </c>
      <c r="J10" s="8" t="n">
        <v>0</v>
      </c>
      <c r="K10" s="8" t="n">
        <v>0</v>
      </c>
      <c r="L10" s="18">
        <f>IF(OR(J10="",K10=""),"",K10-J10)</f>
        <v/>
      </c>
      <c r="M10" s="18">
        <f>IF(OR(J10="",K10="",N(J10)=0),"",IF(K10&lt;J10,"MANQUE",IF(K10&gt;J10,"EN TROP","OK")))</f>
        <v/>
      </c>
      <c r="N10" s="10" t="n"/>
      <c r="O10" s="10" t="n"/>
      <c r="P10" s="10" t="n"/>
      <c r="Q10" s="18">
        <f>IF(OR(O10="",P10=""),"",P10-O10)</f>
        <v/>
      </c>
      <c r="R10" s="18">
        <f>IF(OR(O10="",P10="",N(O10)=0),"",IF(P10&lt;O10,"MANQUE",IF(P10&gt;O10,"EN TROP","OK")))</f>
        <v/>
      </c>
      <c r="S10" s="10" t="n"/>
      <c r="T10" s="10" t="n"/>
      <c r="U10" s="10" t="n"/>
      <c r="V10" s="18">
        <f>IF(OR(T10="",U10=""),"",U10-T10)</f>
        <v/>
      </c>
      <c r="W10" s="18">
        <f>IF(OR(T10="",U10="",N(T10)=0),"",IF(U10&lt;T10,"MANQUE",IF(U10&gt;T10,"EN TROP","OK")))</f>
        <v/>
      </c>
      <c r="X10" s="19">
        <f>IF(A10="","",COUNTIF(H10:W10,"MANQUE"))</f>
        <v/>
      </c>
    </row>
    <row r="11">
      <c r="A11" s="15">
        <f>IF(Produits!$A$9="","",Produits!$A$9)</f>
        <v/>
      </c>
      <c r="B11" s="16">
        <f>IF(Produits!$A$9="","",Produits!$B$9)</f>
        <v/>
      </c>
      <c r="C11" s="17">
        <f>IF(Produits!$A$9="","",Produits!$C$9)</f>
        <v/>
      </c>
      <c r="D11" s="8" t="n">
        <v>3</v>
      </c>
      <c r="E11" s="8" t="n">
        <v>5</v>
      </c>
      <c r="F11" s="8" t="n">
        <v>5</v>
      </c>
      <c r="G11" s="18">
        <f>IF(OR(E11="",F11=""),"",F11-E11)</f>
        <v/>
      </c>
      <c r="H11" s="18">
        <f>IF(OR(E11="",F11="",N(E11)=0),"",IF(F11&lt;E11,"MANQUE",IF(F11&gt;E11,"EN TROP","OK")))</f>
        <v/>
      </c>
      <c r="I11" s="8" t="n">
        <v>4</v>
      </c>
      <c r="J11" s="8" t="n">
        <v>5</v>
      </c>
      <c r="K11" s="8" t="n">
        <v>5</v>
      </c>
      <c r="L11" s="18">
        <f>IF(OR(J11="",K11=""),"",K11-J11)</f>
        <v/>
      </c>
      <c r="M11" s="18">
        <f>IF(OR(J11="",K11="",N(J11)=0),"",IF(K11&lt;J11,"MANQUE",IF(K11&gt;J11,"EN TROP","OK")))</f>
        <v/>
      </c>
      <c r="N11" s="10" t="n"/>
      <c r="O11" s="10" t="n"/>
      <c r="P11" s="10" t="n"/>
      <c r="Q11" s="18">
        <f>IF(OR(O11="",P11=""),"",P11-O11)</f>
        <v/>
      </c>
      <c r="R11" s="18">
        <f>IF(OR(O11="",P11="",N(O11)=0),"",IF(P11&lt;O11,"MANQUE",IF(P11&gt;O11,"EN TROP","OK")))</f>
        <v/>
      </c>
      <c r="S11" s="10" t="n"/>
      <c r="T11" s="10" t="n"/>
      <c r="U11" s="10" t="n"/>
      <c r="V11" s="18">
        <f>IF(OR(T11="",U11=""),"",U11-T11)</f>
        <v/>
      </c>
      <c r="W11" s="18">
        <f>IF(OR(T11="",U11="",N(T11)=0),"",IF(U11&lt;T11,"MANQUE",IF(U11&gt;T11,"EN TROP","OK")))</f>
        <v/>
      </c>
      <c r="X11" s="19">
        <f>IF(A11="","",COUNTIF(H11:W11,"MANQUE"))</f>
        <v/>
      </c>
    </row>
    <row r="12">
      <c r="A12" s="15">
        <f>IF(Produits!$A$10="","",Produits!$A$10)</f>
        <v/>
      </c>
      <c r="B12" s="16">
        <f>IF(Produits!$A$10="","",Produits!$B$10)</f>
        <v/>
      </c>
      <c r="C12" s="17">
        <f>IF(Produits!$A$10="","",Produits!$C$10)</f>
        <v/>
      </c>
      <c r="D12" s="8" t="n">
        <v>4</v>
      </c>
      <c r="E12" s="8" t="n">
        <v>12</v>
      </c>
      <c r="F12" s="8" t="n">
        <v>12</v>
      </c>
      <c r="G12" s="18">
        <f>IF(OR(E12="",F12=""),"",F12-E12)</f>
        <v/>
      </c>
      <c r="H12" s="18">
        <f>IF(OR(E12="",F12="",N(E12)=0),"",IF(F12&lt;E12,"MANQUE",IF(F12&gt;E12,"EN TROP","OK")))</f>
        <v/>
      </c>
      <c r="I12" s="8" t="n">
        <v>5</v>
      </c>
      <c r="J12" s="8" t="n">
        <v>10</v>
      </c>
      <c r="K12" s="8" t="n">
        <v>10</v>
      </c>
      <c r="L12" s="18">
        <f>IF(OR(J12="",K12=""),"",K12-J12)</f>
        <v/>
      </c>
      <c r="M12" s="18">
        <f>IF(OR(J12="",K12="",N(J12)=0),"",IF(K12&lt;J12,"MANQUE",IF(K12&gt;J12,"EN TROP","OK")))</f>
        <v/>
      </c>
      <c r="N12" s="10" t="n"/>
      <c r="O12" s="10" t="n"/>
      <c r="P12" s="10" t="n"/>
      <c r="Q12" s="18">
        <f>IF(OR(O12="",P12=""),"",P12-O12)</f>
        <v/>
      </c>
      <c r="R12" s="18">
        <f>IF(OR(O12="",P12="",N(O12)=0),"",IF(P12&lt;O12,"MANQUE",IF(P12&gt;O12,"EN TROP","OK")))</f>
        <v/>
      </c>
      <c r="S12" s="10" t="n"/>
      <c r="T12" s="10" t="n"/>
      <c r="U12" s="10" t="n"/>
      <c r="V12" s="18">
        <f>IF(OR(T12="",U12=""),"",U12-T12)</f>
        <v/>
      </c>
      <c r="W12" s="18">
        <f>IF(OR(T12="",U12="",N(T12)=0),"",IF(U12&lt;T12,"MANQUE",IF(U12&gt;T12,"EN TROP","OK")))</f>
        <v/>
      </c>
      <c r="X12" s="19">
        <f>IF(A12="","",COUNTIF(H12:W12,"MANQUE"))</f>
        <v/>
      </c>
    </row>
    <row r="13">
      <c r="A13" s="15">
        <f>IF(Produits!$A$11="","",Produits!$A$11)</f>
        <v/>
      </c>
      <c r="B13" s="16">
        <f>IF(Produits!$A$11="","",Produits!$B$11)</f>
        <v/>
      </c>
      <c r="C13" s="17">
        <f>IF(Produits!$A$11="","",Produits!$C$11)</f>
        <v/>
      </c>
      <c r="D13" s="8" t="n">
        <v>3</v>
      </c>
      <c r="E13" s="8" t="n">
        <v>6</v>
      </c>
      <c r="F13" s="8" t="n">
        <v>6</v>
      </c>
      <c r="G13" s="18">
        <f>IF(OR(E13="",F13=""),"",F13-E13)</f>
        <v/>
      </c>
      <c r="H13" s="18">
        <f>IF(OR(E13="",F13="",N(E13)=0),"",IF(F13&lt;E13,"MANQUE",IF(F13&gt;E13,"EN TROP","OK")))</f>
        <v/>
      </c>
      <c r="I13" s="8" t="n">
        <v>4</v>
      </c>
      <c r="J13" s="8" t="n">
        <v>6</v>
      </c>
      <c r="K13" s="8" t="n">
        <v>6</v>
      </c>
      <c r="L13" s="18">
        <f>IF(OR(J13="",K13=""),"",K13-J13)</f>
        <v/>
      </c>
      <c r="M13" s="18">
        <f>IF(OR(J13="",K13="",N(J13)=0),"",IF(K13&lt;J13,"MANQUE",IF(K13&gt;J13,"EN TROP","OK")))</f>
        <v/>
      </c>
      <c r="N13" s="10" t="n"/>
      <c r="O13" s="10" t="n"/>
      <c r="P13" s="10" t="n"/>
      <c r="Q13" s="18">
        <f>IF(OR(O13="",P13=""),"",P13-O13)</f>
        <v/>
      </c>
      <c r="R13" s="18">
        <f>IF(OR(O13="",P13="",N(O13)=0),"",IF(P13&lt;O13,"MANQUE",IF(P13&gt;O13,"EN TROP","OK")))</f>
        <v/>
      </c>
      <c r="S13" s="10" t="n"/>
      <c r="T13" s="10" t="n"/>
      <c r="U13" s="10" t="n"/>
      <c r="V13" s="18">
        <f>IF(OR(T13="",U13=""),"",U13-T13)</f>
        <v/>
      </c>
      <c r="W13" s="18">
        <f>IF(OR(T13="",U13="",N(T13)=0),"",IF(U13&lt;T13,"MANQUE",IF(U13&gt;T13,"EN TROP","OK")))</f>
        <v/>
      </c>
      <c r="X13" s="19">
        <f>IF(A13="","",COUNTIF(H13:W13,"MANQUE"))</f>
        <v/>
      </c>
    </row>
    <row r="14">
      <c r="A14" s="15">
        <f>IF(Produits!$A$12="","",Produits!$A$12)</f>
        <v/>
      </c>
      <c r="B14" s="16">
        <f>IF(Produits!$A$12="","",Produits!$B$12)</f>
        <v/>
      </c>
      <c r="C14" s="17">
        <f>IF(Produits!$A$12="","",Produits!$C$12)</f>
        <v/>
      </c>
      <c r="D14" s="8" t="n">
        <v>40</v>
      </c>
      <c r="E14" s="8" t="n">
        <v>90</v>
      </c>
      <c r="F14" s="8" t="n">
        <v>90</v>
      </c>
      <c r="G14" s="18">
        <f>IF(OR(E14="",F14=""),"",F14-E14)</f>
        <v/>
      </c>
      <c r="H14" s="18">
        <f>IF(OR(E14="",F14="",N(E14)=0),"",IF(F14&lt;E14,"MANQUE",IF(F14&gt;E14,"EN TROP","OK")))</f>
        <v/>
      </c>
      <c r="I14" s="8" t="n">
        <v>50</v>
      </c>
      <c r="J14" s="8" t="n">
        <v>60</v>
      </c>
      <c r="K14" s="8" t="n">
        <v>60</v>
      </c>
      <c r="L14" s="18">
        <f>IF(OR(J14="",K14=""),"",K14-J14)</f>
        <v/>
      </c>
      <c r="M14" s="18">
        <f>IF(OR(J14="",K14="",N(J14)=0),"",IF(K14&lt;J14,"MANQUE",IF(K14&gt;J14,"EN TROP","OK")))</f>
        <v/>
      </c>
      <c r="N14" s="10" t="n"/>
      <c r="O14" s="10" t="n"/>
      <c r="P14" s="10" t="n"/>
      <c r="Q14" s="18">
        <f>IF(OR(O14="",P14=""),"",P14-O14)</f>
        <v/>
      </c>
      <c r="R14" s="18">
        <f>IF(OR(O14="",P14="",N(O14)=0),"",IF(P14&lt;O14,"MANQUE",IF(P14&gt;O14,"EN TROP","OK")))</f>
        <v/>
      </c>
      <c r="S14" s="10" t="n"/>
      <c r="T14" s="10" t="n"/>
      <c r="U14" s="10" t="n"/>
      <c r="V14" s="18">
        <f>IF(OR(T14="",U14=""),"",U14-T14)</f>
        <v/>
      </c>
      <c r="W14" s="18">
        <f>IF(OR(T14="",U14="",N(T14)=0),"",IF(U14&lt;T14,"MANQUE",IF(U14&gt;T14,"EN TROP","OK")))</f>
        <v/>
      </c>
      <c r="X14" s="19">
        <f>IF(A14="","",COUNTIF(H14:W14,"MANQUE"))</f>
        <v/>
      </c>
    </row>
    <row r="15">
      <c r="A15" s="15">
        <f>IF(Produits!$A$13="","",Produits!$A$13)</f>
        <v/>
      </c>
      <c r="B15" s="16">
        <f>IF(Produits!$A$13="","",Produits!$B$13)</f>
        <v/>
      </c>
      <c r="C15" s="17">
        <f>IF(Produits!$A$13="","",Produits!$C$13)</f>
        <v/>
      </c>
      <c r="D15" s="8" t="n">
        <v>1.5</v>
      </c>
      <c r="E15" s="8" t="n">
        <v>3</v>
      </c>
      <c r="F15" s="8" t="n">
        <v>2</v>
      </c>
      <c r="G15" s="18">
        <f>IF(OR(E15="",F15=""),"",F15-E15)</f>
        <v/>
      </c>
      <c r="H15" s="18">
        <f>IF(OR(E15="",F15="",N(E15)=0),"",IF(F15&lt;E15,"MANQUE",IF(F15&gt;E15,"EN TROP","OK")))</f>
        <v/>
      </c>
      <c r="I15" s="8" t="n">
        <v>2</v>
      </c>
      <c r="J15" s="8" t="n">
        <v>2</v>
      </c>
      <c r="K15" s="8" t="n">
        <v>2</v>
      </c>
      <c r="L15" s="18">
        <f>IF(OR(J15="",K15=""),"",K15-J15)</f>
        <v/>
      </c>
      <c r="M15" s="18">
        <f>IF(OR(J15="",K15="",N(J15)=0),"",IF(K15&lt;J15,"MANQUE",IF(K15&gt;J15,"EN TROP","OK")))</f>
        <v/>
      </c>
      <c r="N15" s="10" t="n"/>
      <c r="O15" s="10" t="n"/>
      <c r="P15" s="10" t="n"/>
      <c r="Q15" s="18">
        <f>IF(OR(O15="",P15=""),"",P15-O15)</f>
        <v/>
      </c>
      <c r="R15" s="18">
        <f>IF(OR(O15="",P15="",N(O15)=0),"",IF(P15&lt;O15,"MANQUE",IF(P15&gt;O15,"EN TROP","OK")))</f>
        <v/>
      </c>
      <c r="S15" s="10" t="n"/>
      <c r="T15" s="10" t="n"/>
      <c r="U15" s="10" t="n"/>
      <c r="V15" s="18">
        <f>IF(OR(T15="",U15=""),"",U15-T15)</f>
        <v/>
      </c>
      <c r="W15" s="18">
        <f>IF(OR(T15="",U15="",N(T15)=0),"",IF(U15&lt;T15,"MANQUE",IF(U15&gt;T15,"EN TROP","OK")))</f>
        <v/>
      </c>
      <c r="X15" s="19">
        <f>IF(A15="","",COUNTIF(H15:W15,"MANQUE"))</f>
        <v/>
      </c>
    </row>
    <row r="16">
      <c r="A16" s="15">
        <f>IF(Produits!$A$14="","",Produits!$A$14)</f>
        <v/>
      </c>
      <c r="B16" s="16">
        <f>IF(Produits!$A$14="","",Produits!$B$14)</f>
        <v/>
      </c>
      <c r="C16" s="17">
        <f>IF(Produits!$A$14="","",Produits!$C$14)</f>
        <v/>
      </c>
      <c r="D16" s="8" t="n">
        <v>2</v>
      </c>
      <c r="E16" s="8" t="n">
        <v>2</v>
      </c>
      <c r="F16" s="8" t="n">
        <v>2</v>
      </c>
      <c r="G16" s="18">
        <f>IF(OR(E16="",F16=""),"",F16-E16)</f>
        <v/>
      </c>
      <c r="H16" s="18">
        <f>IF(OR(E16="",F16="",N(E16)=0),"",IF(F16&lt;E16,"MANQUE",IF(F16&gt;E16,"EN TROP","OK")))</f>
        <v/>
      </c>
      <c r="I16" s="8" t="n">
        <v>2</v>
      </c>
      <c r="J16" s="8" t="n">
        <v>2</v>
      </c>
      <c r="K16" s="8" t="n">
        <v>2</v>
      </c>
      <c r="L16" s="18">
        <f>IF(OR(J16="",K16=""),"",K16-J16)</f>
        <v/>
      </c>
      <c r="M16" s="18">
        <f>IF(OR(J16="",K16="",N(J16)=0),"",IF(K16&lt;J16,"MANQUE",IF(K16&gt;J16,"EN TROP","OK")))</f>
        <v/>
      </c>
      <c r="N16" s="10" t="n"/>
      <c r="O16" s="10" t="n"/>
      <c r="P16" s="10" t="n"/>
      <c r="Q16" s="18">
        <f>IF(OR(O16="",P16=""),"",P16-O16)</f>
        <v/>
      </c>
      <c r="R16" s="18">
        <f>IF(OR(O16="",P16="",N(O16)=0),"",IF(P16&lt;O16,"MANQUE",IF(P16&gt;O16,"EN TROP","OK")))</f>
        <v/>
      </c>
      <c r="S16" s="10" t="n"/>
      <c r="T16" s="10" t="n"/>
      <c r="U16" s="10" t="n"/>
      <c r="V16" s="18">
        <f>IF(OR(T16="",U16=""),"",U16-T16)</f>
        <v/>
      </c>
      <c r="W16" s="18">
        <f>IF(OR(T16="",U16="",N(T16)=0),"",IF(U16&lt;T16,"MANQUE",IF(U16&gt;T16,"EN TROP","OK")))</f>
        <v/>
      </c>
      <c r="X16" s="19">
        <f>IF(A16="","",COUNTIF(H16:W16,"MANQUE"))</f>
        <v/>
      </c>
    </row>
    <row r="17">
      <c r="A17" s="15">
        <f>IF(Produits!$A$15="","",Produits!$A$15)</f>
        <v/>
      </c>
      <c r="B17" s="16">
        <f>IF(Produits!$A$15="","",Produits!$B$15)</f>
        <v/>
      </c>
      <c r="C17" s="17">
        <f>IF(Produits!$A$15="","",Produits!$C$15)</f>
        <v/>
      </c>
      <c r="D17" s="8" t="n">
        <v>0.4</v>
      </c>
      <c r="E17" s="8" t="n">
        <v>1</v>
      </c>
      <c r="F17" s="8" t="n">
        <v>1</v>
      </c>
      <c r="G17" s="18">
        <f>IF(OR(E17="",F17=""),"",F17-E17)</f>
        <v/>
      </c>
      <c r="H17" s="18">
        <f>IF(OR(E17="",F17="",N(E17)=0),"",IF(F17&lt;E17,"MANQUE",IF(F17&gt;E17,"EN TROP","OK")))</f>
        <v/>
      </c>
      <c r="I17" s="8" t="n">
        <v>0.6</v>
      </c>
      <c r="J17" s="8" t="n">
        <v>0</v>
      </c>
      <c r="K17" s="8" t="n">
        <v>0</v>
      </c>
      <c r="L17" s="18">
        <f>IF(OR(J17="",K17=""),"",K17-J17)</f>
        <v/>
      </c>
      <c r="M17" s="18">
        <f>IF(OR(J17="",K17="",N(J17)=0),"",IF(K17&lt;J17,"MANQUE",IF(K17&gt;J17,"EN TROP","OK")))</f>
        <v/>
      </c>
      <c r="N17" s="10" t="n"/>
      <c r="O17" s="10" t="n"/>
      <c r="P17" s="10" t="n"/>
      <c r="Q17" s="18">
        <f>IF(OR(O17="",P17=""),"",P17-O17)</f>
        <v/>
      </c>
      <c r="R17" s="18">
        <f>IF(OR(O17="",P17="",N(O17)=0),"",IF(P17&lt;O17,"MANQUE",IF(P17&gt;O17,"EN TROP","OK")))</f>
        <v/>
      </c>
      <c r="S17" s="10" t="n"/>
      <c r="T17" s="10" t="n"/>
      <c r="U17" s="10" t="n"/>
      <c r="V17" s="18">
        <f>IF(OR(T17="",U17=""),"",U17-T17)</f>
        <v/>
      </c>
      <c r="W17" s="18">
        <f>IF(OR(T17="",U17="",N(T17)=0),"",IF(U17&lt;T17,"MANQUE",IF(U17&gt;T17,"EN TROP","OK")))</f>
        <v/>
      </c>
      <c r="X17" s="19">
        <f>IF(A17="","",COUNTIF(H17:W17,"MANQUE"))</f>
        <v/>
      </c>
    </row>
    <row r="18">
      <c r="A18" s="15">
        <f>IF(Produits!$A$16="","",Produits!$A$16)</f>
        <v/>
      </c>
      <c r="B18" s="16">
        <f>IF(Produits!$A$16="","",Produits!$B$16)</f>
        <v/>
      </c>
      <c r="C18" s="17">
        <f>IF(Produits!$A$16="","",Produits!$C$16)</f>
        <v/>
      </c>
      <c r="D18" s="8" t="n">
        <v>6</v>
      </c>
      <c r="E18" s="8" t="n">
        <v>0</v>
      </c>
      <c r="F18" s="8" t="n">
        <v>0</v>
      </c>
      <c r="G18" s="18">
        <f>IF(OR(E18="",F18=""),"",F18-E18)</f>
        <v/>
      </c>
      <c r="H18" s="18">
        <f>IF(OR(E18="",F18="",N(E18)=0),"",IF(F18&lt;E18,"MANQUE",IF(F18&gt;E18,"EN TROP","OK")))</f>
        <v/>
      </c>
      <c r="I18" s="8" t="n">
        <v>6</v>
      </c>
      <c r="J18" s="8" t="n">
        <v>0</v>
      </c>
      <c r="K18" s="8" t="n">
        <v>0</v>
      </c>
      <c r="L18" s="18">
        <f>IF(OR(J18="",K18=""),"",K18-J18)</f>
        <v/>
      </c>
      <c r="M18" s="18">
        <f>IF(OR(J18="",K18="",N(J18)=0),"",IF(K18&lt;J18,"MANQUE",IF(K18&gt;J18,"EN TROP","OK")))</f>
        <v/>
      </c>
      <c r="N18" s="10" t="n"/>
      <c r="O18" s="10" t="n"/>
      <c r="P18" s="10" t="n"/>
      <c r="Q18" s="18">
        <f>IF(OR(O18="",P18=""),"",P18-O18)</f>
        <v/>
      </c>
      <c r="R18" s="18">
        <f>IF(OR(O18="",P18="",N(O18)=0),"",IF(P18&lt;O18,"MANQUE",IF(P18&gt;O18,"EN TROP","OK")))</f>
        <v/>
      </c>
      <c r="S18" s="10" t="n"/>
      <c r="T18" s="10" t="n"/>
      <c r="U18" s="10" t="n"/>
      <c r="V18" s="18">
        <f>IF(OR(T18="",U18=""),"",U18-T18)</f>
        <v/>
      </c>
      <c r="W18" s="18">
        <f>IF(OR(T18="",U18="",N(T18)=0),"",IF(U18&lt;T18,"MANQUE",IF(U18&gt;T18,"EN TROP","OK")))</f>
        <v/>
      </c>
      <c r="X18" s="19">
        <f>IF(A18="","",COUNTIF(H18:W18,"MANQUE"))</f>
        <v/>
      </c>
    </row>
    <row r="19">
      <c r="A19" s="15">
        <f>IF(Produits!$A$17="","",Produits!$A$17)</f>
        <v/>
      </c>
      <c r="B19" s="16">
        <f>IF(Produits!$A$17="","",Produits!$B$17)</f>
        <v/>
      </c>
      <c r="C19" s="17">
        <f>IF(Produits!$A$17="","",Produits!$C$17)</f>
        <v/>
      </c>
      <c r="D19" s="10" t="n"/>
      <c r="E19" s="10" t="n"/>
      <c r="F19" s="10" t="n"/>
      <c r="G19" s="18">
        <f>IF(OR(E19="",F19=""),"",F19-E19)</f>
        <v/>
      </c>
      <c r="H19" s="18">
        <f>IF(OR(E19="",F19="",N(E19)=0),"",IF(F19&lt;E19,"MANQUE",IF(F19&gt;E19,"EN TROP","OK")))</f>
        <v/>
      </c>
      <c r="I19" s="10" t="n"/>
      <c r="J19" s="10" t="n"/>
      <c r="K19" s="10" t="n"/>
      <c r="L19" s="18">
        <f>IF(OR(J19="",K19=""),"",K19-J19)</f>
        <v/>
      </c>
      <c r="M19" s="18">
        <f>IF(OR(J19="",K19="",N(J19)=0),"",IF(K19&lt;J19,"MANQUE",IF(K19&gt;J19,"EN TROP","OK")))</f>
        <v/>
      </c>
      <c r="N19" s="10" t="n"/>
      <c r="O19" s="10" t="n"/>
      <c r="P19" s="10" t="n"/>
      <c r="Q19" s="18">
        <f>IF(OR(O19="",P19=""),"",P19-O19)</f>
        <v/>
      </c>
      <c r="R19" s="18">
        <f>IF(OR(O19="",P19="",N(O19)=0),"",IF(P19&lt;O19,"MANQUE",IF(P19&gt;O19,"EN TROP","OK")))</f>
        <v/>
      </c>
      <c r="S19" s="10" t="n"/>
      <c r="T19" s="10" t="n"/>
      <c r="U19" s="10" t="n"/>
      <c r="V19" s="18">
        <f>IF(OR(T19="",U19=""),"",U19-T19)</f>
        <v/>
      </c>
      <c r="W19" s="18">
        <f>IF(OR(T19="",U19="",N(T19)=0),"",IF(U19&lt;T19,"MANQUE",IF(U19&gt;T19,"EN TROP","OK")))</f>
        <v/>
      </c>
      <c r="X19" s="19">
        <f>IF(A19="","",COUNTIF(H19:W19,"MANQUE"))</f>
        <v/>
      </c>
    </row>
    <row r="20">
      <c r="A20" s="15">
        <f>IF(Produits!$A$18="","",Produits!$A$18)</f>
        <v/>
      </c>
      <c r="B20" s="16">
        <f>IF(Produits!$A$18="","",Produits!$B$18)</f>
        <v/>
      </c>
      <c r="C20" s="17">
        <f>IF(Produits!$A$18="","",Produits!$C$18)</f>
        <v/>
      </c>
      <c r="D20" s="10" t="n"/>
      <c r="E20" s="10" t="n"/>
      <c r="F20" s="10" t="n"/>
      <c r="G20" s="18">
        <f>IF(OR(E20="",F20=""),"",F20-E20)</f>
        <v/>
      </c>
      <c r="H20" s="18">
        <f>IF(OR(E20="",F20="",N(E20)=0),"",IF(F20&lt;E20,"MANQUE",IF(F20&gt;E20,"EN TROP","OK")))</f>
        <v/>
      </c>
      <c r="I20" s="10" t="n"/>
      <c r="J20" s="10" t="n"/>
      <c r="K20" s="10" t="n"/>
      <c r="L20" s="18">
        <f>IF(OR(J20="",K20=""),"",K20-J20)</f>
        <v/>
      </c>
      <c r="M20" s="18">
        <f>IF(OR(J20="",K20="",N(J20)=0),"",IF(K20&lt;J20,"MANQUE",IF(K20&gt;J20,"EN TROP","OK")))</f>
        <v/>
      </c>
      <c r="N20" s="10" t="n"/>
      <c r="O20" s="10" t="n"/>
      <c r="P20" s="10" t="n"/>
      <c r="Q20" s="18">
        <f>IF(OR(O20="",P20=""),"",P20-O20)</f>
        <v/>
      </c>
      <c r="R20" s="18">
        <f>IF(OR(O20="",P20="",N(O20)=0),"",IF(P20&lt;O20,"MANQUE",IF(P20&gt;O20,"EN TROP","OK")))</f>
        <v/>
      </c>
      <c r="S20" s="10" t="n"/>
      <c r="T20" s="10" t="n"/>
      <c r="U20" s="10" t="n"/>
      <c r="V20" s="18">
        <f>IF(OR(T20="",U20=""),"",U20-T20)</f>
        <v/>
      </c>
      <c r="W20" s="18">
        <f>IF(OR(T20="",U20="",N(T20)=0),"",IF(U20&lt;T20,"MANQUE",IF(U20&gt;T20,"EN TROP","OK")))</f>
        <v/>
      </c>
      <c r="X20" s="19">
        <f>IF(A20="","",COUNTIF(H20:W20,"MANQUE"))</f>
        <v/>
      </c>
    </row>
    <row r="21">
      <c r="A21" s="15">
        <f>IF(Produits!$A$19="","",Produits!$A$19)</f>
        <v/>
      </c>
      <c r="B21" s="16">
        <f>IF(Produits!$A$19="","",Produits!$B$19)</f>
        <v/>
      </c>
      <c r="C21" s="17">
        <f>IF(Produits!$A$19="","",Produits!$C$19)</f>
        <v/>
      </c>
      <c r="D21" s="10" t="n"/>
      <c r="E21" s="10" t="n"/>
      <c r="F21" s="10" t="n"/>
      <c r="G21" s="18">
        <f>IF(OR(E21="",F21=""),"",F21-E21)</f>
        <v/>
      </c>
      <c r="H21" s="18">
        <f>IF(OR(E21="",F21="",N(E21)=0),"",IF(F21&lt;E21,"MANQUE",IF(F21&gt;E21,"EN TROP","OK")))</f>
        <v/>
      </c>
      <c r="I21" s="10" t="n"/>
      <c r="J21" s="10" t="n"/>
      <c r="K21" s="10" t="n"/>
      <c r="L21" s="18">
        <f>IF(OR(J21="",K21=""),"",K21-J21)</f>
        <v/>
      </c>
      <c r="M21" s="18">
        <f>IF(OR(J21="",K21="",N(J21)=0),"",IF(K21&lt;J21,"MANQUE",IF(K21&gt;J21,"EN TROP","OK")))</f>
        <v/>
      </c>
      <c r="N21" s="10" t="n"/>
      <c r="O21" s="10" t="n"/>
      <c r="P21" s="10" t="n"/>
      <c r="Q21" s="18">
        <f>IF(OR(O21="",P21=""),"",P21-O21)</f>
        <v/>
      </c>
      <c r="R21" s="18">
        <f>IF(OR(O21="",P21="",N(O21)=0),"",IF(P21&lt;O21,"MANQUE",IF(P21&gt;O21,"EN TROP","OK")))</f>
        <v/>
      </c>
      <c r="S21" s="10" t="n"/>
      <c r="T21" s="10" t="n"/>
      <c r="U21" s="10" t="n"/>
      <c r="V21" s="18">
        <f>IF(OR(T21="",U21=""),"",U21-T21)</f>
        <v/>
      </c>
      <c r="W21" s="18">
        <f>IF(OR(T21="",U21="",N(T21)=0),"",IF(U21&lt;T21,"MANQUE",IF(U21&gt;T21,"EN TROP","OK")))</f>
        <v/>
      </c>
      <c r="X21" s="19">
        <f>IF(A21="","",COUNTIF(H21:W21,"MANQUE"))</f>
        <v/>
      </c>
    </row>
    <row r="22">
      <c r="A22" s="15">
        <f>IF(Produits!$A$20="","",Produits!$A$20)</f>
        <v/>
      </c>
      <c r="B22" s="16">
        <f>IF(Produits!$A$20="","",Produits!$B$20)</f>
        <v/>
      </c>
      <c r="C22" s="17">
        <f>IF(Produits!$A$20="","",Produits!$C$20)</f>
        <v/>
      </c>
      <c r="D22" s="10" t="n"/>
      <c r="E22" s="10" t="n"/>
      <c r="F22" s="10" t="n"/>
      <c r="G22" s="18">
        <f>IF(OR(E22="",F22=""),"",F22-E22)</f>
        <v/>
      </c>
      <c r="H22" s="18">
        <f>IF(OR(E22="",F22="",N(E22)=0),"",IF(F22&lt;E22,"MANQUE",IF(F22&gt;E22,"EN TROP","OK")))</f>
        <v/>
      </c>
      <c r="I22" s="10" t="n"/>
      <c r="J22" s="10" t="n"/>
      <c r="K22" s="10" t="n"/>
      <c r="L22" s="18">
        <f>IF(OR(J22="",K22=""),"",K22-J22)</f>
        <v/>
      </c>
      <c r="M22" s="18">
        <f>IF(OR(J22="",K22="",N(J22)=0),"",IF(K22&lt;J22,"MANQUE",IF(K22&gt;J22,"EN TROP","OK")))</f>
        <v/>
      </c>
      <c r="N22" s="10" t="n"/>
      <c r="O22" s="10" t="n"/>
      <c r="P22" s="10" t="n"/>
      <c r="Q22" s="18">
        <f>IF(OR(O22="",P22=""),"",P22-O22)</f>
        <v/>
      </c>
      <c r="R22" s="18">
        <f>IF(OR(O22="",P22="",N(O22)=0),"",IF(P22&lt;O22,"MANQUE",IF(P22&gt;O22,"EN TROP","OK")))</f>
        <v/>
      </c>
      <c r="S22" s="10" t="n"/>
      <c r="T22" s="10" t="n"/>
      <c r="U22" s="10" t="n"/>
      <c r="V22" s="18">
        <f>IF(OR(T22="",U22=""),"",U22-T22)</f>
        <v/>
      </c>
      <c r="W22" s="18">
        <f>IF(OR(T22="",U22="",N(T22)=0),"",IF(U22&lt;T22,"MANQUE",IF(U22&gt;T22,"EN TROP","OK")))</f>
        <v/>
      </c>
      <c r="X22" s="19">
        <f>IF(A22="","",COUNTIF(H22:W22,"MANQUE"))</f>
        <v/>
      </c>
    </row>
    <row r="23">
      <c r="A23" s="15">
        <f>IF(Produits!$A$21="","",Produits!$A$21)</f>
        <v/>
      </c>
      <c r="B23" s="16">
        <f>IF(Produits!$A$21="","",Produits!$B$21)</f>
        <v/>
      </c>
      <c r="C23" s="17">
        <f>IF(Produits!$A$21="","",Produits!$C$21)</f>
        <v/>
      </c>
      <c r="D23" s="10" t="n"/>
      <c r="E23" s="10" t="n"/>
      <c r="F23" s="10" t="n"/>
      <c r="G23" s="18">
        <f>IF(OR(E23="",F23=""),"",F23-E23)</f>
        <v/>
      </c>
      <c r="H23" s="18">
        <f>IF(OR(E23="",F23="",N(E23)=0),"",IF(F23&lt;E23,"MANQUE",IF(F23&gt;E23,"EN TROP","OK")))</f>
        <v/>
      </c>
      <c r="I23" s="10" t="n"/>
      <c r="J23" s="10" t="n"/>
      <c r="K23" s="10" t="n"/>
      <c r="L23" s="18">
        <f>IF(OR(J23="",K23=""),"",K23-J23)</f>
        <v/>
      </c>
      <c r="M23" s="18">
        <f>IF(OR(J23="",K23="",N(J23)=0),"",IF(K23&lt;J23,"MANQUE",IF(K23&gt;J23,"EN TROP","OK")))</f>
        <v/>
      </c>
      <c r="N23" s="10" t="n"/>
      <c r="O23" s="10" t="n"/>
      <c r="P23" s="10" t="n"/>
      <c r="Q23" s="18">
        <f>IF(OR(O23="",P23=""),"",P23-O23)</f>
        <v/>
      </c>
      <c r="R23" s="18">
        <f>IF(OR(O23="",P23="",N(O23)=0),"",IF(P23&lt;O23,"MANQUE",IF(P23&gt;O23,"EN TROP","OK")))</f>
        <v/>
      </c>
      <c r="S23" s="10" t="n"/>
      <c r="T23" s="10" t="n"/>
      <c r="U23" s="10" t="n"/>
      <c r="V23" s="18">
        <f>IF(OR(T23="",U23=""),"",U23-T23)</f>
        <v/>
      </c>
      <c r="W23" s="18">
        <f>IF(OR(T23="",U23="",N(T23)=0),"",IF(U23&lt;T23,"MANQUE",IF(U23&gt;T23,"EN TROP","OK")))</f>
        <v/>
      </c>
      <c r="X23" s="19">
        <f>IF(A23="","",COUNTIF(H23:W23,"MANQUE"))</f>
        <v/>
      </c>
    </row>
    <row r="24">
      <c r="A24" s="15">
        <f>IF(Produits!$A$22="","",Produits!$A$22)</f>
        <v/>
      </c>
      <c r="B24" s="16">
        <f>IF(Produits!$A$22="","",Produits!$B$22)</f>
        <v/>
      </c>
      <c r="C24" s="17">
        <f>IF(Produits!$A$22="","",Produits!$C$22)</f>
        <v/>
      </c>
      <c r="D24" s="10" t="n"/>
      <c r="E24" s="10" t="n"/>
      <c r="F24" s="10" t="n"/>
      <c r="G24" s="18">
        <f>IF(OR(E24="",F24=""),"",F24-E24)</f>
        <v/>
      </c>
      <c r="H24" s="18">
        <f>IF(OR(E24="",F24="",N(E24)=0),"",IF(F24&lt;E24,"MANQUE",IF(F24&gt;E24,"EN TROP","OK")))</f>
        <v/>
      </c>
      <c r="I24" s="10" t="n"/>
      <c r="J24" s="10" t="n"/>
      <c r="K24" s="10" t="n"/>
      <c r="L24" s="18">
        <f>IF(OR(J24="",K24=""),"",K24-J24)</f>
        <v/>
      </c>
      <c r="M24" s="18">
        <f>IF(OR(J24="",K24="",N(J24)=0),"",IF(K24&lt;J24,"MANQUE",IF(K24&gt;J24,"EN TROP","OK")))</f>
        <v/>
      </c>
      <c r="N24" s="10" t="n"/>
      <c r="O24" s="10" t="n"/>
      <c r="P24" s="10" t="n"/>
      <c r="Q24" s="18">
        <f>IF(OR(O24="",P24=""),"",P24-O24)</f>
        <v/>
      </c>
      <c r="R24" s="18">
        <f>IF(OR(O24="",P24="",N(O24)=0),"",IF(P24&lt;O24,"MANQUE",IF(P24&gt;O24,"EN TROP","OK")))</f>
        <v/>
      </c>
      <c r="S24" s="10" t="n"/>
      <c r="T24" s="10" t="n"/>
      <c r="U24" s="10" t="n"/>
      <c r="V24" s="18">
        <f>IF(OR(T24="",U24=""),"",U24-T24)</f>
        <v/>
      </c>
      <c r="W24" s="18">
        <f>IF(OR(T24="",U24="",N(T24)=0),"",IF(U24&lt;T24,"MANQUE",IF(U24&gt;T24,"EN TROP","OK")))</f>
        <v/>
      </c>
      <c r="X24" s="19">
        <f>IF(A24="","",COUNTIF(H24:W24,"MANQUE"))</f>
        <v/>
      </c>
    </row>
    <row r="25">
      <c r="A25" s="15">
        <f>IF(Produits!$A$23="","",Produits!$A$23)</f>
        <v/>
      </c>
      <c r="B25" s="16">
        <f>IF(Produits!$A$23="","",Produits!$B$23)</f>
        <v/>
      </c>
      <c r="C25" s="17">
        <f>IF(Produits!$A$23="","",Produits!$C$23)</f>
        <v/>
      </c>
      <c r="D25" s="10" t="n"/>
      <c r="E25" s="10" t="n"/>
      <c r="F25" s="10" t="n"/>
      <c r="G25" s="18">
        <f>IF(OR(E25="",F25=""),"",F25-E25)</f>
        <v/>
      </c>
      <c r="H25" s="18">
        <f>IF(OR(E25="",F25="",N(E25)=0),"",IF(F25&lt;E25,"MANQUE",IF(F25&gt;E25,"EN TROP","OK")))</f>
        <v/>
      </c>
      <c r="I25" s="10" t="n"/>
      <c r="J25" s="10" t="n"/>
      <c r="K25" s="10" t="n"/>
      <c r="L25" s="18">
        <f>IF(OR(J25="",K25=""),"",K25-J25)</f>
        <v/>
      </c>
      <c r="M25" s="18">
        <f>IF(OR(J25="",K25="",N(J25)=0),"",IF(K25&lt;J25,"MANQUE",IF(K25&gt;J25,"EN TROP","OK")))</f>
        <v/>
      </c>
      <c r="N25" s="10" t="n"/>
      <c r="O25" s="10" t="n"/>
      <c r="P25" s="10" t="n"/>
      <c r="Q25" s="18">
        <f>IF(OR(O25="",P25=""),"",P25-O25)</f>
        <v/>
      </c>
      <c r="R25" s="18">
        <f>IF(OR(O25="",P25="",N(O25)=0),"",IF(P25&lt;O25,"MANQUE",IF(P25&gt;O25,"EN TROP","OK")))</f>
        <v/>
      </c>
      <c r="S25" s="10" t="n"/>
      <c r="T25" s="10" t="n"/>
      <c r="U25" s="10" t="n"/>
      <c r="V25" s="18">
        <f>IF(OR(T25="",U25=""),"",U25-T25)</f>
        <v/>
      </c>
      <c r="W25" s="18">
        <f>IF(OR(T25="",U25="",N(T25)=0),"",IF(U25&lt;T25,"MANQUE",IF(U25&gt;T25,"EN TROP","OK")))</f>
        <v/>
      </c>
      <c r="X25" s="19">
        <f>IF(A25="","",COUNTIF(H25:W25,"MANQUE"))</f>
        <v/>
      </c>
    </row>
    <row r="26">
      <c r="A26" s="15">
        <f>IF(Produits!$A$24="","",Produits!$A$24)</f>
        <v/>
      </c>
      <c r="B26" s="16">
        <f>IF(Produits!$A$24="","",Produits!$B$24)</f>
        <v/>
      </c>
      <c r="C26" s="17">
        <f>IF(Produits!$A$24="","",Produits!$C$24)</f>
        <v/>
      </c>
      <c r="D26" s="10" t="n"/>
      <c r="E26" s="10" t="n"/>
      <c r="F26" s="10" t="n"/>
      <c r="G26" s="18">
        <f>IF(OR(E26="",F26=""),"",F26-E26)</f>
        <v/>
      </c>
      <c r="H26" s="18">
        <f>IF(OR(E26="",F26="",N(E26)=0),"",IF(F26&lt;E26,"MANQUE",IF(F26&gt;E26,"EN TROP","OK")))</f>
        <v/>
      </c>
      <c r="I26" s="10" t="n"/>
      <c r="J26" s="10" t="n"/>
      <c r="K26" s="10" t="n"/>
      <c r="L26" s="18">
        <f>IF(OR(J26="",K26=""),"",K26-J26)</f>
        <v/>
      </c>
      <c r="M26" s="18">
        <f>IF(OR(J26="",K26="",N(J26)=0),"",IF(K26&lt;J26,"MANQUE",IF(K26&gt;J26,"EN TROP","OK")))</f>
        <v/>
      </c>
      <c r="N26" s="10" t="n"/>
      <c r="O26" s="10" t="n"/>
      <c r="P26" s="10" t="n"/>
      <c r="Q26" s="18">
        <f>IF(OR(O26="",P26=""),"",P26-O26)</f>
        <v/>
      </c>
      <c r="R26" s="18">
        <f>IF(OR(O26="",P26="",N(O26)=0),"",IF(P26&lt;O26,"MANQUE",IF(P26&gt;O26,"EN TROP","OK")))</f>
        <v/>
      </c>
      <c r="S26" s="10" t="n"/>
      <c r="T26" s="10" t="n"/>
      <c r="U26" s="10" t="n"/>
      <c r="V26" s="18">
        <f>IF(OR(T26="",U26=""),"",U26-T26)</f>
        <v/>
      </c>
      <c r="W26" s="18">
        <f>IF(OR(T26="",U26="",N(T26)=0),"",IF(U26&lt;T26,"MANQUE",IF(U26&gt;T26,"EN TROP","OK")))</f>
        <v/>
      </c>
      <c r="X26" s="19">
        <f>IF(A26="","",COUNTIF(H26:W26,"MANQUE"))</f>
        <v/>
      </c>
    </row>
    <row r="27">
      <c r="A27" s="15">
        <f>IF(Produits!$A$25="","",Produits!$A$25)</f>
        <v/>
      </c>
      <c r="B27" s="16">
        <f>IF(Produits!$A$25="","",Produits!$B$25)</f>
        <v/>
      </c>
      <c r="C27" s="17">
        <f>IF(Produits!$A$25="","",Produits!$C$25)</f>
        <v/>
      </c>
      <c r="D27" s="10" t="n"/>
      <c r="E27" s="10" t="n"/>
      <c r="F27" s="10" t="n"/>
      <c r="G27" s="18">
        <f>IF(OR(E27="",F27=""),"",F27-E27)</f>
        <v/>
      </c>
      <c r="H27" s="18">
        <f>IF(OR(E27="",F27="",N(E27)=0),"",IF(F27&lt;E27,"MANQUE",IF(F27&gt;E27,"EN TROP","OK")))</f>
        <v/>
      </c>
      <c r="I27" s="10" t="n"/>
      <c r="J27" s="10" t="n"/>
      <c r="K27" s="10" t="n"/>
      <c r="L27" s="18">
        <f>IF(OR(J27="",K27=""),"",K27-J27)</f>
        <v/>
      </c>
      <c r="M27" s="18">
        <f>IF(OR(J27="",K27="",N(J27)=0),"",IF(K27&lt;J27,"MANQUE",IF(K27&gt;J27,"EN TROP","OK")))</f>
        <v/>
      </c>
      <c r="N27" s="10" t="n"/>
      <c r="O27" s="10" t="n"/>
      <c r="P27" s="10" t="n"/>
      <c r="Q27" s="18">
        <f>IF(OR(O27="",P27=""),"",P27-O27)</f>
        <v/>
      </c>
      <c r="R27" s="18">
        <f>IF(OR(O27="",P27="",N(O27)=0),"",IF(P27&lt;O27,"MANQUE",IF(P27&gt;O27,"EN TROP","OK")))</f>
        <v/>
      </c>
      <c r="S27" s="10" t="n"/>
      <c r="T27" s="10" t="n"/>
      <c r="U27" s="10" t="n"/>
      <c r="V27" s="18">
        <f>IF(OR(T27="",U27=""),"",U27-T27)</f>
        <v/>
      </c>
      <c r="W27" s="18">
        <f>IF(OR(T27="",U27="",N(T27)=0),"",IF(U27&lt;T27,"MANQUE",IF(U27&gt;T27,"EN TROP","OK")))</f>
        <v/>
      </c>
      <c r="X27" s="19">
        <f>IF(A27="","",COUNTIF(H27:W27,"MANQUE"))</f>
        <v/>
      </c>
    </row>
    <row r="28">
      <c r="A28" s="15">
        <f>IF(Produits!$A$26="","",Produits!$A$26)</f>
        <v/>
      </c>
      <c r="B28" s="16">
        <f>IF(Produits!$A$26="","",Produits!$B$26)</f>
        <v/>
      </c>
      <c r="C28" s="17">
        <f>IF(Produits!$A$26="","",Produits!$C$26)</f>
        <v/>
      </c>
      <c r="D28" s="10" t="n"/>
      <c r="E28" s="10" t="n"/>
      <c r="F28" s="10" t="n"/>
      <c r="G28" s="18">
        <f>IF(OR(E28="",F28=""),"",F28-E28)</f>
        <v/>
      </c>
      <c r="H28" s="18">
        <f>IF(OR(E28="",F28="",N(E28)=0),"",IF(F28&lt;E28,"MANQUE",IF(F28&gt;E28,"EN TROP","OK")))</f>
        <v/>
      </c>
      <c r="I28" s="10" t="n"/>
      <c r="J28" s="10" t="n"/>
      <c r="K28" s="10" t="n"/>
      <c r="L28" s="18">
        <f>IF(OR(J28="",K28=""),"",K28-J28)</f>
        <v/>
      </c>
      <c r="M28" s="18">
        <f>IF(OR(J28="",K28="",N(J28)=0),"",IF(K28&lt;J28,"MANQUE",IF(K28&gt;J28,"EN TROP","OK")))</f>
        <v/>
      </c>
      <c r="N28" s="10" t="n"/>
      <c r="O28" s="10" t="n"/>
      <c r="P28" s="10" t="n"/>
      <c r="Q28" s="18">
        <f>IF(OR(O28="",P28=""),"",P28-O28)</f>
        <v/>
      </c>
      <c r="R28" s="18">
        <f>IF(OR(O28="",P28="",N(O28)=0),"",IF(P28&lt;O28,"MANQUE",IF(P28&gt;O28,"EN TROP","OK")))</f>
        <v/>
      </c>
      <c r="S28" s="10" t="n"/>
      <c r="T28" s="10" t="n"/>
      <c r="U28" s="10" t="n"/>
      <c r="V28" s="18">
        <f>IF(OR(T28="",U28=""),"",U28-T28)</f>
        <v/>
      </c>
      <c r="W28" s="18">
        <f>IF(OR(T28="",U28="",N(T28)=0),"",IF(U28&lt;T28,"MANQUE",IF(U28&gt;T28,"EN TROP","OK")))</f>
        <v/>
      </c>
      <c r="X28" s="19">
        <f>IF(A28="","",COUNTIF(H28:W28,"MANQUE"))</f>
        <v/>
      </c>
    </row>
    <row r="29">
      <c r="A29" s="15">
        <f>IF(Produits!$A$27="","",Produits!$A$27)</f>
        <v/>
      </c>
      <c r="B29" s="16">
        <f>IF(Produits!$A$27="","",Produits!$B$27)</f>
        <v/>
      </c>
      <c r="C29" s="17">
        <f>IF(Produits!$A$27="","",Produits!$C$27)</f>
        <v/>
      </c>
      <c r="D29" s="10" t="n"/>
      <c r="E29" s="10" t="n"/>
      <c r="F29" s="10" t="n"/>
      <c r="G29" s="18">
        <f>IF(OR(E29="",F29=""),"",F29-E29)</f>
        <v/>
      </c>
      <c r="H29" s="18">
        <f>IF(OR(E29="",F29="",N(E29)=0),"",IF(F29&lt;E29,"MANQUE",IF(F29&gt;E29,"EN TROP","OK")))</f>
        <v/>
      </c>
      <c r="I29" s="10" t="n"/>
      <c r="J29" s="10" t="n"/>
      <c r="K29" s="10" t="n"/>
      <c r="L29" s="18">
        <f>IF(OR(J29="",K29=""),"",K29-J29)</f>
        <v/>
      </c>
      <c r="M29" s="18">
        <f>IF(OR(J29="",K29="",N(J29)=0),"",IF(K29&lt;J29,"MANQUE",IF(K29&gt;J29,"EN TROP","OK")))</f>
        <v/>
      </c>
      <c r="N29" s="10" t="n"/>
      <c r="O29" s="10" t="n"/>
      <c r="P29" s="10" t="n"/>
      <c r="Q29" s="18">
        <f>IF(OR(O29="",P29=""),"",P29-O29)</f>
        <v/>
      </c>
      <c r="R29" s="18">
        <f>IF(OR(O29="",P29="",N(O29)=0),"",IF(P29&lt;O29,"MANQUE",IF(P29&gt;O29,"EN TROP","OK")))</f>
        <v/>
      </c>
      <c r="S29" s="10" t="n"/>
      <c r="T29" s="10" t="n"/>
      <c r="U29" s="10" t="n"/>
      <c r="V29" s="18">
        <f>IF(OR(T29="",U29=""),"",U29-T29)</f>
        <v/>
      </c>
      <c r="W29" s="18">
        <f>IF(OR(T29="",U29="",N(T29)=0),"",IF(U29&lt;T29,"MANQUE",IF(U29&gt;T29,"EN TROP","OK")))</f>
        <v/>
      </c>
      <c r="X29" s="19">
        <f>IF(A29="","",COUNTIF(H29:W29,"MANQUE"))</f>
        <v/>
      </c>
    </row>
    <row r="30">
      <c r="A30" s="15">
        <f>IF(Produits!$A$28="","",Produits!$A$28)</f>
        <v/>
      </c>
      <c r="B30" s="16">
        <f>IF(Produits!$A$28="","",Produits!$B$28)</f>
        <v/>
      </c>
      <c r="C30" s="17">
        <f>IF(Produits!$A$28="","",Produits!$C$28)</f>
        <v/>
      </c>
      <c r="D30" s="10" t="n"/>
      <c r="E30" s="10" t="n"/>
      <c r="F30" s="10" t="n"/>
      <c r="G30" s="18">
        <f>IF(OR(E30="",F30=""),"",F30-E30)</f>
        <v/>
      </c>
      <c r="H30" s="18">
        <f>IF(OR(E30="",F30="",N(E30)=0),"",IF(F30&lt;E30,"MANQUE",IF(F30&gt;E30,"EN TROP","OK")))</f>
        <v/>
      </c>
      <c r="I30" s="10" t="n"/>
      <c r="J30" s="10" t="n"/>
      <c r="K30" s="10" t="n"/>
      <c r="L30" s="18">
        <f>IF(OR(J30="",K30=""),"",K30-J30)</f>
        <v/>
      </c>
      <c r="M30" s="18">
        <f>IF(OR(J30="",K30="",N(J30)=0),"",IF(K30&lt;J30,"MANQUE",IF(K30&gt;J30,"EN TROP","OK")))</f>
        <v/>
      </c>
      <c r="N30" s="10" t="n"/>
      <c r="O30" s="10" t="n"/>
      <c r="P30" s="10" t="n"/>
      <c r="Q30" s="18">
        <f>IF(OR(O30="",P30=""),"",P30-O30)</f>
        <v/>
      </c>
      <c r="R30" s="18">
        <f>IF(OR(O30="",P30="",N(O30)=0),"",IF(P30&lt;O30,"MANQUE",IF(P30&gt;O30,"EN TROP","OK")))</f>
        <v/>
      </c>
      <c r="S30" s="10" t="n"/>
      <c r="T30" s="10" t="n"/>
      <c r="U30" s="10" t="n"/>
      <c r="V30" s="18">
        <f>IF(OR(T30="",U30=""),"",U30-T30)</f>
        <v/>
      </c>
      <c r="W30" s="18">
        <f>IF(OR(T30="",U30="",N(T30)=0),"",IF(U30&lt;T30,"MANQUE",IF(U30&gt;T30,"EN TROP","OK")))</f>
        <v/>
      </c>
      <c r="X30" s="19">
        <f>IF(A30="","",COUNTIF(H30:W30,"MANQUE"))</f>
        <v/>
      </c>
    </row>
    <row r="31">
      <c r="A31" s="15">
        <f>IF(Produits!$A$29="","",Produits!$A$29)</f>
        <v/>
      </c>
      <c r="B31" s="16">
        <f>IF(Produits!$A$29="","",Produits!$B$29)</f>
        <v/>
      </c>
      <c r="C31" s="17">
        <f>IF(Produits!$A$29="","",Produits!$C$29)</f>
        <v/>
      </c>
      <c r="D31" s="10" t="n"/>
      <c r="E31" s="10" t="n"/>
      <c r="F31" s="10" t="n"/>
      <c r="G31" s="18">
        <f>IF(OR(E31="",F31=""),"",F31-E31)</f>
        <v/>
      </c>
      <c r="H31" s="18">
        <f>IF(OR(E31="",F31="",N(E31)=0),"",IF(F31&lt;E31,"MANQUE",IF(F31&gt;E31,"EN TROP","OK")))</f>
        <v/>
      </c>
      <c r="I31" s="10" t="n"/>
      <c r="J31" s="10" t="n"/>
      <c r="K31" s="10" t="n"/>
      <c r="L31" s="18">
        <f>IF(OR(J31="",K31=""),"",K31-J31)</f>
        <v/>
      </c>
      <c r="M31" s="18">
        <f>IF(OR(J31="",K31="",N(J31)=0),"",IF(K31&lt;J31,"MANQUE",IF(K31&gt;J31,"EN TROP","OK")))</f>
        <v/>
      </c>
      <c r="N31" s="10" t="n"/>
      <c r="O31" s="10" t="n"/>
      <c r="P31" s="10" t="n"/>
      <c r="Q31" s="18">
        <f>IF(OR(O31="",P31=""),"",P31-O31)</f>
        <v/>
      </c>
      <c r="R31" s="18">
        <f>IF(OR(O31="",P31="",N(O31)=0),"",IF(P31&lt;O31,"MANQUE",IF(P31&gt;O31,"EN TROP","OK")))</f>
        <v/>
      </c>
      <c r="S31" s="10" t="n"/>
      <c r="T31" s="10" t="n"/>
      <c r="U31" s="10" t="n"/>
      <c r="V31" s="18">
        <f>IF(OR(T31="",U31=""),"",U31-T31)</f>
        <v/>
      </c>
      <c r="W31" s="18">
        <f>IF(OR(T31="",U31="",N(T31)=0),"",IF(U31&lt;T31,"MANQUE",IF(U31&gt;T31,"EN TROP","OK")))</f>
        <v/>
      </c>
      <c r="X31" s="19">
        <f>IF(A31="","",COUNTIF(H31:W31,"MANQUE"))</f>
        <v/>
      </c>
    </row>
    <row r="32">
      <c r="A32" s="15">
        <f>IF(Produits!$A$30="","",Produits!$A$30)</f>
        <v/>
      </c>
      <c r="B32" s="16">
        <f>IF(Produits!$A$30="","",Produits!$B$30)</f>
        <v/>
      </c>
      <c r="C32" s="17">
        <f>IF(Produits!$A$30="","",Produits!$C$30)</f>
        <v/>
      </c>
      <c r="D32" s="10" t="n"/>
      <c r="E32" s="10" t="n"/>
      <c r="F32" s="10" t="n"/>
      <c r="G32" s="18">
        <f>IF(OR(E32="",F32=""),"",F32-E32)</f>
        <v/>
      </c>
      <c r="H32" s="18">
        <f>IF(OR(E32="",F32="",N(E32)=0),"",IF(F32&lt;E32,"MANQUE",IF(F32&gt;E32,"EN TROP","OK")))</f>
        <v/>
      </c>
      <c r="I32" s="10" t="n"/>
      <c r="J32" s="10" t="n"/>
      <c r="K32" s="10" t="n"/>
      <c r="L32" s="18">
        <f>IF(OR(J32="",K32=""),"",K32-J32)</f>
        <v/>
      </c>
      <c r="M32" s="18">
        <f>IF(OR(J32="",K32="",N(J32)=0),"",IF(K32&lt;J32,"MANQUE",IF(K32&gt;J32,"EN TROP","OK")))</f>
        <v/>
      </c>
      <c r="N32" s="10" t="n"/>
      <c r="O32" s="10" t="n"/>
      <c r="P32" s="10" t="n"/>
      <c r="Q32" s="18">
        <f>IF(OR(O32="",P32=""),"",P32-O32)</f>
        <v/>
      </c>
      <c r="R32" s="18">
        <f>IF(OR(O32="",P32="",N(O32)=0),"",IF(P32&lt;O32,"MANQUE",IF(P32&gt;O32,"EN TROP","OK")))</f>
        <v/>
      </c>
      <c r="S32" s="10" t="n"/>
      <c r="T32" s="10" t="n"/>
      <c r="U32" s="10" t="n"/>
      <c r="V32" s="18">
        <f>IF(OR(T32="",U32=""),"",U32-T32)</f>
        <v/>
      </c>
      <c r="W32" s="18">
        <f>IF(OR(T32="",U32="",N(T32)=0),"",IF(U32&lt;T32,"MANQUE",IF(U32&gt;T32,"EN TROP","OK")))</f>
        <v/>
      </c>
      <c r="X32" s="19">
        <f>IF(A32="","",COUNTIF(H32:W32,"MANQUE"))</f>
        <v/>
      </c>
    </row>
    <row r="33">
      <c r="A33" s="15">
        <f>IF(Produits!$A$31="","",Produits!$A$31)</f>
        <v/>
      </c>
      <c r="B33" s="16">
        <f>IF(Produits!$A$31="","",Produits!$B$31)</f>
        <v/>
      </c>
      <c r="C33" s="17">
        <f>IF(Produits!$A$31="","",Produits!$C$31)</f>
        <v/>
      </c>
      <c r="D33" s="10" t="n"/>
      <c r="E33" s="10" t="n"/>
      <c r="F33" s="10" t="n"/>
      <c r="G33" s="18">
        <f>IF(OR(E33="",F33=""),"",F33-E33)</f>
        <v/>
      </c>
      <c r="H33" s="18">
        <f>IF(OR(E33="",F33="",N(E33)=0),"",IF(F33&lt;E33,"MANQUE",IF(F33&gt;E33,"EN TROP","OK")))</f>
        <v/>
      </c>
      <c r="I33" s="10" t="n"/>
      <c r="J33" s="10" t="n"/>
      <c r="K33" s="10" t="n"/>
      <c r="L33" s="18">
        <f>IF(OR(J33="",K33=""),"",K33-J33)</f>
        <v/>
      </c>
      <c r="M33" s="18">
        <f>IF(OR(J33="",K33="",N(J33)=0),"",IF(K33&lt;J33,"MANQUE",IF(K33&gt;J33,"EN TROP","OK")))</f>
        <v/>
      </c>
      <c r="N33" s="10" t="n"/>
      <c r="O33" s="10" t="n"/>
      <c r="P33" s="10" t="n"/>
      <c r="Q33" s="18">
        <f>IF(OR(O33="",P33=""),"",P33-O33)</f>
        <v/>
      </c>
      <c r="R33" s="18">
        <f>IF(OR(O33="",P33="",N(O33)=0),"",IF(P33&lt;O33,"MANQUE",IF(P33&gt;O33,"EN TROP","OK")))</f>
        <v/>
      </c>
      <c r="S33" s="10" t="n"/>
      <c r="T33" s="10" t="n"/>
      <c r="U33" s="10" t="n"/>
      <c r="V33" s="18">
        <f>IF(OR(T33="",U33=""),"",U33-T33)</f>
        <v/>
      </c>
      <c r="W33" s="18">
        <f>IF(OR(T33="",U33="",N(T33)=0),"",IF(U33&lt;T33,"MANQUE",IF(U33&gt;T33,"EN TROP","OK")))</f>
        <v/>
      </c>
      <c r="X33" s="19">
        <f>IF(A33="","",COUNTIF(H33:W33,"MANQUE"))</f>
        <v/>
      </c>
    </row>
    <row r="34">
      <c r="A34" s="15">
        <f>IF(Produits!$A$32="","",Produits!$A$32)</f>
        <v/>
      </c>
      <c r="B34" s="16">
        <f>IF(Produits!$A$32="","",Produits!$B$32)</f>
        <v/>
      </c>
      <c r="C34" s="17">
        <f>IF(Produits!$A$32="","",Produits!$C$32)</f>
        <v/>
      </c>
      <c r="D34" s="10" t="n"/>
      <c r="E34" s="10" t="n"/>
      <c r="F34" s="10" t="n"/>
      <c r="G34" s="18">
        <f>IF(OR(E34="",F34=""),"",F34-E34)</f>
        <v/>
      </c>
      <c r="H34" s="18">
        <f>IF(OR(E34="",F34="",N(E34)=0),"",IF(F34&lt;E34,"MANQUE",IF(F34&gt;E34,"EN TROP","OK")))</f>
        <v/>
      </c>
      <c r="I34" s="10" t="n"/>
      <c r="J34" s="10" t="n"/>
      <c r="K34" s="10" t="n"/>
      <c r="L34" s="18">
        <f>IF(OR(J34="",K34=""),"",K34-J34)</f>
        <v/>
      </c>
      <c r="M34" s="18">
        <f>IF(OR(J34="",K34="",N(J34)=0),"",IF(K34&lt;J34,"MANQUE",IF(K34&gt;J34,"EN TROP","OK")))</f>
        <v/>
      </c>
      <c r="N34" s="10" t="n"/>
      <c r="O34" s="10" t="n"/>
      <c r="P34" s="10" t="n"/>
      <c r="Q34" s="18">
        <f>IF(OR(O34="",P34=""),"",P34-O34)</f>
        <v/>
      </c>
      <c r="R34" s="18">
        <f>IF(OR(O34="",P34="",N(O34)=0),"",IF(P34&lt;O34,"MANQUE",IF(P34&gt;O34,"EN TROP","OK")))</f>
        <v/>
      </c>
      <c r="S34" s="10" t="n"/>
      <c r="T34" s="10" t="n"/>
      <c r="U34" s="10" t="n"/>
      <c r="V34" s="18">
        <f>IF(OR(T34="",U34=""),"",U34-T34)</f>
        <v/>
      </c>
      <c r="W34" s="18">
        <f>IF(OR(T34="",U34="",N(T34)=0),"",IF(U34&lt;T34,"MANQUE",IF(U34&gt;T34,"EN TROP","OK")))</f>
        <v/>
      </c>
      <c r="X34" s="19">
        <f>IF(A34="","",COUNTIF(H34:W34,"MANQUE"))</f>
        <v/>
      </c>
    </row>
    <row r="35">
      <c r="A35" s="15">
        <f>IF(Produits!$A$33="","",Produits!$A$33)</f>
        <v/>
      </c>
      <c r="B35" s="16">
        <f>IF(Produits!$A$33="","",Produits!$B$33)</f>
        <v/>
      </c>
      <c r="C35" s="17">
        <f>IF(Produits!$A$33="","",Produits!$C$33)</f>
        <v/>
      </c>
      <c r="D35" s="10" t="n"/>
      <c r="E35" s="10" t="n"/>
      <c r="F35" s="10" t="n"/>
      <c r="G35" s="18">
        <f>IF(OR(E35="",F35=""),"",F35-E35)</f>
        <v/>
      </c>
      <c r="H35" s="18">
        <f>IF(OR(E35="",F35="",N(E35)=0),"",IF(F35&lt;E35,"MANQUE",IF(F35&gt;E35,"EN TROP","OK")))</f>
        <v/>
      </c>
      <c r="I35" s="10" t="n"/>
      <c r="J35" s="10" t="n"/>
      <c r="K35" s="10" t="n"/>
      <c r="L35" s="18">
        <f>IF(OR(J35="",K35=""),"",K35-J35)</f>
        <v/>
      </c>
      <c r="M35" s="18">
        <f>IF(OR(J35="",K35="",N(J35)=0),"",IF(K35&lt;J35,"MANQUE",IF(K35&gt;J35,"EN TROP","OK")))</f>
        <v/>
      </c>
      <c r="N35" s="10" t="n"/>
      <c r="O35" s="10" t="n"/>
      <c r="P35" s="10" t="n"/>
      <c r="Q35" s="18">
        <f>IF(OR(O35="",P35=""),"",P35-O35)</f>
        <v/>
      </c>
      <c r="R35" s="18">
        <f>IF(OR(O35="",P35="",N(O35)=0),"",IF(P35&lt;O35,"MANQUE",IF(P35&gt;O35,"EN TROP","OK")))</f>
        <v/>
      </c>
      <c r="S35" s="10" t="n"/>
      <c r="T35" s="10" t="n"/>
      <c r="U35" s="10" t="n"/>
      <c r="V35" s="18">
        <f>IF(OR(T35="",U35=""),"",U35-T35)</f>
        <v/>
      </c>
      <c r="W35" s="18">
        <f>IF(OR(T35="",U35="",N(T35)=0),"",IF(U35&lt;T35,"MANQUE",IF(U35&gt;T35,"EN TROP","OK")))</f>
        <v/>
      </c>
      <c r="X35" s="19">
        <f>IF(A35="","",COUNTIF(H35:W35,"MANQUE"))</f>
        <v/>
      </c>
    </row>
    <row r="36">
      <c r="A36" s="15">
        <f>IF(Produits!$A$34="","",Produits!$A$34)</f>
        <v/>
      </c>
      <c r="B36" s="16">
        <f>IF(Produits!$A$34="","",Produits!$B$34)</f>
        <v/>
      </c>
      <c r="C36" s="17">
        <f>IF(Produits!$A$34="","",Produits!$C$34)</f>
        <v/>
      </c>
      <c r="D36" s="10" t="n"/>
      <c r="E36" s="10" t="n"/>
      <c r="F36" s="10" t="n"/>
      <c r="G36" s="18">
        <f>IF(OR(E36="",F36=""),"",F36-E36)</f>
        <v/>
      </c>
      <c r="H36" s="18">
        <f>IF(OR(E36="",F36="",N(E36)=0),"",IF(F36&lt;E36,"MANQUE",IF(F36&gt;E36,"EN TROP","OK")))</f>
        <v/>
      </c>
      <c r="I36" s="10" t="n"/>
      <c r="J36" s="10" t="n"/>
      <c r="K36" s="10" t="n"/>
      <c r="L36" s="18">
        <f>IF(OR(J36="",K36=""),"",K36-J36)</f>
        <v/>
      </c>
      <c r="M36" s="18">
        <f>IF(OR(J36="",K36="",N(J36)=0),"",IF(K36&lt;J36,"MANQUE",IF(K36&gt;J36,"EN TROP","OK")))</f>
        <v/>
      </c>
      <c r="N36" s="10" t="n"/>
      <c r="O36" s="10" t="n"/>
      <c r="P36" s="10" t="n"/>
      <c r="Q36" s="18">
        <f>IF(OR(O36="",P36=""),"",P36-O36)</f>
        <v/>
      </c>
      <c r="R36" s="18">
        <f>IF(OR(O36="",P36="",N(O36)=0),"",IF(P36&lt;O36,"MANQUE",IF(P36&gt;O36,"EN TROP","OK")))</f>
        <v/>
      </c>
      <c r="S36" s="10" t="n"/>
      <c r="T36" s="10" t="n"/>
      <c r="U36" s="10" t="n"/>
      <c r="V36" s="18">
        <f>IF(OR(T36="",U36=""),"",U36-T36)</f>
        <v/>
      </c>
      <c r="W36" s="18">
        <f>IF(OR(T36="",U36="",N(T36)=0),"",IF(U36&lt;T36,"MANQUE",IF(U36&gt;T36,"EN TROP","OK")))</f>
        <v/>
      </c>
      <c r="X36" s="19">
        <f>IF(A36="","",COUNTIF(H36:W36,"MANQUE"))</f>
        <v/>
      </c>
    </row>
    <row r="37">
      <c r="A37" s="15">
        <f>IF(Produits!$A$35="","",Produits!$A$35)</f>
        <v/>
      </c>
      <c r="B37" s="16">
        <f>IF(Produits!$A$35="","",Produits!$B$35)</f>
        <v/>
      </c>
      <c r="C37" s="17">
        <f>IF(Produits!$A$35="","",Produits!$C$35)</f>
        <v/>
      </c>
      <c r="D37" s="10" t="n"/>
      <c r="E37" s="10" t="n"/>
      <c r="F37" s="10" t="n"/>
      <c r="G37" s="18">
        <f>IF(OR(E37="",F37=""),"",F37-E37)</f>
        <v/>
      </c>
      <c r="H37" s="18">
        <f>IF(OR(E37="",F37="",N(E37)=0),"",IF(F37&lt;E37,"MANQUE",IF(F37&gt;E37,"EN TROP","OK")))</f>
        <v/>
      </c>
      <c r="I37" s="10" t="n"/>
      <c r="J37" s="10" t="n"/>
      <c r="K37" s="10" t="n"/>
      <c r="L37" s="18">
        <f>IF(OR(J37="",K37=""),"",K37-J37)</f>
        <v/>
      </c>
      <c r="M37" s="18">
        <f>IF(OR(J37="",K37="",N(J37)=0),"",IF(K37&lt;J37,"MANQUE",IF(K37&gt;J37,"EN TROP","OK")))</f>
        <v/>
      </c>
      <c r="N37" s="10" t="n"/>
      <c r="O37" s="10" t="n"/>
      <c r="P37" s="10" t="n"/>
      <c r="Q37" s="18">
        <f>IF(OR(O37="",P37=""),"",P37-O37)</f>
        <v/>
      </c>
      <c r="R37" s="18">
        <f>IF(OR(O37="",P37="",N(O37)=0),"",IF(P37&lt;O37,"MANQUE",IF(P37&gt;O37,"EN TROP","OK")))</f>
        <v/>
      </c>
      <c r="S37" s="10" t="n"/>
      <c r="T37" s="10" t="n"/>
      <c r="U37" s="10" t="n"/>
      <c r="V37" s="18">
        <f>IF(OR(T37="",U37=""),"",U37-T37)</f>
        <v/>
      </c>
      <c r="W37" s="18">
        <f>IF(OR(T37="",U37="",N(T37)=0),"",IF(U37&lt;T37,"MANQUE",IF(U37&gt;T37,"EN TROP","OK")))</f>
        <v/>
      </c>
      <c r="X37" s="19">
        <f>IF(A37="","",COUNTIF(H37:W37,"MANQUE"))</f>
        <v/>
      </c>
    </row>
    <row r="38">
      <c r="A38" s="15">
        <f>IF(Produits!$A$36="","",Produits!$A$36)</f>
        <v/>
      </c>
      <c r="B38" s="16">
        <f>IF(Produits!$A$36="","",Produits!$B$36)</f>
        <v/>
      </c>
      <c r="C38" s="17">
        <f>IF(Produits!$A$36="","",Produits!$C$36)</f>
        <v/>
      </c>
      <c r="D38" s="10" t="n"/>
      <c r="E38" s="10" t="n"/>
      <c r="F38" s="10" t="n"/>
      <c r="G38" s="18">
        <f>IF(OR(E38="",F38=""),"",F38-E38)</f>
        <v/>
      </c>
      <c r="H38" s="18">
        <f>IF(OR(E38="",F38="",N(E38)=0),"",IF(F38&lt;E38,"MANQUE",IF(F38&gt;E38,"EN TROP","OK")))</f>
        <v/>
      </c>
      <c r="I38" s="10" t="n"/>
      <c r="J38" s="10" t="n"/>
      <c r="K38" s="10" t="n"/>
      <c r="L38" s="18">
        <f>IF(OR(J38="",K38=""),"",K38-J38)</f>
        <v/>
      </c>
      <c r="M38" s="18">
        <f>IF(OR(J38="",K38="",N(J38)=0),"",IF(K38&lt;J38,"MANQUE",IF(K38&gt;J38,"EN TROP","OK")))</f>
        <v/>
      </c>
      <c r="N38" s="10" t="n"/>
      <c r="O38" s="10" t="n"/>
      <c r="P38" s="10" t="n"/>
      <c r="Q38" s="18">
        <f>IF(OR(O38="",P38=""),"",P38-O38)</f>
        <v/>
      </c>
      <c r="R38" s="18">
        <f>IF(OR(O38="",P38="",N(O38)=0),"",IF(P38&lt;O38,"MANQUE",IF(P38&gt;O38,"EN TROP","OK")))</f>
        <v/>
      </c>
      <c r="S38" s="10" t="n"/>
      <c r="T38" s="10" t="n"/>
      <c r="U38" s="10" t="n"/>
      <c r="V38" s="18">
        <f>IF(OR(T38="",U38=""),"",U38-T38)</f>
        <v/>
      </c>
      <c r="W38" s="18">
        <f>IF(OR(T38="",U38="",N(T38)=0),"",IF(U38&lt;T38,"MANQUE",IF(U38&gt;T38,"EN TROP","OK")))</f>
        <v/>
      </c>
      <c r="X38" s="19">
        <f>IF(A38="","",COUNTIF(H38:W38,"MANQUE"))</f>
        <v/>
      </c>
    </row>
    <row r="39">
      <c r="A39" s="15">
        <f>IF(Produits!$A$37="","",Produits!$A$37)</f>
        <v/>
      </c>
      <c r="B39" s="16">
        <f>IF(Produits!$A$37="","",Produits!$B$37)</f>
        <v/>
      </c>
      <c r="C39" s="17">
        <f>IF(Produits!$A$37="","",Produits!$C$37)</f>
        <v/>
      </c>
      <c r="D39" s="10" t="n"/>
      <c r="E39" s="10" t="n"/>
      <c r="F39" s="10" t="n"/>
      <c r="G39" s="18">
        <f>IF(OR(E39="",F39=""),"",F39-E39)</f>
        <v/>
      </c>
      <c r="H39" s="18">
        <f>IF(OR(E39="",F39="",N(E39)=0),"",IF(F39&lt;E39,"MANQUE",IF(F39&gt;E39,"EN TROP","OK")))</f>
        <v/>
      </c>
      <c r="I39" s="10" t="n"/>
      <c r="J39" s="10" t="n"/>
      <c r="K39" s="10" t="n"/>
      <c r="L39" s="18">
        <f>IF(OR(J39="",K39=""),"",K39-J39)</f>
        <v/>
      </c>
      <c r="M39" s="18">
        <f>IF(OR(J39="",K39="",N(J39)=0),"",IF(K39&lt;J39,"MANQUE",IF(K39&gt;J39,"EN TROP","OK")))</f>
        <v/>
      </c>
      <c r="N39" s="10" t="n"/>
      <c r="O39" s="10" t="n"/>
      <c r="P39" s="10" t="n"/>
      <c r="Q39" s="18">
        <f>IF(OR(O39="",P39=""),"",P39-O39)</f>
        <v/>
      </c>
      <c r="R39" s="18">
        <f>IF(OR(O39="",P39="",N(O39)=0),"",IF(P39&lt;O39,"MANQUE",IF(P39&gt;O39,"EN TROP","OK")))</f>
        <v/>
      </c>
      <c r="S39" s="10" t="n"/>
      <c r="T39" s="10" t="n"/>
      <c r="U39" s="10" t="n"/>
      <c r="V39" s="18">
        <f>IF(OR(T39="",U39=""),"",U39-T39)</f>
        <v/>
      </c>
      <c r="W39" s="18">
        <f>IF(OR(T39="",U39="",N(T39)=0),"",IF(U39&lt;T39,"MANQUE",IF(U39&gt;T39,"EN TROP","OK")))</f>
        <v/>
      </c>
      <c r="X39" s="19">
        <f>IF(A39="","",COUNTIF(H39:W39,"MANQUE"))</f>
        <v/>
      </c>
    </row>
    <row r="40">
      <c r="A40" s="15">
        <f>IF(Produits!$A$38="","",Produits!$A$38)</f>
        <v/>
      </c>
      <c r="B40" s="16">
        <f>IF(Produits!$A$38="","",Produits!$B$38)</f>
        <v/>
      </c>
      <c r="C40" s="17">
        <f>IF(Produits!$A$38="","",Produits!$C$38)</f>
        <v/>
      </c>
      <c r="D40" s="10" t="n"/>
      <c r="E40" s="10" t="n"/>
      <c r="F40" s="10" t="n"/>
      <c r="G40" s="18">
        <f>IF(OR(E40="",F40=""),"",F40-E40)</f>
        <v/>
      </c>
      <c r="H40" s="18">
        <f>IF(OR(E40="",F40="",N(E40)=0),"",IF(F40&lt;E40,"MANQUE",IF(F40&gt;E40,"EN TROP","OK")))</f>
        <v/>
      </c>
      <c r="I40" s="10" t="n"/>
      <c r="J40" s="10" t="n"/>
      <c r="K40" s="10" t="n"/>
      <c r="L40" s="18">
        <f>IF(OR(J40="",K40=""),"",K40-J40)</f>
        <v/>
      </c>
      <c r="M40" s="18">
        <f>IF(OR(J40="",K40="",N(J40)=0),"",IF(K40&lt;J40,"MANQUE",IF(K40&gt;J40,"EN TROP","OK")))</f>
        <v/>
      </c>
      <c r="N40" s="10" t="n"/>
      <c r="O40" s="10" t="n"/>
      <c r="P40" s="10" t="n"/>
      <c r="Q40" s="18">
        <f>IF(OR(O40="",P40=""),"",P40-O40)</f>
        <v/>
      </c>
      <c r="R40" s="18">
        <f>IF(OR(O40="",P40="",N(O40)=0),"",IF(P40&lt;O40,"MANQUE",IF(P40&gt;O40,"EN TROP","OK")))</f>
        <v/>
      </c>
      <c r="S40" s="10" t="n"/>
      <c r="T40" s="10" t="n"/>
      <c r="U40" s="10" t="n"/>
      <c r="V40" s="18">
        <f>IF(OR(T40="",U40=""),"",U40-T40)</f>
        <v/>
      </c>
      <c r="W40" s="18">
        <f>IF(OR(T40="",U40="",N(T40)=0),"",IF(U40&lt;T40,"MANQUE",IF(U40&gt;T40,"EN TROP","OK")))</f>
        <v/>
      </c>
      <c r="X40" s="19">
        <f>IF(A40="","",COUNTIF(H40:W40,"MANQUE"))</f>
        <v/>
      </c>
    </row>
    <row r="41">
      <c r="A41" s="15">
        <f>IF(Produits!$A$39="","",Produits!$A$39)</f>
        <v/>
      </c>
      <c r="B41" s="16">
        <f>IF(Produits!$A$39="","",Produits!$B$39)</f>
        <v/>
      </c>
      <c r="C41" s="17">
        <f>IF(Produits!$A$39="","",Produits!$C$39)</f>
        <v/>
      </c>
      <c r="D41" s="10" t="n"/>
      <c r="E41" s="10" t="n"/>
      <c r="F41" s="10" t="n"/>
      <c r="G41" s="18">
        <f>IF(OR(E41="",F41=""),"",F41-E41)</f>
        <v/>
      </c>
      <c r="H41" s="18">
        <f>IF(OR(E41="",F41="",N(E41)=0),"",IF(F41&lt;E41,"MANQUE",IF(F41&gt;E41,"EN TROP","OK")))</f>
        <v/>
      </c>
      <c r="I41" s="10" t="n"/>
      <c r="J41" s="10" t="n"/>
      <c r="K41" s="10" t="n"/>
      <c r="L41" s="18">
        <f>IF(OR(J41="",K41=""),"",K41-J41)</f>
        <v/>
      </c>
      <c r="M41" s="18">
        <f>IF(OR(J41="",K41="",N(J41)=0),"",IF(K41&lt;J41,"MANQUE",IF(K41&gt;J41,"EN TROP","OK")))</f>
        <v/>
      </c>
      <c r="N41" s="10" t="n"/>
      <c r="O41" s="10" t="n"/>
      <c r="P41" s="10" t="n"/>
      <c r="Q41" s="18">
        <f>IF(OR(O41="",P41=""),"",P41-O41)</f>
        <v/>
      </c>
      <c r="R41" s="18">
        <f>IF(OR(O41="",P41="",N(O41)=0),"",IF(P41&lt;O41,"MANQUE",IF(P41&gt;O41,"EN TROP","OK")))</f>
        <v/>
      </c>
      <c r="S41" s="10" t="n"/>
      <c r="T41" s="10" t="n"/>
      <c r="U41" s="10" t="n"/>
      <c r="V41" s="18">
        <f>IF(OR(T41="",U41=""),"",U41-T41)</f>
        <v/>
      </c>
      <c r="W41" s="18">
        <f>IF(OR(T41="",U41="",N(T41)=0),"",IF(U41&lt;T41,"MANQUE",IF(U41&gt;T41,"EN TROP","OK")))</f>
        <v/>
      </c>
      <c r="X41" s="19">
        <f>IF(A41="","",COUNTIF(H41:W41,"MANQUE"))</f>
        <v/>
      </c>
    </row>
    <row r="42">
      <c r="A42" s="15">
        <f>IF(Produits!$A$40="","",Produits!$A$40)</f>
        <v/>
      </c>
      <c r="B42" s="16">
        <f>IF(Produits!$A$40="","",Produits!$B$40)</f>
        <v/>
      </c>
      <c r="C42" s="17">
        <f>IF(Produits!$A$40="","",Produits!$C$40)</f>
        <v/>
      </c>
      <c r="D42" s="10" t="n"/>
      <c r="E42" s="10" t="n"/>
      <c r="F42" s="10" t="n"/>
      <c r="G42" s="18">
        <f>IF(OR(E42="",F42=""),"",F42-E42)</f>
        <v/>
      </c>
      <c r="H42" s="18">
        <f>IF(OR(E42="",F42="",N(E42)=0),"",IF(F42&lt;E42,"MANQUE",IF(F42&gt;E42,"EN TROP","OK")))</f>
        <v/>
      </c>
      <c r="I42" s="10" t="n"/>
      <c r="J42" s="10" t="n"/>
      <c r="K42" s="10" t="n"/>
      <c r="L42" s="18">
        <f>IF(OR(J42="",K42=""),"",K42-J42)</f>
        <v/>
      </c>
      <c r="M42" s="18">
        <f>IF(OR(J42="",K42="",N(J42)=0),"",IF(K42&lt;J42,"MANQUE",IF(K42&gt;J42,"EN TROP","OK")))</f>
        <v/>
      </c>
      <c r="N42" s="10" t="n"/>
      <c r="O42" s="10" t="n"/>
      <c r="P42" s="10" t="n"/>
      <c r="Q42" s="18">
        <f>IF(OR(O42="",P42=""),"",P42-O42)</f>
        <v/>
      </c>
      <c r="R42" s="18">
        <f>IF(OR(O42="",P42="",N(O42)=0),"",IF(P42&lt;O42,"MANQUE",IF(P42&gt;O42,"EN TROP","OK")))</f>
        <v/>
      </c>
      <c r="S42" s="10" t="n"/>
      <c r="T42" s="10" t="n"/>
      <c r="U42" s="10" t="n"/>
      <c r="V42" s="18">
        <f>IF(OR(T42="",U42=""),"",U42-T42)</f>
        <v/>
      </c>
      <c r="W42" s="18">
        <f>IF(OR(T42="",U42="",N(T42)=0),"",IF(U42&lt;T42,"MANQUE",IF(U42&gt;T42,"EN TROP","OK")))</f>
        <v/>
      </c>
      <c r="X42" s="19">
        <f>IF(A42="","",COUNTIF(H42:W42,"MANQUE"))</f>
        <v/>
      </c>
    </row>
    <row r="43">
      <c r="A43" s="15">
        <f>IF(Produits!$A$41="","",Produits!$A$41)</f>
        <v/>
      </c>
      <c r="B43" s="16">
        <f>IF(Produits!$A$41="","",Produits!$B$41)</f>
        <v/>
      </c>
      <c r="C43" s="17">
        <f>IF(Produits!$A$41="","",Produits!$C$41)</f>
        <v/>
      </c>
      <c r="D43" s="10" t="n"/>
      <c r="E43" s="10" t="n"/>
      <c r="F43" s="10" t="n"/>
      <c r="G43" s="18">
        <f>IF(OR(E43="",F43=""),"",F43-E43)</f>
        <v/>
      </c>
      <c r="H43" s="18">
        <f>IF(OR(E43="",F43="",N(E43)=0),"",IF(F43&lt;E43,"MANQUE",IF(F43&gt;E43,"EN TROP","OK")))</f>
        <v/>
      </c>
      <c r="I43" s="10" t="n"/>
      <c r="J43" s="10" t="n"/>
      <c r="K43" s="10" t="n"/>
      <c r="L43" s="18">
        <f>IF(OR(J43="",K43=""),"",K43-J43)</f>
        <v/>
      </c>
      <c r="M43" s="18">
        <f>IF(OR(J43="",K43="",N(J43)=0),"",IF(K43&lt;J43,"MANQUE",IF(K43&gt;J43,"EN TROP","OK")))</f>
        <v/>
      </c>
      <c r="N43" s="10" t="n"/>
      <c r="O43" s="10" t="n"/>
      <c r="P43" s="10" t="n"/>
      <c r="Q43" s="18">
        <f>IF(OR(O43="",P43=""),"",P43-O43)</f>
        <v/>
      </c>
      <c r="R43" s="18">
        <f>IF(OR(O43="",P43="",N(O43)=0),"",IF(P43&lt;O43,"MANQUE",IF(P43&gt;O43,"EN TROP","OK")))</f>
        <v/>
      </c>
      <c r="S43" s="10" t="n"/>
      <c r="T43" s="10" t="n"/>
      <c r="U43" s="10" t="n"/>
      <c r="V43" s="18">
        <f>IF(OR(T43="",U43=""),"",U43-T43)</f>
        <v/>
      </c>
      <c r="W43" s="18">
        <f>IF(OR(T43="",U43="",N(T43)=0),"",IF(U43&lt;T43,"MANQUE",IF(U43&gt;T43,"EN TROP","OK")))</f>
        <v/>
      </c>
      <c r="X43" s="19">
        <f>IF(A43="","",COUNTIF(H43:W43,"MANQUE"))</f>
        <v/>
      </c>
    </row>
    <row r="44">
      <c r="A44" s="15">
        <f>IF(Produits!$A$42="","",Produits!$A$42)</f>
        <v/>
      </c>
      <c r="B44" s="16">
        <f>IF(Produits!$A$42="","",Produits!$B$42)</f>
        <v/>
      </c>
      <c r="C44" s="17">
        <f>IF(Produits!$A$42="","",Produits!$C$42)</f>
        <v/>
      </c>
      <c r="D44" s="10" t="n"/>
      <c r="E44" s="10" t="n"/>
      <c r="F44" s="10" t="n"/>
      <c r="G44" s="18">
        <f>IF(OR(E44="",F44=""),"",F44-E44)</f>
        <v/>
      </c>
      <c r="H44" s="18">
        <f>IF(OR(E44="",F44="",N(E44)=0),"",IF(F44&lt;E44,"MANQUE",IF(F44&gt;E44,"EN TROP","OK")))</f>
        <v/>
      </c>
      <c r="I44" s="10" t="n"/>
      <c r="J44" s="10" t="n"/>
      <c r="K44" s="10" t="n"/>
      <c r="L44" s="18">
        <f>IF(OR(J44="",K44=""),"",K44-J44)</f>
        <v/>
      </c>
      <c r="M44" s="18">
        <f>IF(OR(J44="",K44="",N(J44)=0),"",IF(K44&lt;J44,"MANQUE",IF(K44&gt;J44,"EN TROP","OK")))</f>
        <v/>
      </c>
      <c r="N44" s="10" t="n"/>
      <c r="O44" s="10" t="n"/>
      <c r="P44" s="10" t="n"/>
      <c r="Q44" s="18">
        <f>IF(OR(O44="",P44=""),"",P44-O44)</f>
        <v/>
      </c>
      <c r="R44" s="18">
        <f>IF(OR(O44="",P44="",N(O44)=0),"",IF(P44&lt;O44,"MANQUE",IF(P44&gt;O44,"EN TROP","OK")))</f>
        <v/>
      </c>
      <c r="S44" s="10" t="n"/>
      <c r="T44" s="10" t="n"/>
      <c r="U44" s="10" t="n"/>
      <c r="V44" s="18">
        <f>IF(OR(T44="",U44=""),"",U44-T44)</f>
        <v/>
      </c>
      <c r="W44" s="18">
        <f>IF(OR(T44="",U44="",N(T44)=0),"",IF(U44&lt;T44,"MANQUE",IF(U44&gt;T44,"EN TROP","OK")))</f>
        <v/>
      </c>
      <c r="X44" s="19">
        <f>IF(A44="","",COUNTIF(H44:W44,"MANQUE"))</f>
        <v/>
      </c>
    </row>
    <row r="45">
      <c r="A45" s="15">
        <f>IF(Produits!$A$43="","",Produits!$A$43)</f>
        <v/>
      </c>
      <c r="B45" s="16">
        <f>IF(Produits!$A$43="","",Produits!$B$43)</f>
        <v/>
      </c>
      <c r="C45" s="17">
        <f>IF(Produits!$A$43="","",Produits!$C$43)</f>
        <v/>
      </c>
      <c r="D45" s="10" t="n"/>
      <c r="E45" s="10" t="n"/>
      <c r="F45" s="10" t="n"/>
      <c r="G45" s="18">
        <f>IF(OR(E45="",F45=""),"",F45-E45)</f>
        <v/>
      </c>
      <c r="H45" s="18">
        <f>IF(OR(E45="",F45="",N(E45)=0),"",IF(F45&lt;E45,"MANQUE",IF(F45&gt;E45,"EN TROP","OK")))</f>
        <v/>
      </c>
      <c r="I45" s="10" t="n"/>
      <c r="J45" s="10" t="n"/>
      <c r="K45" s="10" t="n"/>
      <c r="L45" s="18">
        <f>IF(OR(J45="",K45=""),"",K45-J45)</f>
        <v/>
      </c>
      <c r="M45" s="18">
        <f>IF(OR(J45="",K45="",N(J45)=0),"",IF(K45&lt;J45,"MANQUE",IF(K45&gt;J45,"EN TROP","OK")))</f>
        <v/>
      </c>
      <c r="N45" s="10" t="n"/>
      <c r="O45" s="10" t="n"/>
      <c r="P45" s="10" t="n"/>
      <c r="Q45" s="18">
        <f>IF(OR(O45="",P45=""),"",P45-O45)</f>
        <v/>
      </c>
      <c r="R45" s="18">
        <f>IF(OR(O45="",P45="",N(O45)=0),"",IF(P45&lt;O45,"MANQUE",IF(P45&gt;O45,"EN TROP","OK")))</f>
        <v/>
      </c>
      <c r="S45" s="10" t="n"/>
      <c r="T45" s="10" t="n"/>
      <c r="U45" s="10" t="n"/>
      <c r="V45" s="18">
        <f>IF(OR(T45="",U45=""),"",U45-T45)</f>
        <v/>
      </c>
      <c r="W45" s="18">
        <f>IF(OR(T45="",U45="",N(T45)=0),"",IF(U45&lt;T45,"MANQUE",IF(U45&gt;T45,"EN TROP","OK")))</f>
        <v/>
      </c>
      <c r="X45" s="19">
        <f>IF(A45="","",COUNTIF(H45:W45,"MANQUE"))</f>
        <v/>
      </c>
    </row>
    <row r="46">
      <c r="A46" s="15">
        <f>IF(Produits!$A$44="","",Produits!$A$44)</f>
        <v/>
      </c>
      <c r="B46" s="16">
        <f>IF(Produits!$A$44="","",Produits!$B$44)</f>
        <v/>
      </c>
      <c r="C46" s="17">
        <f>IF(Produits!$A$44="","",Produits!$C$44)</f>
        <v/>
      </c>
      <c r="D46" s="10" t="n"/>
      <c r="E46" s="10" t="n"/>
      <c r="F46" s="10" t="n"/>
      <c r="G46" s="18">
        <f>IF(OR(E46="",F46=""),"",F46-E46)</f>
        <v/>
      </c>
      <c r="H46" s="18">
        <f>IF(OR(E46="",F46="",N(E46)=0),"",IF(F46&lt;E46,"MANQUE",IF(F46&gt;E46,"EN TROP","OK")))</f>
        <v/>
      </c>
      <c r="I46" s="10" t="n"/>
      <c r="J46" s="10" t="n"/>
      <c r="K46" s="10" t="n"/>
      <c r="L46" s="18">
        <f>IF(OR(J46="",K46=""),"",K46-J46)</f>
        <v/>
      </c>
      <c r="M46" s="18">
        <f>IF(OR(J46="",K46="",N(J46)=0),"",IF(K46&lt;J46,"MANQUE",IF(K46&gt;J46,"EN TROP","OK")))</f>
        <v/>
      </c>
      <c r="N46" s="10" t="n"/>
      <c r="O46" s="10" t="n"/>
      <c r="P46" s="10" t="n"/>
      <c r="Q46" s="18">
        <f>IF(OR(O46="",P46=""),"",P46-O46)</f>
        <v/>
      </c>
      <c r="R46" s="18">
        <f>IF(OR(O46="",P46="",N(O46)=0),"",IF(P46&lt;O46,"MANQUE",IF(P46&gt;O46,"EN TROP","OK")))</f>
        <v/>
      </c>
      <c r="S46" s="10" t="n"/>
      <c r="T46" s="10" t="n"/>
      <c r="U46" s="10" t="n"/>
      <c r="V46" s="18">
        <f>IF(OR(T46="",U46=""),"",U46-T46)</f>
        <v/>
      </c>
      <c r="W46" s="18">
        <f>IF(OR(T46="",U46="",N(T46)=0),"",IF(U46&lt;T46,"MANQUE",IF(U46&gt;T46,"EN TROP","OK")))</f>
        <v/>
      </c>
      <c r="X46" s="19">
        <f>IF(A46="","",COUNTIF(H46:W46,"MANQUE"))</f>
        <v/>
      </c>
    </row>
  </sheetData>
  <mergeCells count="12">
    <mergeCell ref="I4:M4"/>
    <mergeCell ref="N4:R4"/>
    <mergeCell ref="A4:A6"/>
    <mergeCell ref="B4:B6"/>
    <mergeCell ref="X4:X5"/>
    <mergeCell ref="S5:W5"/>
    <mergeCell ref="D5:H5"/>
    <mergeCell ref="I5:M5"/>
    <mergeCell ref="D4:H4"/>
    <mergeCell ref="S4:W4"/>
    <mergeCell ref="N5:R5"/>
    <mergeCell ref="C4:C6"/>
  </mergeCells>
  <conditionalFormatting sqref="H7:H46">
    <cfRule type="expression" priority="1" dxfId="0">
      <formula>H7="MANQUE"</formula>
    </cfRule>
    <cfRule type="expression" priority="2" dxfId="1">
      <formula>H7="EN TROP"</formula>
    </cfRule>
    <cfRule type="expression" priority="3" dxfId="2">
      <formula>H7="OK"</formula>
    </cfRule>
  </conditionalFormatting>
  <conditionalFormatting sqref="M7:M46">
    <cfRule type="expression" priority="4" dxfId="0">
      <formula>M7="MANQUE"</formula>
    </cfRule>
    <cfRule type="expression" priority="5" dxfId="1">
      <formula>M7="EN TROP"</formula>
    </cfRule>
    <cfRule type="expression" priority="6" dxfId="2">
      <formula>M7="OK"</formula>
    </cfRule>
  </conditionalFormatting>
  <conditionalFormatting sqref="R7:R46">
    <cfRule type="expression" priority="7" dxfId="0">
      <formula>R7="MANQUE"</formula>
    </cfRule>
    <cfRule type="expression" priority="8" dxfId="1">
      <formula>R7="EN TROP"</formula>
    </cfRule>
    <cfRule type="expression" priority="9" dxfId="2">
      <formula>R7="OK"</formula>
    </cfRule>
  </conditionalFormatting>
  <conditionalFormatting sqref="W7:W46">
    <cfRule type="expression" priority="10" dxfId="0">
      <formula>W7="MANQUE"</formula>
    </cfRule>
    <cfRule type="expression" priority="11" dxfId="1">
      <formula>W7="EN TROP"</formula>
    </cfRule>
    <cfRule type="expression" priority="12" dxfId="2">
      <formula>W7="OK"</formula>
    </cfRule>
  </conditionalFormatting>
  <conditionalFormatting sqref="X7:X46">
    <cfRule type="expression" priority="13" dxfId="0">
      <formula>AND(ISNUMBER(X7),X7&gt;0)</formula>
    </cfRule>
  </conditionalFormatting>
  <dataValidations count="12">
    <dataValidation sqref="D7:D46" showDropDown="0" showInputMessage="0" showErrorMessage="1" allowBlank="1" errorTitle="Valeur invalide" error="Entre un nombre positif (ou laisse vide)." type="decimal" operator="greaterThanOrEqual">
      <formula1>0</formula1>
    </dataValidation>
    <dataValidation sqref="E7:E46" showDropDown="0" showInputMessage="0" showErrorMessage="1" allowBlank="1" errorTitle="Valeur invalide" error="Entre un nombre positif (ou laisse vide)." type="decimal" operator="greaterThanOrEqual">
      <formula1>0</formula1>
    </dataValidation>
    <dataValidation sqref="F7:F46" showDropDown="0" showInputMessage="0" showErrorMessage="1" allowBlank="1" errorTitle="Valeur invalide" error="Entre un nombre positif (ou laisse vide)." type="decimal" operator="greaterThanOrEqual">
      <formula1>0</formula1>
    </dataValidation>
    <dataValidation sqref="I7:I46" showDropDown="0" showInputMessage="0" showErrorMessage="1" allowBlank="1" errorTitle="Valeur invalide" error="Entre un nombre positif (ou laisse vide)." type="decimal" operator="greaterThanOrEqual">
      <formula1>0</formula1>
    </dataValidation>
    <dataValidation sqref="J7:J46" showDropDown="0" showInputMessage="0" showErrorMessage="1" allowBlank="1" errorTitle="Valeur invalide" error="Entre un nombre positif (ou laisse vide)." type="decimal" operator="greaterThanOrEqual">
      <formula1>0</formula1>
    </dataValidation>
    <dataValidation sqref="K7:K46" showDropDown="0" showInputMessage="0" showErrorMessage="1" allowBlank="1" errorTitle="Valeur invalide" error="Entre un nombre positif (ou laisse vide)." type="decimal" operator="greaterThanOrEqual">
      <formula1>0</formula1>
    </dataValidation>
    <dataValidation sqref="N7:N46" showDropDown="0" showInputMessage="0" showErrorMessage="1" allowBlank="1" errorTitle="Valeur invalide" error="Entre un nombre positif (ou laisse vide)." type="decimal" operator="greaterThanOrEqual">
      <formula1>0</formula1>
    </dataValidation>
    <dataValidation sqref="O7:O46" showDropDown="0" showInputMessage="0" showErrorMessage="1" allowBlank="1" errorTitle="Valeur invalide" error="Entre un nombre positif (ou laisse vide)." type="decimal" operator="greaterThanOrEqual">
      <formula1>0</formula1>
    </dataValidation>
    <dataValidation sqref="P7:P46" showDropDown="0" showInputMessage="0" showErrorMessage="1" allowBlank="1" errorTitle="Valeur invalide" error="Entre un nombre positif (ou laisse vide)." type="decimal" operator="greaterThanOrEqual">
      <formula1>0</formula1>
    </dataValidation>
    <dataValidation sqref="S7:S46" showDropDown="0" showInputMessage="0" showErrorMessage="1" allowBlank="1" errorTitle="Valeur invalide" error="Entre un nombre positif (ou laisse vide)." type="decimal" operator="greaterThanOrEqual">
      <formula1>0</formula1>
    </dataValidation>
    <dataValidation sqref="T7:T46" showDropDown="0" showInputMessage="0" showErrorMessage="1" allowBlank="1" errorTitle="Valeur invalide" error="Entre un nombre positif (ou laisse vide)." type="decimal" operator="greaterThanOrEqual">
      <formula1>0</formula1>
    </dataValidation>
    <dataValidation sqref="U7:U46"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64"/>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15" customWidth="1" min="3" max="3"/>
    <col width="11" customWidth="1" min="4" max="4"/>
    <col width="10" customWidth="1" min="5" max="5"/>
    <col width="10" customWidth="1" min="6" max="6"/>
    <col width="30" customWidth="1" min="7" max="7"/>
    <col width="10" customWidth="1" min="8" max="8"/>
  </cols>
  <sheetData>
    <row r="1" ht="26" customHeight="1">
      <c r="A1" s="1" t="inlineStr">
        <is>
          <t>Réclamations fournisseurs</t>
        </is>
      </c>
    </row>
    <row r="2">
      <c r="A2" s="2" t="inlineStr">
        <is>
          <t>Une ligne par livraison incomplète</t>
        </is>
      </c>
    </row>
    <row r="4">
      <c r="A4" s="6" t="inlineStr">
        <is>
          <t>Date</t>
        </is>
      </c>
      <c r="B4" s="6" t="inlineStr">
        <is>
          <t>Produit</t>
        </is>
      </c>
      <c r="C4" s="6" t="inlineStr">
        <is>
          <t>Fournisseur</t>
        </is>
      </c>
      <c r="D4" s="6" t="inlineStr">
        <is>
          <t>Commandé</t>
        </is>
      </c>
      <c r="E4" s="6" t="inlineStr">
        <is>
          <t>Reçu</t>
        </is>
      </c>
      <c r="F4" s="6" t="inlineStr">
        <is>
          <t>Manque</t>
        </is>
      </c>
      <c r="G4" s="6" t="inlineStr">
        <is>
          <t>Ce que j'ai fait</t>
        </is>
      </c>
      <c r="H4" s="6" t="inlineStr">
        <is>
          <t>Réglé ?</t>
        </is>
      </c>
    </row>
    <row r="5">
      <c r="A5" s="20">
        <f>DATE(2026,10,5)</f>
        <v/>
      </c>
      <c r="B5" s="7" t="inlineStr">
        <is>
          <t>Farine T55</t>
        </is>
      </c>
      <c r="C5" s="18">
        <f>IF(B5="","",IFERROR(INDEX(Produits!$B$5:$B$44,MATCH(B5,Produits!$A$5:$A$44,0)),""))</f>
        <v/>
      </c>
      <c r="D5" s="8" t="n">
        <v>10</v>
      </c>
      <c r="E5" s="8" t="n">
        <v>7</v>
      </c>
      <c r="F5" s="18">
        <f>IF(OR(D5="",E5=""),"",D5-E5)</f>
        <v/>
      </c>
      <c r="G5" s="7" t="inlineStr">
        <is>
          <t>Appelé Metro, avoir promis</t>
        </is>
      </c>
      <c r="H5" s="8" t="inlineStr">
        <is>
          <t>Non</t>
        </is>
      </c>
    </row>
    <row r="6">
      <c r="A6" s="12" t="n"/>
      <c r="B6" s="9" t="n"/>
      <c r="C6" s="18">
        <f>IF(B6="","",IFERROR(INDEX(Produits!$B$5:$B$44,MATCH(B6,Produits!$A$5:$A$44,0)),""))</f>
        <v/>
      </c>
      <c r="D6" s="10" t="n"/>
      <c r="E6" s="10" t="n"/>
      <c r="F6" s="18">
        <f>IF(OR(D6="",E6=""),"",D6-E6)</f>
        <v/>
      </c>
      <c r="G6" s="9" t="n"/>
      <c r="H6" s="10" t="n"/>
    </row>
    <row r="7">
      <c r="A7" s="12" t="n"/>
      <c r="B7" s="9" t="n"/>
      <c r="C7" s="18">
        <f>IF(B7="","",IFERROR(INDEX(Produits!$B$5:$B$44,MATCH(B7,Produits!$A$5:$A$44,0)),""))</f>
        <v/>
      </c>
      <c r="D7" s="10" t="n"/>
      <c r="E7" s="10" t="n"/>
      <c r="F7" s="18">
        <f>IF(OR(D7="",E7=""),"",D7-E7)</f>
        <v/>
      </c>
      <c r="G7" s="9" t="n"/>
      <c r="H7" s="10" t="n"/>
    </row>
    <row r="8">
      <c r="A8" s="12" t="n"/>
      <c r="B8" s="9" t="n"/>
      <c r="C8" s="18">
        <f>IF(B8="","",IFERROR(INDEX(Produits!$B$5:$B$44,MATCH(B8,Produits!$A$5:$A$44,0)),""))</f>
        <v/>
      </c>
      <c r="D8" s="10" t="n"/>
      <c r="E8" s="10" t="n"/>
      <c r="F8" s="18">
        <f>IF(OR(D8="",E8=""),"",D8-E8)</f>
        <v/>
      </c>
      <c r="G8" s="9" t="n"/>
      <c r="H8" s="10" t="n"/>
    </row>
    <row r="9">
      <c r="A9" s="12" t="n"/>
      <c r="B9" s="9" t="n"/>
      <c r="C9" s="18">
        <f>IF(B9="","",IFERROR(INDEX(Produits!$B$5:$B$44,MATCH(B9,Produits!$A$5:$A$44,0)),""))</f>
        <v/>
      </c>
      <c r="D9" s="10" t="n"/>
      <c r="E9" s="10" t="n"/>
      <c r="F9" s="18">
        <f>IF(OR(D9="",E9=""),"",D9-E9)</f>
        <v/>
      </c>
      <c r="G9" s="9" t="n"/>
      <c r="H9" s="10" t="n"/>
    </row>
    <row r="10">
      <c r="A10" s="12" t="n"/>
      <c r="B10" s="9" t="n"/>
      <c r="C10" s="18">
        <f>IF(B10="","",IFERROR(INDEX(Produits!$B$5:$B$44,MATCH(B10,Produits!$A$5:$A$44,0)),""))</f>
        <v/>
      </c>
      <c r="D10" s="10" t="n"/>
      <c r="E10" s="10" t="n"/>
      <c r="F10" s="18">
        <f>IF(OR(D10="",E10=""),"",D10-E10)</f>
        <v/>
      </c>
      <c r="G10" s="9" t="n"/>
      <c r="H10" s="10" t="n"/>
    </row>
    <row r="11">
      <c r="A11" s="12" t="n"/>
      <c r="B11" s="9" t="n"/>
      <c r="C11" s="18">
        <f>IF(B11="","",IFERROR(INDEX(Produits!$B$5:$B$44,MATCH(B11,Produits!$A$5:$A$44,0)),""))</f>
        <v/>
      </c>
      <c r="D11" s="10" t="n"/>
      <c r="E11" s="10" t="n"/>
      <c r="F11" s="18">
        <f>IF(OR(D11="",E11=""),"",D11-E11)</f>
        <v/>
      </c>
      <c r="G11" s="9" t="n"/>
      <c r="H11" s="10" t="n"/>
    </row>
    <row r="12">
      <c r="A12" s="12" t="n"/>
      <c r="B12" s="9" t="n"/>
      <c r="C12" s="18">
        <f>IF(B12="","",IFERROR(INDEX(Produits!$B$5:$B$44,MATCH(B12,Produits!$A$5:$A$44,0)),""))</f>
        <v/>
      </c>
      <c r="D12" s="10" t="n"/>
      <c r="E12" s="10" t="n"/>
      <c r="F12" s="18">
        <f>IF(OR(D12="",E12=""),"",D12-E12)</f>
        <v/>
      </c>
      <c r="G12" s="9" t="n"/>
      <c r="H12" s="10" t="n"/>
    </row>
    <row r="13">
      <c r="A13" s="12" t="n"/>
      <c r="B13" s="9" t="n"/>
      <c r="C13" s="18">
        <f>IF(B13="","",IFERROR(INDEX(Produits!$B$5:$B$44,MATCH(B13,Produits!$A$5:$A$44,0)),""))</f>
        <v/>
      </c>
      <c r="D13" s="10" t="n"/>
      <c r="E13" s="10" t="n"/>
      <c r="F13" s="18">
        <f>IF(OR(D13="",E13=""),"",D13-E13)</f>
        <v/>
      </c>
      <c r="G13" s="9" t="n"/>
      <c r="H13" s="10" t="n"/>
    </row>
    <row r="14">
      <c r="A14" s="12" t="n"/>
      <c r="B14" s="9" t="n"/>
      <c r="C14" s="18">
        <f>IF(B14="","",IFERROR(INDEX(Produits!$B$5:$B$44,MATCH(B14,Produits!$A$5:$A$44,0)),""))</f>
        <v/>
      </c>
      <c r="D14" s="10" t="n"/>
      <c r="E14" s="10" t="n"/>
      <c r="F14" s="18">
        <f>IF(OR(D14="",E14=""),"",D14-E14)</f>
        <v/>
      </c>
      <c r="G14" s="9" t="n"/>
      <c r="H14" s="10" t="n"/>
    </row>
    <row r="15">
      <c r="A15" s="12" t="n"/>
      <c r="B15" s="9" t="n"/>
      <c r="C15" s="18">
        <f>IF(B15="","",IFERROR(INDEX(Produits!$B$5:$B$44,MATCH(B15,Produits!$A$5:$A$44,0)),""))</f>
        <v/>
      </c>
      <c r="D15" s="10" t="n"/>
      <c r="E15" s="10" t="n"/>
      <c r="F15" s="18">
        <f>IF(OR(D15="",E15=""),"",D15-E15)</f>
        <v/>
      </c>
      <c r="G15" s="9" t="n"/>
      <c r="H15" s="10" t="n"/>
    </row>
    <row r="16">
      <c r="A16" s="12" t="n"/>
      <c r="B16" s="9" t="n"/>
      <c r="C16" s="18">
        <f>IF(B16="","",IFERROR(INDEX(Produits!$B$5:$B$44,MATCH(B16,Produits!$A$5:$A$44,0)),""))</f>
        <v/>
      </c>
      <c r="D16" s="10" t="n"/>
      <c r="E16" s="10" t="n"/>
      <c r="F16" s="18">
        <f>IF(OR(D16="",E16=""),"",D16-E16)</f>
        <v/>
      </c>
      <c r="G16" s="9" t="n"/>
      <c r="H16" s="10" t="n"/>
    </row>
    <row r="17">
      <c r="A17" s="12" t="n"/>
      <c r="B17" s="9" t="n"/>
      <c r="C17" s="18">
        <f>IF(B17="","",IFERROR(INDEX(Produits!$B$5:$B$44,MATCH(B17,Produits!$A$5:$A$44,0)),""))</f>
        <v/>
      </c>
      <c r="D17" s="10" t="n"/>
      <c r="E17" s="10" t="n"/>
      <c r="F17" s="18">
        <f>IF(OR(D17="",E17=""),"",D17-E17)</f>
        <v/>
      </c>
      <c r="G17" s="9" t="n"/>
      <c r="H17" s="10" t="n"/>
    </row>
    <row r="18">
      <c r="A18" s="12" t="n"/>
      <c r="B18" s="9" t="n"/>
      <c r="C18" s="18">
        <f>IF(B18="","",IFERROR(INDEX(Produits!$B$5:$B$44,MATCH(B18,Produits!$A$5:$A$44,0)),""))</f>
        <v/>
      </c>
      <c r="D18" s="10" t="n"/>
      <c r="E18" s="10" t="n"/>
      <c r="F18" s="18">
        <f>IF(OR(D18="",E18=""),"",D18-E18)</f>
        <v/>
      </c>
      <c r="G18" s="9" t="n"/>
      <c r="H18" s="10" t="n"/>
    </row>
    <row r="19">
      <c r="A19" s="12" t="n"/>
      <c r="B19" s="9" t="n"/>
      <c r="C19" s="18">
        <f>IF(B19="","",IFERROR(INDEX(Produits!$B$5:$B$44,MATCH(B19,Produits!$A$5:$A$44,0)),""))</f>
        <v/>
      </c>
      <c r="D19" s="10" t="n"/>
      <c r="E19" s="10" t="n"/>
      <c r="F19" s="18">
        <f>IF(OR(D19="",E19=""),"",D19-E19)</f>
        <v/>
      </c>
      <c r="G19" s="9" t="n"/>
      <c r="H19" s="10" t="n"/>
    </row>
    <row r="20">
      <c r="A20" s="12" t="n"/>
      <c r="B20" s="9" t="n"/>
      <c r="C20" s="18">
        <f>IF(B20="","",IFERROR(INDEX(Produits!$B$5:$B$44,MATCH(B20,Produits!$A$5:$A$44,0)),""))</f>
        <v/>
      </c>
      <c r="D20" s="10" t="n"/>
      <c r="E20" s="10" t="n"/>
      <c r="F20" s="18">
        <f>IF(OR(D20="",E20=""),"",D20-E20)</f>
        <v/>
      </c>
      <c r="G20" s="9" t="n"/>
      <c r="H20" s="10" t="n"/>
    </row>
    <row r="21">
      <c r="A21" s="12" t="n"/>
      <c r="B21" s="9" t="n"/>
      <c r="C21" s="18">
        <f>IF(B21="","",IFERROR(INDEX(Produits!$B$5:$B$44,MATCH(B21,Produits!$A$5:$A$44,0)),""))</f>
        <v/>
      </c>
      <c r="D21" s="10" t="n"/>
      <c r="E21" s="10" t="n"/>
      <c r="F21" s="18">
        <f>IF(OR(D21="",E21=""),"",D21-E21)</f>
        <v/>
      </c>
      <c r="G21" s="9" t="n"/>
      <c r="H21" s="10" t="n"/>
    </row>
    <row r="22">
      <c r="A22" s="12" t="n"/>
      <c r="B22" s="9" t="n"/>
      <c r="C22" s="18">
        <f>IF(B22="","",IFERROR(INDEX(Produits!$B$5:$B$44,MATCH(B22,Produits!$A$5:$A$44,0)),""))</f>
        <v/>
      </c>
      <c r="D22" s="10" t="n"/>
      <c r="E22" s="10" t="n"/>
      <c r="F22" s="18">
        <f>IF(OR(D22="",E22=""),"",D22-E22)</f>
        <v/>
      </c>
      <c r="G22" s="9" t="n"/>
      <c r="H22" s="10" t="n"/>
    </row>
    <row r="23">
      <c r="A23" s="12" t="n"/>
      <c r="B23" s="9" t="n"/>
      <c r="C23" s="18">
        <f>IF(B23="","",IFERROR(INDEX(Produits!$B$5:$B$44,MATCH(B23,Produits!$A$5:$A$44,0)),""))</f>
        <v/>
      </c>
      <c r="D23" s="10" t="n"/>
      <c r="E23" s="10" t="n"/>
      <c r="F23" s="18">
        <f>IF(OR(D23="",E23=""),"",D23-E23)</f>
        <v/>
      </c>
      <c r="G23" s="9" t="n"/>
      <c r="H23" s="10" t="n"/>
    </row>
    <row r="24">
      <c r="A24" s="12" t="n"/>
      <c r="B24" s="9" t="n"/>
      <c r="C24" s="18">
        <f>IF(B24="","",IFERROR(INDEX(Produits!$B$5:$B$44,MATCH(B24,Produits!$A$5:$A$44,0)),""))</f>
        <v/>
      </c>
      <c r="D24" s="10" t="n"/>
      <c r="E24" s="10" t="n"/>
      <c r="F24" s="18">
        <f>IF(OR(D24="",E24=""),"",D24-E24)</f>
        <v/>
      </c>
      <c r="G24" s="9" t="n"/>
      <c r="H24" s="10" t="n"/>
    </row>
    <row r="25">
      <c r="A25" s="12" t="n"/>
      <c r="B25" s="9" t="n"/>
      <c r="C25" s="18">
        <f>IF(B25="","",IFERROR(INDEX(Produits!$B$5:$B$44,MATCH(B25,Produits!$A$5:$A$44,0)),""))</f>
        <v/>
      </c>
      <c r="D25" s="10" t="n"/>
      <c r="E25" s="10" t="n"/>
      <c r="F25" s="18">
        <f>IF(OR(D25="",E25=""),"",D25-E25)</f>
        <v/>
      </c>
      <c r="G25" s="9" t="n"/>
      <c r="H25" s="10" t="n"/>
    </row>
    <row r="26">
      <c r="A26" s="12" t="n"/>
      <c r="B26" s="9" t="n"/>
      <c r="C26" s="18">
        <f>IF(B26="","",IFERROR(INDEX(Produits!$B$5:$B$44,MATCH(B26,Produits!$A$5:$A$44,0)),""))</f>
        <v/>
      </c>
      <c r="D26" s="10" t="n"/>
      <c r="E26" s="10" t="n"/>
      <c r="F26" s="18">
        <f>IF(OR(D26="",E26=""),"",D26-E26)</f>
        <v/>
      </c>
      <c r="G26" s="9" t="n"/>
      <c r="H26" s="10" t="n"/>
    </row>
    <row r="27">
      <c r="A27" s="12" t="n"/>
      <c r="B27" s="9" t="n"/>
      <c r="C27" s="18">
        <f>IF(B27="","",IFERROR(INDEX(Produits!$B$5:$B$44,MATCH(B27,Produits!$A$5:$A$44,0)),""))</f>
        <v/>
      </c>
      <c r="D27" s="10" t="n"/>
      <c r="E27" s="10" t="n"/>
      <c r="F27" s="18">
        <f>IF(OR(D27="",E27=""),"",D27-E27)</f>
        <v/>
      </c>
      <c r="G27" s="9" t="n"/>
      <c r="H27" s="10" t="n"/>
    </row>
    <row r="28">
      <c r="A28" s="12" t="n"/>
      <c r="B28" s="9" t="n"/>
      <c r="C28" s="18">
        <f>IF(B28="","",IFERROR(INDEX(Produits!$B$5:$B$44,MATCH(B28,Produits!$A$5:$A$44,0)),""))</f>
        <v/>
      </c>
      <c r="D28" s="10" t="n"/>
      <c r="E28" s="10" t="n"/>
      <c r="F28" s="18">
        <f>IF(OR(D28="",E28=""),"",D28-E28)</f>
        <v/>
      </c>
      <c r="G28" s="9" t="n"/>
      <c r="H28" s="10" t="n"/>
    </row>
    <row r="29">
      <c r="A29" s="12" t="n"/>
      <c r="B29" s="9" t="n"/>
      <c r="C29" s="18">
        <f>IF(B29="","",IFERROR(INDEX(Produits!$B$5:$B$44,MATCH(B29,Produits!$A$5:$A$44,0)),""))</f>
        <v/>
      </c>
      <c r="D29" s="10" t="n"/>
      <c r="E29" s="10" t="n"/>
      <c r="F29" s="18">
        <f>IF(OR(D29="",E29=""),"",D29-E29)</f>
        <v/>
      </c>
      <c r="G29" s="9" t="n"/>
      <c r="H29" s="10" t="n"/>
    </row>
    <row r="30">
      <c r="A30" s="12" t="n"/>
      <c r="B30" s="9" t="n"/>
      <c r="C30" s="18">
        <f>IF(B30="","",IFERROR(INDEX(Produits!$B$5:$B$44,MATCH(B30,Produits!$A$5:$A$44,0)),""))</f>
        <v/>
      </c>
      <c r="D30" s="10" t="n"/>
      <c r="E30" s="10" t="n"/>
      <c r="F30" s="18">
        <f>IF(OR(D30="",E30=""),"",D30-E30)</f>
        <v/>
      </c>
      <c r="G30" s="9" t="n"/>
      <c r="H30" s="10" t="n"/>
    </row>
    <row r="31">
      <c r="A31" s="12" t="n"/>
      <c r="B31" s="9" t="n"/>
      <c r="C31" s="18">
        <f>IF(B31="","",IFERROR(INDEX(Produits!$B$5:$B$44,MATCH(B31,Produits!$A$5:$A$44,0)),""))</f>
        <v/>
      </c>
      <c r="D31" s="10" t="n"/>
      <c r="E31" s="10" t="n"/>
      <c r="F31" s="18">
        <f>IF(OR(D31="",E31=""),"",D31-E31)</f>
        <v/>
      </c>
      <c r="G31" s="9" t="n"/>
      <c r="H31" s="10" t="n"/>
    </row>
    <row r="32">
      <c r="A32" s="12" t="n"/>
      <c r="B32" s="9" t="n"/>
      <c r="C32" s="18">
        <f>IF(B32="","",IFERROR(INDEX(Produits!$B$5:$B$44,MATCH(B32,Produits!$A$5:$A$44,0)),""))</f>
        <v/>
      </c>
      <c r="D32" s="10" t="n"/>
      <c r="E32" s="10" t="n"/>
      <c r="F32" s="18">
        <f>IF(OR(D32="",E32=""),"",D32-E32)</f>
        <v/>
      </c>
      <c r="G32" s="9" t="n"/>
      <c r="H32" s="10" t="n"/>
    </row>
    <row r="33">
      <c r="A33" s="12" t="n"/>
      <c r="B33" s="9" t="n"/>
      <c r="C33" s="18">
        <f>IF(B33="","",IFERROR(INDEX(Produits!$B$5:$B$44,MATCH(B33,Produits!$A$5:$A$44,0)),""))</f>
        <v/>
      </c>
      <c r="D33" s="10" t="n"/>
      <c r="E33" s="10" t="n"/>
      <c r="F33" s="18">
        <f>IF(OR(D33="",E33=""),"",D33-E33)</f>
        <v/>
      </c>
      <c r="G33" s="9" t="n"/>
      <c r="H33" s="10" t="n"/>
    </row>
    <row r="34">
      <c r="A34" s="12" t="n"/>
      <c r="B34" s="9" t="n"/>
      <c r="C34" s="18">
        <f>IF(B34="","",IFERROR(INDEX(Produits!$B$5:$B$44,MATCH(B34,Produits!$A$5:$A$44,0)),""))</f>
        <v/>
      </c>
      <c r="D34" s="10" t="n"/>
      <c r="E34" s="10" t="n"/>
      <c r="F34" s="18">
        <f>IF(OR(D34="",E34=""),"",D34-E34)</f>
        <v/>
      </c>
      <c r="G34" s="9" t="n"/>
      <c r="H34" s="10" t="n"/>
    </row>
    <row r="35">
      <c r="A35" s="12" t="n"/>
      <c r="B35" s="9" t="n"/>
      <c r="C35" s="18">
        <f>IF(B35="","",IFERROR(INDEX(Produits!$B$5:$B$44,MATCH(B35,Produits!$A$5:$A$44,0)),""))</f>
        <v/>
      </c>
      <c r="D35" s="10" t="n"/>
      <c r="E35" s="10" t="n"/>
      <c r="F35" s="18">
        <f>IF(OR(D35="",E35=""),"",D35-E35)</f>
        <v/>
      </c>
      <c r="G35" s="9" t="n"/>
      <c r="H35" s="10" t="n"/>
    </row>
    <row r="36">
      <c r="A36" s="12" t="n"/>
      <c r="B36" s="9" t="n"/>
      <c r="C36" s="18">
        <f>IF(B36="","",IFERROR(INDEX(Produits!$B$5:$B$44,MATCH(B36,Produits!$A$5:$A$44,0)),""))</f>
        <v/>
      </c>
      <c r="D36" s="10" t="n"/>
      <c r="E36" s="10" t="n"/>
      <c r="F36" s="18">
        <f>IF(OR(D36="",E36=""),"",D36-E36)</f>
        <v/>
      </c>
      <c r="G36" s="9" t="n"/>
      <c r="H36" s="10" t="n"/>
    </row>
    <row r="37">
      <c r="A37" s="12" t="n"/>
      <c r="B37" s="9" t="n"/>
      <c r="C37" s="18">
        <f>IF(B37="","",IFERROR(INDEX(Produits!$B$5:$B$44,MATCH(B37,Produits!$A$5:$A$44,0)),""))</f>
        <v/>
      </c>
      <c r="D37" s="10" t="n"/>
      <c r="E37" s="10" t="n"/>
      <c r="F37" s="18">
        <f>IF(OR(D37="",E37=""),"",D37-E37)</f>
        <v/>
      </c>
      <c r="G37" s="9" t="n"/>
      <c r="H37" s="10" t="n"/>
    </row>
    <row r="38">
      <c r="A38" s="12" t="n"/>
      <c r="B38" s="9" t="n"/>
      <c r="C38" s="18">
        <f>IF(B38="","",IFERROR(INDEX(Produits!$B$5:$B$44,MATCH(B38,Produits!$A$5:$A$44,0)),""))</f>
        <v/>
      </c>
      <c r="D38" s="10" t="n"/>
      <c r="E38" s="10" t="n"/>
      <c r="F38" s="18">
        <f>IF(OR(D38="",E38=""),"",D38-E38)</f>
        <v/>
      </c>
      <c r="G38" s="9" t="n"/>
      <c r="H38" s="10" t="n"/>
    </row>
    <row r="39">
      <c r="A39" s="12" t="n"/>
      <c r="B39" s="9" t="n"/>
      <c r="C39" s="18">
        <f>IF(B39="","",IFERROR(INDEX(Produits!$B$5:$B$44,MATCH(B39,Produits!$A$5:$A$44,0)),""))</f>
        <v/>
      </c>
      <c r="D39" s="10" t="n"/>
      <c r="E39" s="10" t="n"/>
      <c r="F39" s="18">
        <f>IF(OR(D39="",E39=""),"",D39-E39)</f>
        <v/>
      </c>
      <c r="G39" s="9" t="n"/>
      <c r="H39" s="10" t="n"/>
    </row>
    <row r="40">
      <c r="A40" s="12" t="n"/>
      <c r="B40" s="9" t="n"/>
      <c r="C40" s="18">
        <f>IF(B40="","",IFERROR(INDEX(Produits!$B$5:$B$44,MATCH(B40,Produits!$A$5:$A$44,0)),""))</f>
        <v/>
      </c>
      <c r="D40" s="10" t="n"/>
      <c r="E40" s="10" t="n"/>
      <c r="F40" s="18">
        <f>IF(OR(D40="",E40=""),"",D40-E40)</f>
        <v/>
      </c>
      <c r="G40" s="9" t="n"/>
      <c r="H40" s="10" t="n"/>
    </row>
    <row r="41">
      <c r="A41" s="12" t="n"/>
      <c r="B41" s="9" t="n"/>
      <c r="C41" s="18">
        <f>IF(B41="","",IFERROR(INDEX(Produits!$B$5:$B$44,MATCH(B41,Produits!$A$5:$A$44,0)),""))</f>
        <v/>
      </c>
      <c r="D41" s="10" t="n"/>
      <c r="E41" s="10" t="n"/>
      <c r="F41" s="18">
        <f>IF(OR(D41="",E41=""),"",D41-E41)</f>
        <v/>
      </c>
      <c r="G41" s="9" t="n"/>
      <c r="H41" s="10" t="n"/>
    </row>
    <row r="42">
      <c r="A42" s="12" t="n"/>
      <c r="B42" s="9" t="n"/>
      <c r="C42" s="18">
        <f>IF(B42="","",IFERROR(INDEX(Produits!$B$5:$B$44,MATCH(B42,Produits!$A$5:$A$44,0)),""))</f>
        <v/>
      </c>
      <c r="D42" s="10" t="n"/>
      <c r="E42" s="10" t="n"/>
      <c r="F42" s="18">
        <f>IF(OR(D42="",E42=""),"",D42-E42)</f>
        <v/>
      </c>
      <c r="G42" s="9" t="n"/>
      <c r="H42" s="10" t="n"/>
    </row>
    <row r="43">
      <c r="A43" s="12" t="n"/>
      <c r="B43" s="9" t="n"/>
      <c r="C43" s="18">
        <f>IF(B43="","",IFERROR(INDEX(Produits!$B$5:$B$44,MATCH(B43,Produits!$A$5:$A$44,0)),""))</f>
        <v/>
      </c>
      <c r="D43" s="10" t="n"/>
      <c r="E43" s="10" t="n"/>
      <c r="F43" s="18">
        <f>IF(OR(D43="",E43=""),"",D43-E43)</f>
        <v/>
      </c>
      <c r="G43" s="9" t="n"/>
      <c r="H43" s="10" t="n"/>
    </row>
    <row r="44">
      <c r="A44" s="12" t="n"/>
      <c r="B44" s="9" t="n"/>
      <c r="C44" s="18">
        <f>IF(B44="","",IFERROR(INDEX(Produits!$B$5:$B$44,MATCH(B44,Produits!$A$5:$A$44,0)),""))</f>
        <v/>
      </c>
      <c r="D44" s="10" t="n"/>
      <c r="E44" s="10" t="n"/>
      <c r="F44" s="18">
        <f>IF(OR(D44="",E44=""),"",D44-E44)</f>
        <v/>
      </c>
      <c r="G44" s="9" t="n"/>
      <c r="H44" s="10" t="n"/>
    </row>
    <row r="45">
      <c r="A45" s="12" t="n"/>
      <c r="B45" s="9" t="n"/>
      <c r="C45" s="18">
        <f>IF(B45="","",IFERROR(INDEX(Produits!$B$5:$B$44,MATCH(B45,Produits!$A$5:$A$44,0)),""))</f>
        <v/>
      </c>
      <c r="D45" s="10" t="n"/>
      <c r="E45" s="10" t="n"/>
      <c r="F45" s="18">
        <f>IF(OR(D45="",E45=""),"",D45-E45)</f>
        <v/>
      </c>
      <c r="G45" s="9" t="n"/>
      <c r="H45" s="10" t="n"/>
    </row>
    <row r="46">
      <c r="A46" s="12" t="n"/>
      <c r="B46" s="9" t="n"/>
      <c r="C46" s="18">
        <f>IF(B46="","",IFERROR(INDEX(Produits!$B$5:$B$44,MATCH(B46,Produits!$A$5:$A$44,0)),""))</f>
        <v/>
      </c>
      <c r="D46" s="10" t="n"/>
      <c r="E46" s="10" t="n"/>
      <c r="F46" s="18">
        <f>IF(OR(D46="",E46=""),"",D46-E46)</f>
        <v/>
      </c>
      <c r="G46" s="9" t="n"/>
      <c r="H46" s="10" t="n"/>
    </row>
    <row r="47">
      <c r="A47" s="12" t="n"/>
      <c r="B47" s="9" t="n"/>
      <c r="C47" s="18">
        <f>IF(B47="","",IFERROR(INDEX(Produits!$B$5:$B$44,MATCH(B47,Produits!$A$5:$A$44,0)),""))</f>
        <v/>
      </c>
      <c r="D47" s="10" t="n"/>
      <c r="E47" s="10" t="n"/>
      <c r="F47" s="18">
        <f>IF(OR(D47="",E47=""),"",D47-E47)</f>
        <v/>
      </c>
      <c r="G47" s="9" t="n"/>
      <c r="H47" s="10" t="n"/>
    </row>
    <row r="48">
      <c r="A48" s="12" t="n"/>
      <c r="B48" s="9" t="n"/>
      <c r="C48" s="18">
        <f>IF(B48="","",IFERROR(INDEX(Produits!$B$5:$B$44,MATCH(B48,Produits!$A$5:$A$44,0)),""))</f>
        <v/>
      </c>
      <c r="D48" s="10" t="n"/>
      <c r="E48" s="10" t="n"/>
      <c r="F48" s="18">
        <f>IF(OR(D48="",E48=""),"",D48-E48)</f>
        <v/>
      </c>
      <c r="G48" s="9" t="n"/>
      <c r="H48" s="10" t="n"/>
    </row>
    <row r="49">
      <c r="A49" s="12" t="n"/>
      <c r="B49" s="9" t="n"/>
      <c r="C49" s="18">
        <f>IF(B49="","",IFERROR(INDEX(Produits!$B$5:$B$44,MATCH(B49,Produits!$A$5:$A$44,0)),""))</f>
        <v/>
      </c>
      <c r="D49" s="10" t="n"/>
      <c r="E49" s="10" t="n"/>
      <c r="F49" s="18">
        <f>IF(OR(D49="",E49=""),"",D49-E49)</f>
        <v/>
      </c>
      <c r="G49" s="9" t="n"/>
      <c r="H49" s="10" t="n"/>
    </row>
    <row r="50">
      <c r="A50" s="12" t="n"/>
      <c r="B50" s="9" t="n"/>
      <c r="C50" s="18">
        <f>IF(B50="","",IFERROR(INDEX(Produits!$B$5:$B$44,MATCH(B50,Produits!$A$5:$A$44,0)),""))</f>
        <v/>
      </c>
      <c r="D50" s="10" t="n"/>
      <c r="E50" s="10" t="n"/>
      <c r="F50" s="18">
        <f>IF(OR(D50="",E50=""),"",D50-E50)</f>
        <v/>
      </c>
      <c r="G50" s="9" t="n"/>
      <c r="H50" s="10" t="n"/>
    </row>
    <row r="51">
      <c r="A51" s="12" t="n"/>
      <c r="B51" s="9" t="n"/>
      <c r="C51" s="18">
        <f>IF(B51="","",IFERROR(INDEX(Produits!$B$5:$B$44,MATCH(B51,Produits!$A$5:$A$44,0)),""))</f>
        <v/>
      </c>
      <c r="D51" s="10" t="n"/>
      <c r="E51" s="10" t="n"/>
      <c r="F51" s="18">
        <f>IF(OR(D51="",E51=""),"",D51-E51)</f>
        <v/>
      </c>
      <c r="G51" s="9" t="n"/>
      <c r="H51" s="10" t="n"/>
    </row>
    <row r="52">
      <c r="A52" s="12" t="n"/>
      <c r="B52" s="9" t="n"/>
      <c r="C52" s="18">
        <f>IF(B52="","",IFERROR(INDEX(Produits!$B$5:$B$44,MATCH(B52,Produits!$A$5:$A$44,0)),""))</f>
        <v/>
      </c>
      <c r="D52" s="10" t="n"/>
      <c r="E52" s="10" t="n"/>
      <c r="F52" s="18">
        <f>IF(OR(D52="",E52=""),"",D52-E52)</f>
        <v/>
      </c>
      <c r="G52" s="9" t="n"/>
      <c r="H52" s="10" t="n"/>
    </row>
    <row r="53">
      <c r="A53" s="12" t="n"/>
      <c r="B53" s="9" t="n"/>
      <c r="C53" s="18">
        <f>IF(B53="","",IFERROR(INDEX(Produits!$B$5:$B$44,MATCH(B53,Produits!$A$5:$A$44,0)),""))</f>
        <v/>
      </c>
      <c r="D53" s="10" t="n"/>
      <c r="E53" s="10" t="n"/>
      <c r="F53" s="18">
        <f>IF(OR(D53="",E53=""),"",D53-E53)</f>
        <v/>
      </c>
      <c r="G53" s="9" t="n"/>
      <c r="H53" s="10" t="n"/>
    </row>
    <row r="54">
      <c r="A54" s="12" t="n"/>
      <c r="B54" s="9" t="n"/>
      <c r="C54" s="18">
        <f>IF(B54="","",IFERROR(INDEX(Produits!$B$5:$B$44,MATCH(B54,Produits!$A$5:$A$44,0)),""))</f>
        <v/>
      </c>
      <c r="D54" s="10" t="n"/>
      <c r="E54" s="10" t="n"/>
      <c r="F54" s="18">
        <f>IF(OR(D54="",E54=""),"",D54-E54)</f>
        <v/>
      </c>
      <c r="G54" s="9" t="n"/>
      <c r="H54" s="10" t="n"/>
    </row>
    <row r="55">
      <c r="A55" s="12" t="n"/>
      <c r="B55" s="9" t="n"/>
      <c r="C55" s="18">
        <f>IF(B55="","",IFERROR(INDEX(Produits!$B$5:$B$44,MATCH(B55,Produits!$A$5:$A$44,0)),""))</f>
        <v/>
      </c>
      <c r="D55" s="10" t="n"/>
      <c r="E55" s="10" t="n"/>
      <c r="F55" s="18">
        <f>IF(OR(D55="",E55=""),"",D55-E55)</f>
        <v/>
      </c>
      <c r="G55" s="9" t="n"/>
      <c r="H55" s="10" t="n"/>
    </row>
    <row r="56">
      <c r="A56" s="12" t="n"/>
      <c r="B56" s="9" t="n"/>
      <c r="C56" s="18">
        <f>IF(B56="","",IFERROR(INDEX(Produits!$B$5:$B$44,MATCH(B56,Produits!$A$5:$A$44,0)),""))</f>
        <v/>
      </c>
      <c r="D56" s="10" t="n"/>
      <c r="E56" s="10" t="n"/>
      <c r="F56" s="18">
        <f>IF(OR(D56="",E56=""),"",D56-E56)</f>
        <v/>
      </c>
      <c r="G56" s="9" t="n"/>
      <c r="H56" s="10" t="n"/>
    </row>
    <row r="57">
      <c r="A57" s="12" t="n"/>
      <c r="B57" s="9" t="n"/>
      <c r="C57" s="18">
        <f>IF(B57="","",IFERROR(INDEX(Produits!$B$5:$B$44,MATCH(B57,Produits!$A$5:$A$44,0)),""))</f>
        <v/>
      </c>
      <c r="D57" s="10" t="n"/>
      <c r="E57" s="10" t="n"/>
      <c r="F57" s="18">
        <f>IF(OR(D57="",E57=""),"",D57-E57)</f>
        <v/>
      </c>
      <c r="G57" s="9" t="n"/>
      <c r="H57" s="10" t="n"/>
    </row>
    <row r="58">
      <c r="A58" s="12" t="n"/>
      <c r="B58" s="9" t="n"/>
      <c r="C58" s="18">
        <f>IF(B58="","",IFERROR(INDEX(Produits!$B$5:$B$44,MATCH(B58,Produits!$A$5:$A$44,0)),""))</f>
        <v/>
      </c>
      <c r="D58" s="10" t="n"/>
      <c r="E58" s="10" t="n"/>
      <c r="F58" s="18">
        <f>IF(OR(D58="",E58=""),"",D58-E58)</f>
        <v/>
      </c>
      <c r="G58" s="9" t="n"/>
      <c r="H58" s="10" t="n"/>
    </row>
    <row r="59">
      <c r="A59" s="12" t="n"/>
      <c r="B59" s="9" t="n"/>
      <c r="C59" s="18">
        <f>IF(B59="","",IFERROR(INDEX(Produits!$B$5:$B$44,MATCH(B59,Produits!$A$5:$A$44,0)),""))</f>
        <v/>
      </c>
      <c r="D59" s="10" t="n"/>
      <c r="E59" s="10" t="n"/>
      <c r="F59" s="18">
        <f>IF(OR(D59="",E59=""),"",D59-E59)</f>
        <v/>
      </c>
      <c r="G59" s="9" t="n"/>
      <c r="H59" s="10" t="n"/>
    </row>
    <row r="60">
      <c r="A60" s="12" t="n"/>
      <c r="B60" s="9" t="n"/>
      <c r="C60" s="18">
        <f>IF(B60="","",IFERROR(INDEX(Produits!$B$5:$B$44,MATCH(B60,Produits!$A$5:$A$44,0)),""))</f>
        <v/>
      </c>
      <c r="D60" s="10" t="n"/>
      <c r="E60" s="10" t="n"/>
      <c r="F60" s="18">
        <f>IF(OR(D60="",E60=""),"",D60-E60)</f>
        <v/>
      </c>
      <c r="G60" s="9" t="n"/>
      <c r="H60" s="10" t="n"/>
    </row>
    <row r="61">
      <c r="A61" s="12" t="n"/>
      <c r="B61" s="9" t="n"/>
      <c r="C61" s="18">
        <f>IF(B61="","",IFERROR(INDEX(Produits!$B$5:$B$44,MATCH(B61,Produits!$A$5:$A$44,0)),""))</f>
        <v/>
      </c>
      <c r="D61" s="10" t="n"/>
      <c r="E61" s="10" t="n"/>
      <c r="F61" s="18">
        <f>IF(OR(D61="",E61=""),"",D61-E61)</f>
        <v/>
      </c>
      <c r="G61" s="9" t="n"/>
      <c r="H61" s="10" t="n"/>
    </row>
    <row r="62">
      <c r="A62" s="12" t="n"/>
      <c r="B62" s="9" t="n"/>
      <c r="C62" s="18">
        <f>IF(B62="","",IFERROR(INDEX(Produits!$B$5:$B$44,MATCH(B62,Produits!$A$5:$A$44,0)),""))</f>
        <v/>
      </c>
      <c r="D62" s="10" t="n"/>
      <c r="E62" s="10" t="n"/>
      <c r="F62" s="18">
        <f>IF(OR(D62="",E62=""),"",D62-E62)</f>
        <v/>
      </c>
      <c r="G62" s="9" t="n"/>
      <c r="H62" s="10" t="n"/>
    </row>
    <row r="63">
      <c r="A63" s="12" t="n"/>
      <c r="B63" s="9" t="n"/>
      <c r="C63" s="18">
        <f>IF(B63="","",IFERROR(INDEX(Produits!$B$5:$B$44,MATCH(B63,Produits!$A$5:$A$44,0)),""))</f>
        <v/>
      </c>
      <c r="D63" s="10" t="n"/>
      <c r="E63" s="10" t="n"/>
      <c r="F63" s="18">
        <f>IF(OR(D63="",E63=""),"",D63-E63)</f>
        <v/>
      </c>
      <c r="G63" s="9" t="n"/>
      <c r="H63" s="10" t="n"/>
    </row>
    <row r="64">
      <c r="A64" s="12" t="n"/>
      <c r="B64" s="9" t="n"/>
      <c r="C64" s="18">
        <f>IF(B64="","",IFERROR(INDEX(Produits!$B$5:$B$44,MATCH(B64,Produits!$A$5:$A$44,0)),""))</f>
        <v/>
      </c>
      <c r="D64" s="10" t="n"/>
      <c r="E64" s="10" t="n"/>
      <c r="F64" s="18">
        <f>IF(OR(D64="",E64=""),"",D64-E64)</f>
        <v/>
      </c>
      <c r="G64" s="9" t="n"/>
      <c r="H64" s="10" t="n"/>
    </row>
  </sheetData>
  <conditionalFormatting sqref="H5:H64">
    <cfRule type="expression" priority="1" dxfId="0">
      <formula>H5="Non"</formula>
    </cfRule>
    <cfRule type="expression" priority="2" dxfId="2">
      <formula>H5="Oui"</formula>
    </cfRule>
  </conditionalFormatting>
  <dataValidations count="2">
    <dataValidation sqref="B5:B64" showDropDown="0" showInputMessage="0" showErrorMessage="0" allowBlank="1" type="list">
      <formula1>=Produits!$A$5:$A$44</formula1>
    </dataValidation>
    <dataValidation sqref="H5:H64" showDropDown="0" showInputMessage="0" showErrorMessage="0" allowBlank="1" type="list">
      <formula1>"Oui,Non"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2026-09-24T19:35:40Z</dcterms:created>
  <dcterms:modified xmlns:dcterms="http://purl.org/dc/terms/" xmlns:xsi="http://www.w3.org/2001/XMLSchema-instance" xsi:type="dcterms:W3CDTF">2026-09-24T19:35:40Z</dcterms:modified>
</cp:coreProperties>
</file>