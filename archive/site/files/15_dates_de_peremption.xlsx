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Produits" sheetId="2" state="visible" r:id="rId2"/>
    <sheet xmlns:r="http://schemas.openxmlformats.org/officeDocument/2006/relationships" name="Octobre 2026" sheetId="3" state="visible" r:id="rId3"/>
    <sheet xmlns:r="http://schemas.openxmlformats.org/officeDocument/2006/relationships" name="Dates limi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0">
    <font>
      <name val="Calibri"/>
      <family val="2"/>
      <color theme="1"/>
      <sz val="11"/>
      <scheme val="minor"/>
    </font>
    <font>
      <name val="Arial"/>
      <b val="1"/>
      <color rgb="00B03A2E"/>
      <sz val="16"/>
    </font>
    <font>
      <name val="Arial"/>
      <i val="1"/>
      <color rgb="00666666"/>
      <sz val="9"/>
    </font>
    <font>
      <name val="Arial"/>
      <b val="1"/>
      <color rgb="00B03A2E"/>
    </font>
    <font>
      <name val="Arial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1F4FD1"/>
    </font>
    <font>
      <name val="Arial"/>
      <b val="1"/>
      <color rgb="00000000"/>
      <sz val="10"/>
    </font>
    <font>
      <name val="Arial"/>
      <color rgb="00555555"/>
      <sz val="10"/>
    </font>
  </fonts>
  <fills count="5">
    <fill>
      <patternFill/>
    </fill>
    <fill>
      <patternFill patternType="gray125"/>
    </fill>
    <fill>
      <patternFill patternType="solid">
        <fgColor rgb="00B03A2E"/>
      </patternFill>
    </fill>
    <fill>
      <patternFill patternType="solid">
        <fgColor rgb="00FFF6D5"/>
      </patternFill>
    </fill>
    <fill>
      <patternFill patternType="solid">
        <fgColor rgb="00EFD7D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3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0" fillId="2" borderId="1" pivotButton="0" quotePrefix="0" xfId="0"/>
    <xf numFmtId="164" fontId="6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164" fontId="7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4">
    <dxf>
      <fill>
        <patternFill patternType="solid">
          <fgColor rgb="00F8C9C4"/>
        </patternFill>
      </fill>
    </dxf>
    <dxf>
      <font>
        <color rgb="008C8C8C"/>
      </font>
      <fill>
        <patternFill patternType="solid">
          <fgColor rgb="00E7E6E6"/>
        </patternFill>
      </fill>
    </dxf>
    <dxf>
      <fill>
        <patternFill patternType="solid">
          <fgColor rgb="00FBDDB0"/>
        </patternFill>
      </fill>
    </dxf>
    <dxf>
      <fill>
        <patternFill patternType="solid">
          <fgColor rgb="00D3EBD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lele_auto</author>
  </authors>
  <commentList>
    <comment ref="D5" authorId="0" shapeId="0">
      <text>
        <t>Date du comptage (facultatif)</t>
      </text>
    </comment>
    <comment ref="G5" authorId="0" shapeId="0">
      <text>
        <t>Date du comptage (facultatif)</t>
      </text>
    </comment>
    <comment ref="J5" authorId="0" shapeId="0">
      <text>
        <t>Date du comptage (facultatif)</t>
      </text>
    </comment>
    <comment ref="M5" authorId="0" shapeId="0">
      <text>
        <t>Date du comptage (facultatif)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 ht="26" customHeight="1">
      <c r="A1" s="1" t="inlineStr">
        <is>
          <t>15 · Les dates de péremption</t>
        </is>
      </c>
    </row>
    <row r="2">
      <c r="A2" s="2" t="inlineStr">
        <is>
          <t>Proposition de tableau de gestion des stocks — Excel et Google Sheets</t>
        </is>
      </c>
    </row>
    <row r="4">
      <c r="A4" s="3" t="inlineStr">
        <is>
          <t>L'idée</t>
        </is>
      </c>
      <c r="B4" s="4" t="inlineStr">
        <is>
          <t>Le suivi du stock habituel, plus un onglet pour les produits frais : à chaque livraison de crème, beurre, lait ou œufs, tu notes la date limite. Le fichier compte les jours restants et colore : rouge = périmé ou à utiliser aujourd'hui, orange = dans les 3 jours.</t>
        </is>
      </c>
    </row>
    <row r="5">
      <c r="A5" s="5" t="inlineStr"/>
      <c r="B5" s="4" t="inlineStr"/>
    </row>
    <row r="6">
      <c r="A6" s="5" t="inlineStr">
        <is>
          <t>Comment faire</t>
        </is>
      </c>
      <c r="B6" s="4" t="inlineStr">
        <is>
          <t>1. Remplis l'onglet Produits une seule fois.</t>
        </is>
      </c>
    </row>
    <row r="7">
      <c r="A7" s="5" t="inlineStr"/>
      <c r="B7" s="4" t="inlineStr">
        <is>
          <t>2. Chaque semaine : Stock, Commandé, Reçu dans l'onglet du mois, comme d'habitude.</t>
        </is>
      </c>
    </row>
    <row r="8">
      <c r="A8" s="5" t="inlineStr"/>
      <c r="B8" s="4" t="inlineStr">
        <is>
          <t>3. À la livraison des produits frais : une ligne dans « Dates limites » avec la DLC écrite sur l'emballage.</t>
        </is>
      </c>
    </row>
    <row r="9">
      <c r="A9" s="5" t="inlineStr"/>
      <c r="B9" s="4" t="inlineStr">
        <is>
          <t>4. Quand un lot est fini, choisis Oui dans « Terminé ? » : la ligne devient grise.</t>
        </is>
      </c>
    </row>
    <row r="10">
      <c r="A10" s="5" t="inlineStr"/>
      <c r="B10" s="4" t="inlineStr"/>
    </row>
    <row r="11">
      <c r="A11" s="5" t="inlineStr">
        <is>
          <t>Les onglets</t>
        </is>
      </c>
      <c r="B11" s="4" t="inlineStr">
        <is>
          <t>Produits — ta liste.</t>
        </is>
      </c>
    </row>
    <row r="12">
      <c r="A12" s="5" t="inlineStr"/>
      <c r="B12" s="4" t="inlineStr">
        <is>
          <t>Octobre 2026 — stock, commandé, reçu.</t>
        </is>
      </c>
    </row>
    <row r="13">
      <c r="A13" s="5" t="inlineStr"/>
      <c r="B13" s="4" t="inlineStr">
        <is>
          <t>Dates limites — les lots frais et leur DLC.</t>
        </is>
      </c>
    </row>
    <row r="14">
      <c r="A14" s="5" t="inlineStr"/>
      <c r="B14" s="4" t="inlineStr"/>
    </row>
    <row r="15">
      <c r="A15" s="5" t="inlineStr">
        <is>
          <t>Couleurs</t>
        </is>
      </c>
      <c r="B15" s="4" t="inlineStr">
        <is>
          <t>Cases jaunes = à remplir. Cases blanches = calculées toutes seules, ne pas y toucher.</t>
        </is>
      </c>
    </row>
    <row r="16">
      <c r="A16" s="5" t="inlineStr"/>
      <c r="B16" s="4" t="inlineStr">
        <is>
          <t>Chiffres en bleu = exemple pour montrer le fonctionnement, à effacer.</t>
        </is>
      </c>
    </row>
    <row r="17">
      <c r="A17" s="5" t="inlineStr"/>
      <c r="B17" s="4" t="inlineStr">
        <is>
          <t>Rouge = il manque quelque chose (livraison incomplète, stock trop bas).</t>
        </is>
      </c>
    </row>
    <row r="18">
      <c r="A18" s="5" t="inlineStr"/>
      <c r="B18" s="4" t="inlineStr"/>
    </row>
    <row r="19">
      <c r="A19" s="5" t="inlineStr">
        <is>
          <t>Google Sheets</t>
        </is>
      </c>
      <c r="B19" s="4" t="inlineStr">
        <is>
          <t>Fichier &gt; Importer &gt; Importer ce fichier. Tout fonctionne pareil, y compris sur téléphone.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9" customWidth="1" min="3" max="3"/>
  </cols>
  <sheetData>
    <row r="1" ht="26" customHeight="1">
      <c r="A1" s="1" t="inlineStr">
        <is>
          <t>Mes produits</t>
        </is>
      </c>
    </row>
    <row r="2">
      <c r="A2" s="2" t="inlineStr">
        <is>
          <t>Une ligne par produit. Tout le reste du fichier se remplit à partir de cette liste.</t>
        </is>
      </c>
    </row>
    <row r="4">
      <c r="A4" s="6" t="inlineStr">
        <is>
          <t>Produit</t>
        </is>
      </c>
      <c r="B4" s="6" t="inlineStr">
        <is>
          <t>Fournisseur</t>
        </is>
      </c>
      <c r="C4" s="6" t="inlineStr">
        <is>
          <t>Unité</t>
        </is>
      </c>
    </row>
    <row r="5">
      <c r="A5" s="7" t="inlineStr">
        <is>
          <t>Farine T55</t>
        </is>
      </c>
      <c r="B5" s="7" t="inlineStr">
        <is>
          <t>Metro</t>
        </is>
      </c>
      <c r="C5" s="8" t="inlineStr">
        <is>
          <t>kg</t>
        </is>
      </c>
    </row>
    <row r="6">
      <c r="A6" s="7" t="inlineStr">
        <is>
          <t>Farine T45</t>
        </is>
      </c>
      <c r="B6" s="7" t="inlineStr">
        <is>
          <t>Metro</t>
        </is>
      </c>
      <c r="C6" s="8" t="inlineStr">
        <is>
          <t>kg</t>
        </is>
      </c>
    </row>
    <row r="7">
      <c r="A7" s="7" t="inlineStr">
        <is>
          <t>Sucre semoule</t>
        </is>
      </c>
      <c r="B7" s="7" t="inlineStr">
        <is>
          <t>Metro</t>
        </is>
      </c>
      <c r="C7" s="8" t="inlineStr">
        <is>
          <t>kg</t>
        </is>
      </c>
    </row>
    <row r="8">
      <c r="A8" s="7" t="inlineStr">
        <is>
          <t>Sucre glace</t>
        </is>
      </c>
      <c r="B8" s="7" t="inlineStr">
        <is>
          <t>Metro</t>
        </is>
      </c>
      <c r="C8" s="8" t="inlineStr">
        <is>
          <t>kg</t>
        </is>
      </c>
    </row>
    <row r="9">
      <c r="A9" s="7" t="inlineStr">
        <is>
          <t>Beurre doux</t>
        </is>
      </c>
      <c r="B9" s="7" t="inlineStr">
        <is>
          <t>Crèmerie</t>
        </is>
      </c>
      <c r="C9" s="8" t="inlineStr">
        <is>
          <t>kg</t>
        </is>
      </c>
    </row>
    <row r="10">
      <c r="A10" s="7" t="inlineStr">
        <is>
          <t>Crème liquide 35%</t>
        </is>
      </c>
      <c r="B10" s="7" t="inlineStr">
        <is>
          <t>Crèmerie</t>
        </is>
      </c>
      <c r="C10" s="8" t="inlineStr">
        <is>
          <t>L</t>
        </is>
      </c>
    </row>
    <row r="11">
      <c r="A11" s="7" t="inlineStr">
        <is>
          <t>Lait entier</t>
        </is>
      </c>
      <c r="B11" s="7" t="inlineStr">
        <is>
          <t>Crèmerie</t>
        </is>
      </c>
      <c r="C11" s="8" t="inlineStr">
        <is>
          <t>L</t>
        </is>
      </c>
    </row>
    <row r="12">
      <c r="A12" s="7" t="inlineStr">
        <is>
          <t>Oeufs</t>
        </is>
      </c>
      <c r="B12" s="7" t="inlineStr">
        <is>
          <t>Crèmerie</t>
        </is>
      </c>
      <c r="C12" s="8" t="inlineStr">
        <is>
          <t>pièce</t>
        </is>
      </c>
    </row>
    <row r="13">
      <c r="A13" s="7" t="inlineStr">
        <is>
          <t>Chocolat blanc</t>
        </is>
      </c>
      <c r="B13" s="7" t="inlineStr">
        <is>
          <t>Transgourmet</t>
        </is>
      </c>
      <c r="C13" s="8" t="inlineStr">
        <is>
          <t>kg</t>
        </is>
      </c>
    </row>
    <row r="14">
      <c r="A14" s="7" t="inlineStr">
        <is>
          <t>Chocolat noir 70%</t>
        </is>
      </c>
      <c r="B14" s="7" t="inlineStr">
        <is>
          <t>Transgourmet</t>
        </is>
      </c>
      <c r="C14" s="8" t="inlineStr">
        <is>
          <t>kg</t>
        </is>
      </c>
    </row>
    <row r="15">
      <c r="A15" s="7" t="inlineStr">
        <is>
          <t>Levure chimique</t>
        </is>
      </c>
      <c r="B15" s="7" t="inlineStr">
        <is>
          <t>Transgourmet</t>
        </is>
      </c>
      <c r="C15" s="8" t="inlineStr">
        <is>
          <t>kg</t>
        </is>
      </c>
    </row>
    <row r="16">
      <c r="A16" s="7" t="inlineStr">
        <is>
          <t>Vanille (gousse)</t>
        </is>
      </c>
      <c r="B16" s="7" t="inlineStr">
        <is>
          <t>Transgourmet</t>
        </is>
      </c>
      <c r="C16" s="8" t="inlineStr">
        <is>
          <t>pièce</t>
        </is>
      </c>
    </row>
    <row r="17">
      <c r="A17" s="9" t="n"/>
      <c r="B17" s="9" t="n"/>
      <c r="C17" s="10" t="n"/>
    </row>
    <row r="18">
      <c r="A18" s="9" t="n"/>
      <c r="B18" s="9" t="n"/>
      <c r="C18" s="10" t="n"/>
    </row>
    <row r="19">
      <c r="A19" s="9" t="n"/>
      <c r="B19" s="9" t="n"/>
      <c r="C19" s="10" t="n"/>
    </row>
    <row r="20">
      <c r="A20" s="9" t="n"/>
      <c r="B20" s="9" t="n"/>
      <c r="C20" s="10" t="n"/>
    </row>
    <row r="21">
      <c r="A21" s="9" t="n"/>
      <c r="B21" s="9" t="n"/>
      <c r="C21" s="10" t="n"/>
    </row>
    <row r="22">
      <c r="A22" s="9" t="n"/>
      <c r="B22" s="9" t="n"/>
      <c r="C22" s="10" t="n"/>
    </row>
    <row r="23">
      <c r="A23" s="9" t="n"/>
      <c r="B23" s="9" t="n"/>
      <c r="C23" s="10" t="n"/>
    </row>
    <row r="24">
      <c r="A24" s="9" t="n"/>
      <c r="B24" s="9" t="n"/>
      <c r="C24" s="10" t="n"/>
    </row>
    <row r="25">
      <c r="A25" s="9" t="n"/>
      <c r="B25" s="9" t="n"/>
      <c r="C25" s="10" t="n"/>
    </row>
    <row r="26">
      <c r="A26" s="9" t="n"/>
      <c r="B26" s="9" t="n"/>
      <c r="C26" s="10" t="n"/>
    </row>
    <row r="27">
      <c r="A27" s="9" t="n"/>
      <c r="B27" s="9" t="n"/>
      <c r="C27" s="10" t="n"/>
    </row>
    <row r="28">
      <c r="A28" s="9" t="n"/>
      <c r="B28" s="9" t="n"/>
      <c r="C28" s="10" t="n"/>
    </row>
    <row r="29">
      <c r="A29" s="9" t="n"/>
      <c r="B29" s="9" t="n"/>
      <c r="C29" s="10" t="n"/>
    </row>
    <row r="30">
      <c r="A30" s="9" t="n"/>
      <c r="B30" s="9" t="n"/>
      <c r="C30" s="10" t="n"/>
    </row>
    <row r="31">
      <c r="A31" s="9" t="n"/>
      <c r="B31" s="9" t="n"/>
      <c r="C31" s="10" t="n"/>
    </row>
    <row r="32">
      <c r="A32" s="9" t="n"/>
      <c r="B32" s="9" t="n"/>
      <c r="C32" s="10" t="n"/>
    </row>
    <row r="33">
      <c r="A33" s="9" t="n"/>
      <c r="B33" s="9" t="n"/>
      <c r="C33" s="10" t="n"/>
    </row>
    <row r="34">
      <c r="A34" s="9" t="n"/>
      <c r="B34" s="9" t="n"/>
      <c r="C34" s="10" t="n"/>
    </row>
    <row r="35">
      <c r="A35" s="9" t="n"/>
      <c r="B35" s="9" t="n"/>
      <c r="C35" s="10" t="n"/>
    </row>
    <row r="36">
      <c r="A36" s="9" t="n"/>
      <c r="B36" s="9" t="n"/>
      <c r="C36" s="10" t="n"/>
    </row>
    <row r="37">
      <c r="A37" s="9" t="n"/>
      <c r="B37" s="9" t="n"/>
      <c r="C37" s="10" t="n"/>
    </row>
    <row r="38">
      <c r="A38" s="9" t="n"/>
      <c r="B38" s="9" t="n"/>
      <c r="C38" s="10" t="n"/>
    </row>
    <row r="39">
      <c r="A39" s="9" t="n"/>
      <c r="B39" s="9" t="n"/>
      <c r="C39" s="10" t="n"/>
    </row>
    <row r="40">
      <c r="A40" s="9" t="n"/>
      <c r="B40" s="9" t="n"/>
      <c r="C40" s="10" t="n"/>
    </row>
    <row r="41">
      <c r="A41" s="9" t="n"/>
      <c r="B41" s="9" t="n"/>
      <c r="C41" s="10" t="n"/>
    </row>
    <row r="42">
      <c r="A42" s="9" t="n"/>
      <c r="B42" s="9" t="n"/>
      <c r="C42" s="10" t="n"/>
    </row>
    <row r="43">
      <c r="A43" s="9" t="n"/>
      <c r="B43" s="9" t="n"/>
      <c r="C43" s="10" t="n"/>
    </row>
    <row r="44">
      <c r="A44" s="9" t="n"/>
      <c r="B44" s="9" t="n"/>
      <c r="C44" s="10" t="n"/>
    </row>
  </sheetData>
  <dataValidations count="1">
    <dataValidation sqref="C5:C44" showDropDown="0" showInputMessage="0" showErrorMessage="0" allowBlank="1" type="list">
      <formula1>"kg,g,L,pièce,paquet,boîte,sac"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6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 ht="26" customHeight="1">
      <c r="A1" s="1" t="inlineStr">
        <is>
          <t>Octobre 2026</t>
        </is>
      </c>
    </row>
    <row r="2">
      <c r="A2" s="2" t="inlineStr">
        <is>
          <t>Stock = ce qu'il reste · Commandé = ce que tu demandes · Reçu = ce qui est arrivé</t>
        </is>
      </c>
    </row>
    <row r="4">
      <c r="A4" s="6" t="inlineStr">
        <is>
          <t>Produit</t>
        </is>
      </c>
      <c r="B4" s="6" t="inlineStr">
        <is>
          <t>Fournisseur</t>
        </is>
      </c>
      <c r="C4" s="6" t="inlineStr">
        <is>
          <t>Unité</t>
        </is>
      </c>
      <c r="D4" s="6" t="inlineStr">
        <is>
          <t>Semaine 1</t>
        </is>
      </c>
      <c r="E4" s="11" t="n"/>
      <c r="F4" s="11" t="n"/>
      <c r="G4" s="6" t="inlineStr">
        <is>
          <t>Semaine 2</t>
        </is>
      </c>
      <c r="H4" s="11" t="n"/>
      <c r="I4" s="11" t="n"/>
      <c r="J4" s="6" t="inlineStr">
        <is>
          <t>Semaine 3</t>
        </is>
      </c>
      <c r="K4" s="11" t="n"/>
      <c r="L4" s="11" t="n"/>
      <c r="M4" s="6" t="inlineStr">
        <is>
          <t>Semaine 4</t>
        </is>
      </c>
      <c r="N4" s="11" t="n"/>
      <c r="O4" s="11" t="n"/>
      <c r="P4" s="6" t="inlineStr">
        <is>
          <t>Total du mois</t>
        </is>
      </c>
      <c r="Q4" s="11" t="n"/>
      <c r="R4" s="11" t="n"/>
      <c r="S4" s="11" t="n"/>
    </row>
    <row r="5">
      <c r="A5" s="11" t="n"/>
      <c r="B5" s="11" t="n"/>
      <c r="C5" s="11" t="n"/>
      <c r="D5" s="12" t="n"/>
      <c r="E5" s="13" t="n"/>
      <c r="F5" s="13" t="n"/>
      <c r="G5" s="12" t="n"/>
      <c r="H5" s="13" t="n"/>
      <c r="I5" s="13" t="n"/>
      <c r="J5" s="12" t="n"/>
      <c r="K5" s="13" t="n"/>
      <c r="L5" s="13" t="n"/>
      <c r="M5" s="12" t="n"/>
      <c r="N5" s="13" t="n"/>
      <c r="O5" s="13" t="n"/>
      <c r="P5" s="11" t="n"/>
      <c r="Q5" s="11" t="n"/>
      <c r="R5" s="11" t="n"/>
      <c r="S5" s="11" t="n"/>
    </row>
    <row r="6">
      <c r="A6" s="11" t="n"/>
      <c r="B6" s="11" t="n"/>
      <c r="C6" s="11" t="n"/>
      <c r="D6" s="14" t="inlineStr">
        <is>
          <t>Stock</t>
        </is>
      </c>
      <c r="E6" s="14" t="inlineStr">
        <is>
          <t>Commandé</t>
        </is>
      </c>
      <c r="F6" s="14" t="inlineStr">
        <is>
          <t>Reçu</t>
        </is>
      </c>
      <c r="G6" s="14" t="inlineStr">
        <is>
          <t>Stock</t>
        </is>
      </c>
      <c r="H6" s="14" t="inlineStr">
        <is>
          <t>Commandé</t>
        </is>
      </c>
      <c r="I6" s="14" t="inlineStr">
        <is>
          <t>Reçu</t>
        </is>
      </c>
      <c r="J6" s="14" t="inlineStr">
        <is>
          <t>Stock</t>
        </is>
      </c>
      <c r="K6" s="14" t="inlineStr">
        <is>
          <t>Commandé</t>
        </is>
      </c>
      <c r="L6" s="14" t="inlineStr">
        <is>
          <t>Reçu</t>
        </is>
      </c>
      <c r="M6" s="14" t="inlineStr">
        <is>
          <t>Stock</t>
        </is>
      </c>
      <c r="N6" s="14" t="inlineStr">
        <is>
          <t>Commandé</t>
        </is>
      </c>
      <c r="O6" s="14" t="inlineStr">
        <is>
          <t>Reçu</t>
        </is>
      </c>
      <c r="P6" s="14" t="inlineStr">
        <is>
          <t>Commandé</t>
        </is>
      </c>
      <c r="Q6" s="14" t="inlineStr">
        <is>
          <t>Reçu</t>
        </is>
      </c>
      <c r="R6" s="14" t="inlineStr">
        <is>
          <t>Écart</t>
        </is>
      </c>
      <c r="S6" s="14" t="inlineStr">
        <is>
          <t>Dernier stock</t>
        </is>
      </c>
    </row>
    <row r="7">
      <c r="A7" s="15">
        <f>IF(Produits!$A$5="","",Produits!$A$5)</f>
        <v/>
      </c>
      <c r="B7" s="16">
        <f>IF(Produits!$A$5="","",Produits!$B$5)</f>
        <v/>
      </c>
      <c r="C7" s="17">
        <f>IF(Produits!$A$5="","",Produits!$C$5)</f>
        <v/>
      </c>
      <c r="D7" s="8" t="n">
        <v>8</v>
      </c>
      <c r="E7" s="8" t="n">
        <v>10</v>
      </c>
      <c r="F7" s="8" t="n">
        <v>7</v>
      </c>
      <c r="G7" s="8" t="n">
        <v>5</v>
      </c>
      <c r="H7" s="8" t="n">
        <v>10</v>
      </c>
      <c r="I7" s="8" t="n">
        <v>10</v>
      </c>
      <c r="J7" s="10" t="n"/>
      <c r="K7" s="10" t="n"/>
      <c r="L7" s="10" t="n"/>
      <c r="M7" s="10" t="n"/>
      <c r="N7" s="10" t="n"/>
      <c r="O7" s="10" t="n"/>
      <c r="P7" s="18">
        <f>IF(COUNT(E7,H7,K7,N7)=0,"",SUM(E7,H7,K7,N7))</f>
        <v/>
      </c>
      <c r="Q7" s="18">
        <f>IF(COUNT(F7,I7,L7,O7)=0,"",SUM(F7,I7,L7,O7))</f>
        <v/>
      </c>
      <c r="R7" s="18">
        <f>IF(OR(P7="",Q7=""),"",Q7-P7)</f>
        <v/>
      </c>
      <c r="S7" s="18">
        <f>IF(M7&lt;&gt;"",M7,IF(J7&lt;&gt;"",J7,IF(G7&lt;&gt;"",G7,IF(D7&lt;&gt;"",D7,""))))</f>
        <v/>
      </c>
    </row>
    <row r="8">
      <c r="A8" s="15">
        <f>IF(Produits!$A$6="","",Produits!$A$6)</f>
        <v/>
      </c>
      <c r="B8" s="16">
        <f>IF(Produits!$A$6="","",Produits!$B$6)</f>
        <v/>
      </c>
      <c r="C8" s="17">
        <f>IF(Produits!$A$6="","",Produits!$C$6)</f>
        <v/>
      </c>
      <c r="D8" s="8" t="n">
        <v>2</v>
      </c>
      <c r="E8" s="8" t="n">
        <v>5</v>
      </c>
      <c r="F8" s="8" t="n">
        <v>5</v>
      </c>
      <c r="G8" s="8" t="n">
        <v>3</v>
      </c>
      <c r="H8" s="8" t="n">
        <v>3</v>
      </c>
      <c r="I8" s="8" t="n">
        <v>3</v>
      </c>
      <c r="J8" s="10" t="n"/>
      <c r="K8" s="10" t="n"/>
      <c r="L8" s="10" t="n"/>
      <c r="M8" s="10" t="n"/>
      <c r="N8" s="10" t="n"/>
      <c r="O8" s="10" t="n"/>
      <c r="P8" s="18">
        <f>IF(COUNT(E8,H8,K8,N8)=0,"",SUM(E8,H8,K8,N8))</f>
        <v/>
      </c>
      <c r="Q8" s="18">
        <f>IF(COUNT(F8,I8,L8,O8)=0,"",SUM(F8,I8,L8,O8))</f>
        <v/>
      </c>
      <c r="R8" s="18">
        <f>IF(OR(P8="",Q8=""),"",Q8-P8)</f>
        <v/>
      </c>
      <c r="S8" s="18">
        <f>IF(M8&lt;&gt;"",M8,IF(J8&lt;&gt;"",J8,IF(G8&lt;&gt;"",G8,IF(D8&lt;&gt;"",D8,""))))</f>
        <v/>
      </c>
    </row>
    <row r="9">
      <c r="A9" s="15">
        <f>IF(Produits!$A$7="","",Produits!$A$7)</f>
        <v/>
      </c>
      <c r="B9" s="16">
        <f>IF(Produits!$A$7="","",Produits!$B$7)</f>
        <v/>
      </c>
      <c r="C9" s="17">
        <f>IF(Produits!$A$7="","",Produits!$C$7)</f>
        <v/>
      </c>
      <c r="D9" s="8" t="n">
        <v>6</v>
      </c>
      <c r="E9" s="8" t="n">
        <v>10</v>
      </c>
      <c r="F9" s="8" t="n">
        <v>10</v>
      </c>
      <c r="G9" s="8" t="n">
        <v>7</v>
      </c>
      <c r="H9" s="8" t="n">
        <v>5</v>
      </c>
      <c r="I9" s="8" t="n">
        <v>5</v>
      </c>
      <c r="J9" s="10" t="n"/>
      <c r="K9" s="10" t="n"/>
      <c r="L9" s="10" t="n"/>
      <c r="M9" s="10" t="n"/>
      <c r="N9" s="10" t="n"/>
      <c r="O9" s="10" t="n"/>
      <c r="P9" s="18">
        <f>IF(COUNT(E9,H9,K9,N9)=0,"",SUM(E9,H9,K9,N9))</f>
        <v/>
      </c>
      <c r="Q9" s="18">
        <f>IF(COUNT(F9,I9,L9,O9)=0,"",SUM(F9,I9,L9,O9))</f>
        <v/>
      </c>
      <c r="R9" s="18">
        <f>IF(OR(P9="",Q9=""),"",Q9-P9)</f>
        <v/>
      </c>
      <c r="S9" s="18">
        <f>IF(M9&lt;&gt;"",M9,IF(J9&lt;&gt;"",J9,IF(G9&lt;&gt;"",G9,IF(D9&lt;&gt;"",D9,""))))</f>
        <v/>
      </c>
    </row>
    <row r="10">
      <c r="A10" s="15">
        <f>IF(Produits!$A$8="","",Produits!$A$8)</f>
        <v/>
      </c>
      <c r="B10" s="16">
        <f>IF(Produits!$A$8="","",Produits!$B$8)</f>
        <v/>
      </c>
      <c r="C10" s="17">
        <f>IF(Produits!$A$8="","",Produits!$C$8)</f>
        <v/>
      </c>
      <c r="D10" s="8" t="n">
        <v>1</v>
      </c>
      <c r="E10" s="8" t="n">
        <v>3</v>
      </c>
      <c r="F10" s="8" t="n">
        <v>3</v>
      </c>
      <c r="G10" s="8" t="n">
        <v>2</v>
      </c>
      <c r="H10" s="8" t="n">
        <v>0</v>
      </c>
      <c r="I10" s="8" t="n">
        <v>0</v>
      </c>
      <c r="J10" s="10" t="n"/>
      <c r="K10" s="10" t="n"/>
      <c r="L10" s="10" t="n"/>
      <c r="M10" s="10" t="n"/>
      <c r="N10" s="10" t="n"/>
      <c r="O10" s="10" t="n"/>
      <c r="P10" s="18">
        <f>IF(COUNT(E10,H10,K10,N10)=0,"",SUM(E10,H10,K10,N10))</f>
        <v/>
      </c>
      <c r="Q10" s="18">
        <f>IF(COUNT(F10,I10,L10,O10)=0,"",SUM(F10,I10,L10,O10))</f>
        <v/>
      </c>
      <c r="R10" s="18">
        <f>IF(OR(P10="",Q10=""),"",Q10-P10)</f>
        <v/>
      </c>
      <c r="S10" s="18">
        <f>IF(M10&lt;&gt;"",M10,IF(J10&lt;&gt;"",J10,IF(G10&lt;&gt;"",G10,IF(D10&lt;&gt;"",D10,""))))</f>
        <v/>
      </c>
    </row>
    <row r="11">
      <c r="A11" s="15">
        <f>IF(Produits!$A$9="","",Produits!$A$9)</f>
        <v/>
      </c>
      <c r="B11" s="16">
        <f>IF(Produits!$A$9="","",Produits!$B$9)</f>
        <v/>
      </c>
      <c r="C11" s="17">
        <f>IF(Produits!$A$9="","",Produits!$C$9)</f>
        <v/>
      </c>
      <c r="D11" s="8" t="n">
        <v>3</v>
      </c>
      <c r="E11" s="8" t="n">
        <v>5</v>
      </c>
      <c r="F11" s="8" t="n">
        <v>5</v>
      </c>
      <c r="G11" s="8" t="n">
        <v>4</v>
      </c>
      <c r="H11" s="8" t="n">
        <v>5</v>
      </c>
      <c r="I11" s="8" t="n">
        <v>5</v>
      </c>
      <c r="J11" s="10" t="n"/>
      <c r="K11" s="10" t="n"/>
      <c r="L11" s="10" t="n"/>
      <c r="M11" s="10" t="n"/>
      <c r="N11" s="10" t="n"/>
      <c r="O11" s="10" t="n"/>
      <c r="P11" s="18">
        <f>IF(COUNT(E11,H11,K11,N11)=0,"",SUM(E11,H11,K11,N11))</f>
        <v/>
      </c>
      <c r="Q11" s="18">
        <f>IF(COUNT(F11,I11,L11,O11)=0,"",SUM(F11,I11,L11,O11))</f>
        <v/>
      </c>
      <c r="R11" s="18">
        <f>IF(OR(P11="",Q11=""),"",Q11-P11)</f>
        <v/>
      </c>
      <c r="S11" s="18">
        <f>IF(M11&lt;&gt;"",M11,IF(J11&lt;&gt;"",J11,IF(G11&lt;&gt;"",G11,IF(D11&lt;&gt;"",D11,""))))</f>
        <v/>
      </c>
    </row>
    <row r="12">
      <c r="A12" s="15">
        <f>IF(Produits!$A$10="","",Produits!$A$10)</f>
        <v/>
      </c>
      <c r="B12" s="16">
        <f>IF(Produits!$A$10="","",Produits!$B$10)</f>
        <v/>
      </c>
      <c r="C12" s="17">
        <f>IF(Produits!$A$10="","",Produits!$C$10)</f>
        <v/>
      </c>
      <c r="D12" s="8" t="n">
        <v>4</v>
      </c>
      <c r="E12" s="8" t="n">
        <v>12</v>
      </c>
      <c r="F12" s="8" t="n">
        <v>12</v>
      </c>
      <c r="G12" s="8" t="n">
        <v>5</v>
      </c>
      <c r="H12" s="8" t="n">
        <v>10</v>
      </c>
      <c r="I12" s="8" t="n">
        <v>10</v>
      </c>
      <c r="J12" s="10" t="n"/>
      <c r="K12" s="10" t="n"/>
      <c r="L12" s="10" t="n"/>
      <c r="M12" s="10" t="n"/>
      <c r="N12" s="10" t="n"/>
      <c r="O12" s="10" t="n"/>
      <c r="P12" s="18">
        <f>IF(COUNT(E12,H12,K12,N12)=0,"",SUM(E12,H12,K12,N12))</f>
        <v/>
      </c>
      <c r="Q12" s="18">
        <f>IF(COUNT(F12,I12,L12,O12)=0,"",SUM(F12,I12,L12,O12))</f>
        <v/>
      </c>
      <c r="R12" s="18">
        <f>IF(OR(P12="",Q12=""),"",Q12-P12)</f>
        <v/>
      </c>
      <c r="S12" s="18">
        <f>IF(M12&lt;&gt;"",M12,IF(J12&lt;&gt;"",J12,IF(G12&lt;&gt;"",G12,IF(D12&lt;&gt;"",D12,""))))</f>
        <v/>
      </c>
    </row>
    <row r="13">
      <c r="A13" s="15">
        <f>IF(Produits!$A$11="","",Produits!$A$11)</f>
        <v/>
      </c>
      <c r="B13" s="16">
        <f>IF(Produits!$A$11="","",Produits!$B$11)</f>
        <v/>
      </c>
      <c r="C13" s="17">
        <f>IF(Produits!$A$11="","",Produits!$C$11)</f>
        <v/>
      </c>
      <c r="D13" s="8" t="n">
        <v>3</v>
      </c>
      <c r="E13" s="8" t="n">
        <v>6</v>
      </c>
      <c r="F13" s="8" t="n">
        <v>6</v>
      </c>
      <c r="G13" s="8" t="n">
        <v>4</v>
      </c>
      <c r="H13" s="8" t="n">
        <v>6</v>
      </c>
      <c r="I13" s="8" t="n">
        <v>6</v>
      </c>
      <c r="J13" s="10" t="n"/>
      <c r="K13" s="10" t="n"/>
      <c r="L13" s="10" t="n"/>
      <c r="M13" s="10" t="n"/>
      <c r="N13" s="10" t="n"/>
      <c r="O13" s="10" t="n"/>
      <c r="P13" s="18">
        <f>IF(COUNT(E13,H13,K13,N13)=0,"",SUM(E13,H13,K13,N13))</f>
        <v/>
      </c>
      <c r="Q13" s="18">
        <f>IF(COUNT(F13,I13,L13,O13)=0,"",SUM(F13,I13,L13,O13))</f>
        <v/>
      </c>
      <c r="R13" s="18">
        <f>IF(OR(P13="",Q13=""),"",Q13-P13)</f>
        <v/>
      </c>
      <c r="S13" s="18">
        <f>IF(M13&lt;&gt;"",M13,IF(J13&lt;&gt;"",J13,IF(G13&lt;&gt;"",G13,IF(D13&lt;&gt;"",D13,""))))</f>
        <v/>
      </c>
    </row>
    <row r="14">
      <c r="A14" s="15">
        <f>IF(Produits!$A$12="","",Produits!$A$12)</f>
        <v/>
      </c>
      <c r="B14" s="16">
        <f>IF(Produits!$A$12="","",Produits!$B$12)</f>
        <v/>
      </c>
      <c r="C14" s="17">
        <f>IF(Produits!$A$12="","",Produits!$C$12)</f>
        <v/>
      </c>
      <c r="D14" s="8" t="n">
        <v>40</v>
      </c>
      <c r="E14" s="8" t="n">
        <v>90</v>
      </c>
      <c r="F14" s="8" t="n">
        <v>90</v>
      </c>
      <c r="G14" s="8" t="n">
        <v>50</v>
      </c>
      <c r="H14" s="8" t="n">
        <v>60</v>
      </c>
      <c r="I14" s="8" t="n">
        <v>60</v>
      </c>
      <c r="J14" s="10" t="n"/>
      <c r="K14" s="10" t="n"/>
      <c r="L14" s="10" t="n"/>
      <c r="M14" s="10" t="n"/>
      <c r="N14" s="10" t="n"/>
      <c r="O14" s="10" t="n"/>
      <c r="P14" s="18">
        <f>IF(COUNT(E14,H14,K14,N14)=0,"",SUM(E14,H14,K14,N14))</f>
        <v/>
      </c>
      <c r="Q14" s="18">
        <f>IF(COUNT(F14,I14,L14,O14)=0,"",SUM(F14,I14,L14,O14))</f>
        <v/>
      </c>
      <c r="R14" s="18">
        <f>IF(OR(P14="",Q14=""),"",Q14-P14)</f>
        <v/>
      </c>
      <c r="S14" s="18">
        <f>IF(M14&lt;&gt;"",M14,IF(J14&lt;&gt;"",J14,IF(G14&lt;&gt;"",G14,IF(D14&lt;&gt;"",D14,""))))</f>
        <v/>
      </c>
    </row>
    <row r="15">
      <c r="A15" s="15">
        <f>IF(Produits!$A$13="","",Produits!$A$13)</f>
        <v/>
      </c>
      <c r="B15" s="16">
        <f>IF(Produits!$A$13="","",Produits!$B$13)</f>
        <v/>
      </c>
      <c r="C15" s="17">
        <f>IF(Produits!$A$13="","",Produits!$C$13)</f>
        <v/>
      </c>
      <c r="D15" s="8" t="n">
        <v>1.5</v>
      </c>
      <c r="E15" s="8" t="n">
        <v>3</v>
      </c>
      <c r="F15" s="8" t="n">
        <v>2</v>
      </c>
      <c r="G15" s="8" t="n">
        <v>2</v>
      </c>
      <c r="H15" s="8" t="n">
        <v>2</v>
      </c>
      <c r="I15" s="8" t="n">
        <v>2</v>
      </c>
      <c r="J15" s="10" t="n"/>
      <c r="K15" s="10" t="n"/>
      <c r="L15" s="10" t="n"/>
      <c r="M15" s="10" t="n"/>
      <c r="N15" s="10" t="n"/>
      <c r="O15" s="10" t="n"/>
      <c r="P15" s="18">
        <f>IF(COUNT(E15,H15,K15,N15)=0,"",SUM(E15,H15,K15,N15))</f>
        <v/>
      </c>
      <c r="Q15" s="18">
        <f>IF(COUNT(F15,I15,L15,O15)=0,"",SUM(F15,I15,L15,O15))</f>
        <v/>
      </c>
      <c r="R15" s="18">
        <f>IF(OR(P15="",Q15=""),"",Q15-P15)</f>
        <v/>
      </c>
      <c r="S15" s="18">
        <f>IF(M15&lt;&gt;"",M15,IF(J15&lt;&gt;"",J15,IF(G15&lt;&gt;"",G15,IF(D15&lt;&gt;"",D15,""))))</f>
        <v/>
      </c>
    </row>
    <row r="16">
      <c r="A16" s="15">
        <f>IF(Produits!$A$14="","",Produits!$A$14)</f>
        <v/>
      </c>
      <c r="B16" s="16">
        <f>IF(Produits!$A$14="","",Produits!$B$14)</f>
        <v/>
      </c>
      <c r="C16" s="17">
        <f>IF(Produits!$A$14="","",Produits!$C$14)</f>
        <v/>
      </c>
      <c r="D16" s="8" t="n">
        <v>2</v>
      </c>
      <c r="E16" s="8" t="n">
        <v>2</v>
      </c>
      <c r="F16" s="8" t="n">
        <v>2</v>
      </c>
      <c r="G16" s="8" t="n">
        <v>2</v>
      </c>
      <c r="H16" s="8" t="n">
        <v>2</v>
      </c>
      <c r="I16" s="8" t="n">
        <v>2</v>
      </c>
      <c r="J16" s="10" t="n"/>
      <c r="K16" s="10" t="n"/>
      <c r="L16" s="10" t="n"/>
      <c r="M16" s="10" t="n"/>
      <c r="N16" s="10" t="n"/>
      <c r="O16" s="10" t="n"/>
      <c r="P16" s="18">
        <f>IF(COUNT(E16,H16,K16,N16)=0,"",SUM(E16,H16,K16,N16))</f>
        <v/>
      </c>
      <c r="Q16" s="18">
        <f>IF(COUNT(F16,I16,L16,O16)=0,"",SUM(F16,I16,L16,O16))</f>
        <v/>
      </c>
      <c r="R16" s="18">
        <f>IF(OR(P16="",Q16=""),"",Q16-P16)</f>
        <v/>
      </c>
      <c r="S16" s="18">
        <f>IF(M16&lt;&gt;"",M16,IF(J16&lt;&gt;"",J16,IF(G16&lt;&gt;"",G16,IF(D16&lt;&gt;"",D16,""))))</f>
        <v/>
      </c>
    </row>
    <row r="17">
      <c r="A17" s="15">
        <f>IF(Produits!$A$15="","",Produits!$A$15)</f>
        <v/>
      </c>
      <c r="B17" s="16">
        <f>IF(Produits!$A$15="","",Produits!$B$15)</f>
        <v/>
      </c>
      <c r="C17" s="17">
        <f>IF(Produits!$A$15="","",Produits!$C$15)</f>
        <v/>
      </c>
      <c r="D17" s="8" t="n">
        <v>0.4</v>
      </c>
      <c r="E17" s="8" t="n">
        <v>1</v>
      </c>
      <c r="F17" s="8" t="n">
        <v>1</v>
      </c>
      <c r="G17" s="8" t="n">
        <v>0.6</v>
      </c>
      <c r="H17" s="8" t="n">
        <v>0</v>
      </c>
      <c r="I17" s="8" t="n">
        <v>0</v>
      </c>
      <c r="J17" s="10" t="n"/>
      <c r="K17" s="10" t="n"/>
      <c r="L17" s="10" t="n"/>
      <c r="M17" s="10" t="n"/>
      <c r="N17" s="10" t="n"/>
      <c r="O17" s="10" t="n"/>
      <c r="P17" s="18">
        <f>IF(COUNT(E17,H17,K17,N17)=0,"",SUM(E17,H17,K17,N17))</f>
        <v/>
      </c>
      <c r="Q17" s="18">
        <f>IF(COUNT(F17,I17,L17,O17)=0,"",SUM(F17,I17,L17,O17))</f>
        <v/>
      </c>
      <c r="R17" s="18">
        <f>IF(OR(P17="",Q17=""),"",Q17-P17)</f>
        <v/>
      </c>
      <c r="S17" s="18">
        <f>IF(M17&lt;&gt;"",M17,IF(J17&lt;&gt;"",J17,IF(G17&lt;&gt;"",G17,IF(D17&lt;&gt;"",D17,""))))</f>
        <v/>
      </c>
    </row>
    <row r="18">
      <c r="A18" s="15">
        <f>IF(Produits!$A$16="","",Produits!$A$16)</f>
        <v/>
      </c>
      <c r="B18" s="16">
        <f>IF(Produits!$A$16="","",Produits!$B$16)</f>
        <v/>
      </c>
      <c r="C18" s="17">
        <f>IF(Produits!$A$16="","",Produits!$C$16)</f>
        <v/>
      </c>
      <c r="D18" s="8" t="n">
        <v>6</v>
      </c>
      <c r="E18" s="8" t="n">
        <v>0</v>
      </c>
      <c r="F18" s="8" t="n">
        <v>0</v>
      </c>
      <c r="G18" s="8" t="n">
        <v>6</v>
      </c>
      <c r="H18" s="8" t="n">
        <v>0</v>
      </c>
      <c r="I18" s="8" t="n">
        <v>0</v>
      </c>
      <c r="J18" s="10" t="n"/>
      <c r="K18" s="10" t="n"/>
      <c r="L18" s="10" t="n"/>
      <c r="M18" s="10" t="n"/>
      <c r="N18" s="10" t="n"/>
      <c r="O18" s="10" t="n"/>
      <c r="P18" s="18">
        <f>IF(COUNT(E18,H18,K18,N18)=0,"",SUM(E18,H18,K18,N18))</f>
        <v/>
      </c>
      <c r="Q18" s="18">
        <f>IF(COUNT(F18,I18,L18,O18)=0,"",SUM(F18,I18,L18,O18))</f>
        <v/>
      </c>
      <c r="R18" s="18">
        <f>IF(OR(P18="",Q18=""),"",Q18-P18)</f>
        <v/>
      </c>
      <c r="S18" s="18">
        <f>IF(M18&lt;&gt;"",M18,IF(J18&lt;&gt;"",J18,IF(G18&lt;&gt;"",G18,IF(D18&lt;&gt;"",D18,""))))</f>
        <v/>
      </c>
    </row>
    <row r="19">
      <c r="A19" s="15">
        <f>IF(Produits!$A$17="","",Produits!$A$17)</f>
        <v/>
      </c>
      <c r="B19" s="16">
        <f>IF(Produits!$A$17="","",Produits!$B$17)</f>
        <v/>
      </c>
      <c r="C19" s="17">
        <f>IF(Produits!$A$17="","",Produits!$C$17)</f>
        <v/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8">
        <f>IF(COUNT(E19,H19,K19,N19)=0,"",SUM(E19,H19,K19,N19))</f>
        <v/>
      </c>
      <c r="Q19" s="18">
        <f>IF(COUNT(F19,I19,L19,O19)=0,"",SUM(F19,I19,L19,O19))</f>
        <v/>
      </c>
      <c r="R19" s="18">
        <f>IF(OR(P19="",Q19=""),"",Q19-P19)</f>
        <v/>
      </c>
      <c r="S19" s="18">
        <f>IF(M19&lt;&gt;"",M19,IF(J19&lt;&gt;"",J19,IF(G19&lt;&gt;"",G19,IF(D19&lt;&gt;"",D19,""))))</f>
        <v/>
      </c>
    </row>
    <row r="20">
      <c r="A20" s="15">
        <f>IF(Produits!$A$18="","",Produits!$A$18)</f>
        <v/>
      </c>
      <c r="B20" s="16">
        <f>IF(Produits!$A$18="","",Produits!$B$18)</f>
        <v/>
      </c>
      <c r="C20" s="17">
        <f>IF(Produits!$A$18="","",Produits!$C$18)</f>
        <v/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8">
        <f>IF(COUNT(E20,H20,K20,N20)=0,"",SUM(E20,H20,K20,N20))</f>
        <v/>
      </c>
      <c r="Q20" s="18">
        <f>IF(COUNT(F20,I20,L20,O20)=0,"",SUM(F20,I20,L20,O20))</f>
        <v/>
      </c>
      <c r="R20" s="18">
        <f>IF(OR(P20="",Q20=""),"",Q20-P20)</f>
        <v/>
      </c>
      <c r="S20" s="18">
        <f>IF(M20&lt;&gt;"",M20,IF(J20&lt;&gt;"",J20,IF(G20&lt;&gt;"",G20,IF(D20&lt;&gt;"",D20,""))))</f>
        <v/>
      </c>
    </row>
    <row r="21">
      <c r="A21" s="15">
        <f>IF(Produits!$A$19="","",Produits!$A$19)</f>
        <v/>
      </c>
      <c r="B21" s="16">
        <f>IF(Produits!$A$19="","",Produits!$B$19)</f>
        <v/>
      </c>
      <c r="C21" s="17">
        <f>IF(Produits!$A$19="","",Produits!$C$19)</f>
        <v/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8">
        <f>IF(COUNT(E21,H21,K21,N21)=0,"",SUM(E21,H21,K21,N21))</f>
        <v/>
      </c>
      <c r="Q21" s="18">
        <f>IF(COUNT(F21,I21,L21,O21)=0,"",SUM(F21,I21,L21,O21))</f>
        <v/>
      </c>
      <c r="R21" s="18">
        <f>IF(OR(P21="",Q21=""),"",Q21-P21)</f>
        <v/>
      </c>
      <c r="S21" s="18">
        <f>IF(M21&lt;&gt;"",M21,IF(J21&lt;&gt;"",J21,IF(G21&lt;&gt;"",G21,IF(D21&lt;&gt;"",D21,""))))</f>
        <v/>
      </c>
    </row>
    <row r="22">
      <c r="A22" s="15">
        <f>IF(Produits!$A$20="","",Produits!$A$20)</f>
        <v/>
      </c>
      <c r="B22" s="16">
        <f>IF(Produits!$A$20="","",Produits!$B$20)</f>
        <v/>
      </c>
      <c r="C22" s="17">
        <f>IF(Produits!$A$20="","",Produits!$C$20)</f>
        <v/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8">
        <f>IF(COUNT(E22,H22,K22,N22)=0,"",SUM(E22,H22,K22,N22))</f>
        <v/>
      </c>
      <c r="Q22" s="18">
        <f>IF(COUNT(F22,I22,L22,O22)=0,"",SUM(F22,I22,L22,O22))</f>
        <v/>
      </c>
      <c r="R22" s="18">
        <f>IF(OR(P22="",Q22=""),"",Q22-P22)</f>
        <v/>
      </c>
      <c r="S22" s="18">
        <f>IF(M22&lt;&gt;"",M22,IF(J22&lt;&gt;"",J22,IF(G22&lt;&gt;"",G22,IF(D22&lt;&gt;"",D22,""))))</f>
        <v/>
      </c>
    </row>
    <row r="23">
      <c r="A23" s="15">
        <f>IF(Produits!$A$21="","",Produits!$A$21)</f>
        <v/>
      </c>
      <c r="B23" s="16">
        <f>IF(Produits!$A$21="","",Produits!$B$21)</f>
        <v/>
      </c>
      <c r="C23" s="17">
        <f>IF(Produits!$A$21="","",Produits!$C$21)</f>
        <v/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8">
        <f>IF(COUNT(E23,H23,K23,N23)=0,"",SUM(E23,H23,K23,N23))</f>
        <v/>
      </c>
      <c r="Q23" s="18">
        <f>IF(COUNT(F23,I23,L23,O23)=0,"",SUM(F23,I23,L23,O23))</f>
        <v/>
      </c>
      <c r="R23" s="18">
        <f>IF(OR(P23="",Q23=""),"",Q23-P23)</f>
        <v/>
      </c>
      <c r="S23" s="18">
        <f>IF(M23&lt;&gt;"",M23,IF(J23&lt;&gt;"",J23,IF(G23&lt;&gt;"",G23,IF(D23&lt;&gt;"",D23,""))))</f>
        <v/>
      </c>
    </row>
    <row r="24">
      <c r="A24" s="15">
        <f>IF(Produits!$A$22="","",Produits!$A$22)</f>
        <v/>
      </c>
      <c r="B24" s="16">
        <f>IF(Produits!$A$22="","",Produits!$B$22)</f>
        <v/>
      </c>
      <c r="C24" s="17">
        <f>IF(Produits!$A$22="","",Produits!$C$22)</f>
        <v/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8">
        <f>IF(COUNT(E24,H24,K24,N24)=0,"",SUM(E24,H24,K24,N24))</f>
        <v/>
      </c>
      <c r="Q24" s="18">
        <f>IF(COUNT(F24,I24,L24,O24)=0,"",SUM(F24,I24,L24,O24))</f>
        <v/>
      </c>
      <c r="R24" s="18">
        <f>IF(OR(P24="",Q24=""),"",Q24-P24)</f>
        <v/>
      </c>
      <c r="S24" s="18">
        <f>IF(M24&lt;&gt;"",M24,IF(J24&lt;&gt;"",J24,IF(G24&lt;&gt;"",G24,IF(D24&lt;&gt;"",D24,""))))</f>
        <v/>
      </c>
    </row>
    <row r="25">
      <c r="A25" s="15">
        <f>IF(Produits!$A$23="","",Produits!$A$23)</f>
        <v/>
      </c>
      <c r="B25" s="16">
        <f>IF(Produits!$A$23="","",Produits!$B$23)</f>
        <v/>
      </c>
      <c r="C25" s="17">
        <f>IF(Produits!$A$23="","",Produits!$C$23)</f>
        <v/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8">
        <f>IF(COUNT(E25,H25,K25,N25)=0,"",SUM(E25,H25,K25,N25))</f>
        <v/>
      </c>
      <c r="Q25" s="18">
        <f>IF(COUNT(F25,I25,L25,O25)=0,"",SUM(F25,I25,L25,O25))</f>
        <v/>
      </c>
      <c r="R25" s="18">
        <f>IF(OR(P25="",Q25=""),"",Q25-P25)</f>
        <v/>
      </c>
      <c r="S25" s="18">
        <f>IF(M25&lt;&gt;"",M25,IF(J25&lt;&gt;"",J25,IF(G25&lt;&gt;"",G25,IF(D25&lt;&gt;"",D25,""))))</f>
        <v/>
      </c>
    </row>
    <row r="26">
      <c r="A26" s="15">
        <f>IF(Produits!$A$24="","",Produits!$A$24)</f>
        <v/>
      </c>
      <c r="B26" s="16">
        <f>IF(Produits!$A$24="","",Produits!$B$24)</f>
        <v/>
      </c>
      <c r="C26" s="17">
        <f>IF(Produits!$A$24="","",Produits!$C$24)</f>
        <v/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8">
        <f>IF(COUNT(E26,H26,K26,N26)=0,"",SUM(E26,H26,K26,N26))</f>
        <v/>
      </c>
      <c r="Q26" s="18">
        <f>IF(COUNT(F26,I26,L26,O26)=0,"",SUM(F26,I26,L26,O26))</f>
        <v/>
      </c>
      <c r="R26" s="18">
        <f>IF(OR(P26="",Q26=""),"",Q26-P26)</f>
        <v/>
      </c>
      <c r="S26" s="18">
        <f>IF(M26&lt;&gt;"",M26,IF(J26&lt;&gt;"",J26,IF(G26&lt;&gt;"",G26,IF(D26&lt;&gt;"",D26,""))))</f>
        <v/>
      </c>
    </row>
    <row r="27">
      <c r="A27" s="15">
        <f>IF(Produits!$A$25="","",Produits!$A$25)</f>
        <v/>
      </c>
      <c r="B27" s="16">
        <f>IF(Produits!$A$25="","",Produits!$B$25)</f>
        <v/>
      </c>
      <c r="C27" s="17">
        <f>IF(Produits!$A$25="","",Produits!$C$25)</f>
        <v/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8">
        <f>IF(COUNT(E27,H27,K27,N27)=0,"",SUM(E27,H27,K27,N27))</f>
        <v/>
      </c>
      <c r="Q27" s="18">
        <f>IF(COUNT(F27,I27,L27,O27)=0,"",SUM(F27,I27,L27,O27))</f>
        <v/>
      </c>
      <c r="R27" s="18">
        <f>IF(OR(P27="",Q27=""),"",Q27-P27)</f>
        <v/>
      </c>
      <c r="S27" s="18">
        <f>IF(M27&lt;&gt;"",M27,IF(J27&lt;&gt;"",J27,IF(G27&lt;&gt;"",G27,IF(D27&lt;&gt;"",D27,""))))</f>
        <v/>
      </c>
    </row>
    <row r="28">
      <c r="A28" s="15">
        <f>IF(Produits!$A$26="","",Produits!$A$26)</f>
        <v/>
      </c>
      <c r="B28" s="16">
        <f>IF(Produits!$A$26="","",Produits!$B$26)</f>
        <v/>
      </c>
      <c r="C28" s="17">
        <f>IF(Produits!$A$26="","",Produits!$C$26)</f>
        <v/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8">
        <f>IF(COUNT(E28,H28,K28,N28)=0,"",SUM(E28,H28,K28,N28))</f>
        <v/>
      </c>
      <c r="Q28" s="18">
        <f>IF(COUNT(F28,I28,L28,O28)=0,"",SUM(F28,I28,L28,O28))</f>
        <v/>
      </c>
      <c r="R28" s="18">
        <f>IF(OR(P28="",Q28=""),"",Q28-P28)</f>
        <v/>
      </c>
      <c r="S28" s="18">
        <f>IF(M28&lt;&gt;"",M28,IF(J28&lt;&gt;"",J28,IF(G28&lt;&gt;"",G28,IF(D28&lt;&gt;"",D28,""))))</f>
        <v/>
      </c>
    </row>
    <row r="29">
      <c r="A29" s="15">
        <f>IF(Produits!$A$27="","",Produits!$A$27)</f>
        <v/>
      </c>
      <c r="B29" s="16">
        <f>IF(Produits!$A$27="","",Produits!$B$27)</f>
        <v/>
      </c>
      <c r="C29" s="17">
        <f>IF(Produits!$A$27="","",Produits!$C$27)</f>
        <v/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8">
        <f>IF(COUNT(E29,H29,K29,N29)=0,"",SUM(E29,H29,K29,N29))</f>
        <v/>
      </c>
      <c r="Q29" s="18">
        <f>IF(COUNT(F29,I29,L29,O29)=0,"",SUM(F29,I29,L29,O29))</f>
        <v/>
      </c>
      <c r="R29" s="18">
        <f>IF(OR(P29="",Q29=""),"",Q29-P29)</f>
        <v/>
      </c>
      <c r="S29" s="18">
        <f>IF(M29&lt;&gt;"",M29,IF(J29&lt;&gt;"",J29,IF(G29&lt;&gt;"",G29,IF(D29&lt;&gt;"",D29,""))))</f>
        <v/>
      </c>
    </row>
    <row r="30">
      <c r="A30" s="15">
        <f>IF(Produits!$A$28="","",Produits!$A$28)</f>
        <v/>
      </c>
      <c r="B30" s="16">
        <f>IF(Produits!$A$28="","",Produits!$B$28)</f>
        <v/>
      </c>
      <c r="C30" s="17">
        <f>IF(Produits!$A$28="","",Produits!$C$28)</f>
        <v/>
      </c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8">
        <f>IF(COUNT(E30,H30,K30,N30)=0,"",SUM(E30,H30,K30,N30))</f>
        <v/>
      </c>
      <c r="Q30" s="18">
        <f>IF(COUNT(F30,I30,L30,O30)=0,"",SUM(F30,I30,L30,O30))</f>
        <v/>
      </c>
      <c r="R30" s="18">
        <f>IF(OR(P30="",Q30=""),"",Q30-P30)</f>
        <v/>
      </c>
      <c r="S30" s="18">
        <f>IF(M30&lt;&gt;"",M30,IF(J30&lt;&gt;"",J30,IF(G30&lt;&gt;"",G30,IF(D30&lt;&gt;"",D30,""))))</f>
        <v/>
      </c>
    </row>
    <row r="31">
      <c r="A31" s="15">
        <f>IF(Produits!$A$29="","",Produits!$A$29)</f>
        <v/>
      </c>
      <c r="B31" s="16">
        <f>IF(Produits!$A$29="","",Produits!$B$29)</f>
        <v/>
      </c>
      <c r="C31" s="17">
        <f>IF(Produits!$A$29="","",Produits!$C$29)</f>
        <v/>
      </c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8">
        <f>IF(COUNT(E31,H31,K31,N31)=0,"",SUM(E31,H31,K31,N31))</f>
        <v/>
      </c>
      <c r="Q31" s="18">
        <f>IF(COUNT(F31,I31,L31,O31)=0,"",SUM(F31,I31,L31,O31))</f>
        <v/>
      </c>
      <c r="R31" s="18">
        <f>IF(OR(P31="",Q31=""),"",Q31-P31)</f>
        <v/>
      </c>
      <c r="S31" s="18">
        <f>IF(M31&lt;&gt;"",M31,IF(J31&lt;&gt;"",J31,IF(G31&lt;&gt;"",G31,IF(D31&lt;&gt;"",D31,""))))</f>
        <v/>
      </c>
    </row>
    <row r="32">
      <c r="A32" s="15">
        <f>IF(Produits!$A$30="","",Produits!$A$30)</f>
        <v/>
      </c>
      <c r="B32" s="16">
        <f>IF(Produits!$A$30="","",Produits!$B$30)</f>
        <v/>
      </c>
      <c r="C32" s="17">
        <f>IF(Produits!$A$30="","",Produits!$C$30)</f>
        <v/>
      </c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8">
        <f>IF(COUNT(E32,H32,K32,N32)=0,"",SUM(E32,H32,K32,N32))</f>
        <v/>
      </c>
      <c r="Q32" s="18">
        <f>IF(COUNT(F32,I32,L32,O32)=0,"",SUM(F32,I32,L32,O32))</f>
        <v/>
      </c>
      <c r="R32" s="18">
        <f>IF(OR(P32="",Q32=""),"",Q32-P32)</f>
        <v/>
      </c>
      <c r="S32" s="18">
        <f>IF(M32&lt;&gt;"",M32,IF(J32&lt;&gt;"",J32,IF(G32&lt;&gt;"",G32,IF(D32&lt;&gt;"",D32,""))))</f>
        <v/>
      </c>
    </row>
    <row r="33">
      <c r="A33" s="15">
        <f>IF(Produits!$A$31="","",Produits!$A$31)</f>
        <v/>
      </c>
      <c r="B33" s="16">
        <f>IF(Produits!$A$31="","",Produits!$B$31)</f>
        <v/>
      </c>
      <c r="C33" s="17">
        <f>IF(Produits!$A$31="","",Produits!$C$31)</f>
        <v/>
      </c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8">
        <f>IF(COUNT(E33,H33,K33,N33)=0,"",SUM(E33,H33,K33,N33))</f>
        <v/>
      </c>
      <c r="Q33" s="18">
        <f>IF(COUNT(F33,I33,L33,O33)=0,"",SUM(F33,I33,L33,O33))</f>
        <v/>
      </c>
      <c r="R33" s="18">
        <f>IF(OR(P33="",Q33=""),"",Q33-P33)</f>
        <v/>
      </c>
      <c r="S33" s="18">
        <f>IF(M33&lt;&gt;"",M33,IF(J33&lt;&gt;"",J33,IF(G33&lt;&gt;"",G33,IF(D33&lt;&gt;"",D33,""))))</f>
        <v/>
      </c>
    </row>
    <row r="34">
      <c r="A34" s="15">
        <f>IF(Produits!$A$32="","",Produits!$A$32)</f>
        <v/>
      </c>
      <c r="B34" s="16">
        <f>IF(Produits!$A$32="","",Produits!$B$32)</f>
        <v/>
      </c>
      <c r="C34" s="17">
        <f>IF(Produits!$A$32="","",Produits!$C$32)</f>
        <v/>
      </c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8">
        <f>IF(COUNT(E34,H34,K34,N34)=0,"",SUM(E34,H34,K34,N34))</f>
        <v/>
      </c>
      <c r="Q34" s="18">
        <f>IF(COUNT(F34,I34,L34,O34)=0,"",SUM(F34,I34,L34,O34))</f>
        <v/>
      </c>
      <c r="R34" s="18">
        <f>IF(OR(P34="",Q34=""),"",Q34-P34)</f>
        <v/>
      </c>
      <c r="S34" s="18">
        <f>IF(M34&lt;&gt;"",M34,IF(J34&lt;&gt;"",J34,IF(G34&lt;&gt;"",G34,IF(D34&lt;&gt;"",D34,""))))</f>
        <v/>
      </c>
    </row>
    <row r="35">
      <c r="A35" s="15">
        <f>IF(Produits!$A$33="","",Produits!$A$33)</f>
        <v/>
      </c>
      <c r="B35" s="16">
        <f>IF(Produits!$A$33="","",Produits!$B$33)</f>
        <v/>
      </c>
      <c r="C35" s="17">
        <f>IF(Produits!$A$33="","",Produits!$C$33)</f>
        <v/>
      </c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8">
        <f>IF(COUNT(E35,H35,K35,N35)=0,"",SUM(E35,H35,K35,N35))</f>
        <v/>
      </c>
      <c r="Q35" s="18">
        <f>IF(COUNT(F35,I35,L35,O35)=0,"",SUM(F35,I35,L35,O35))</f>
        <v/>
      </c>
      <c r="R35" s="18">
        <f>IF(OR(P35="",Q35=""),"",Q35-P35)</f>
        <v/>
      </c>
      <c r="S35" s="18">
        <f>IF(M35&lt;&gt;"",M35,IF(J35&lt;&gt;"",J35,IF(G35&lt;&gt;"",G35,IF(D35&lt;&gt;"",D35,""))))</f>
        <v/>
      </c>
    </row>
    <row r="36">
      <c r="A36" s="15">
        <f>IF(Produits!$A$34="","",Produits!$A$34)</f>
        <v/>
      </c>
      <c r="B36" s="16">
        <f>IF(Produits!$A$34="","",Produits!$B$34)</f>
        <v/>
      </c>
      <c r="C36" s="17">
        <f>IF(Produits!$A$34="","",Produits!$C$34)</f>
        <v/>
      </c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8">
        <f>IF(COUNT(E36,H36,K36,N36)=0,"",SUM(E36,H36,K36,N36))</f>
        <v/>
      </c>
      <c r="Q36" s="18">
        <f>IF(COUNT(F36,I36,L36,O36)=0,"",SUM(F36,I36,L36,O36))</f>
        <v/>
      </c>
      <c r="R36" s="18">
        <f>IF(OR(P36="",Q36=""),"",Q36-P36)</f>
        <v/>
      </c>
      <c r="S36" s="18">
        <f>IF(M36&lt;&gt;"",M36,IF(J36&lt;&gt;"",J36,IF(G36&lt;&gt;"",G36,IF(D36&lt;&gt;"",D36,""))))</f>
        <v/>
      </c>
    </row>
    <row r="37">
      <c r="A37" s="15">
        <f>IF(Produits!$A$35="","",Produits!$A$35)</f>
        <v/>
      </c>
      <c r="B37" s="16">
        <f>IF(Produits!$A$35="","",Produits!$B$35)</f>
        <v/>
      </c>
      <c r="C37" s="17">
        <f>IF(Produits!$A$35="","",Produits!$C$35)</f>
        <v/>
      </c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8">
        <f>IF(COUNT(E37,H37,K37,N37)=0,"",SUM(E37,H37,K37,N37))</f>
        <v/>
      </c>
      <c r="Q37" s="18">
        <f>IF(COUNT(F37,I37,L37,O37)=0,"",SUM(F37,I37,L37,O37))</f>
        <v/>
      </c>
      <c r="R37" s="18">
        <f>IF(OR(P37="",Q37=""),"",Q37-P37)</f>
        <v/>
      </c>
      <c r="S37" s="18">
        <f>IF(M37&lt;&gt;"",M37,IF(J37&lt;&gt;"",J37,IF(G37&lt;&gt;"",G37,IF(D37&lt;&gt;"",D37,""))))</f>
        <v/>
      </c>
    </row>
    <row r="38">
      <c r="A38" s="15">
        <f>IF(Produits!$A$36="","",Produits!$A$36)</f>
        <v/>
      </c>
      <c r="B38" s="16">
        <f>IF(Produits!$A$36="","",Produits!$B$36)</f>
        <v/>
      </c>
      <c r="C38" s="17">
        <f>IF(Produits!$A$36="","",Produits!$C$36)</f>
        <v/>
      </c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8">
        <f>IF(COUNT(E38,H38,K38,N38)=0,"",SUM(E38,H38,K38,N38))</f>
        <v/>
      </c>
      <c r="Q38" s="18">
        <f>IF(COUNT(F38,I38,L38,O38)=0,"",SUM(F38,I38,L38,O38))</f>
        <v/>
      </c>
      <c r="R38" s="18">
        <f>IF(OR(P38="",Q38=""),"",Q38-P38)</f>
        <v/>
      </c>
      <c r="S38" s="18">
        <f>IF(M38&lt;&gt;"",M38,IF(J38&lt;&gt;"",J38,IF(G38&lt;&gt;"",G38,IF(D38&lt;&gt;"",D38,""))))</f>
        <v/>
      </c>
    </row>
    <row r="39">
      <c r="A39" s="15">
        <f>IF(Produits!$A$37="","",Produits!$A$37)</f>
        <v/>
      </c>
      <c r="B39" s="16">
        <f>IF(Produits!$A$37="","",Produits!$B$37)</f>
        <v/>
      </c>
      <c r="C39" s="17">
        <f>IF(Produits!$A$37="","",Produits!$C$37)</f>
        <v/>
      </c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8">
        <f>IF(COUNT(E39,H39,K39,N39)=0,"",SUM(E39,H39,K39,N39))</f>
        <v/>
      </c>
      <c r="Q39" s="18">
        <f>IF(COUNT(F39,I39,L39,O39)=0,"",SUM(F39,I39,L39,O39))</f>
        <v/>
      </c>
      <c r="R39" s="18">
        <f>IF(OR(P39="",Q39=""),"",Q39-P39)</f>
        <v/>
      </c>
      <c r="S39" s="18">
        <f>IF(M39&lt;&gt;"",M39,IF(J39&lt;&gt;"",J39,IF(G39&lt;&gt;"",G39,IF(D39&lt;&gt;"",D39,""))))</f>
        <v/>
      </c>
    </row>
    <row r="40">
      <c r="A40" s="15">
        <f>IF(Produits!$A$38="","",Produits!$A$38)</f>
        <v/>
      </c>
      <c r="B40" s="16">
        <f>IF(Produits!$A$38="","",Produits!$B$38)</f>
        <v/>
      </c>
      <c r="C40" s="17">
        <f>IF(Produits!$A$38="","",Produits!$C$38)</f>
        <v/>
      </c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8">
        <f>IF(COUNT(E40,H40,K40,N40)=0,"",SUM(E40,H40,K40,N40))</f>
        <v/>
      </c>
      <c r="Q40" s="18">
        <f>IF(COUNT(F40,I40,L40,O40)=0,"",SUM(F40,I40,L40,O40))</f>
        <v/>
      </c>
      <c r="R40" s="18">
        <f>IF(OR(P40="",Q40=""),"",Q40-P40)</f>
        <v/>
      </c>
      <c r="S40" s="18">
        <f>IF(M40&lt;&gt;"",M40,IF(J40&lt;&gt;"",J40,IF(G40&lt;&gt;"",G40,IF(D40&lt;&gt;"",D40,""))))</f>
        <v/>
      </c>
    </row>
    <row r="41">
      <c r="A41" s="15">
        <f>IF(Produits!$A$39="","",Produits!$A$39)</f>
        <v/>
      </c>
      <c r="B41" s="16">
        <f>IF(Produits!$A$39="","",Produits!$B$39)</f>
        <v/>
      </c>
      <c r="C41" s="17">
        <f>IF(Produits!$A$39="","",Produits!$C$39)</f>
        <v/>
      </c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8">
        <f>IF(COUNT(E41,H41,K41,N41)=0,"",SUM(E41,H41,K41,N41))</f>
        <v/>
      </c>
      <c r="Q41" s="18">
        <f>IF(COUNT(F41,I41,L41,O41)=0,"",SUM(F41,I41,L41,O41))</f>
        <v/>
      </c>
      <c r="R41" s="18">
        <f>IF(OR(P41="",Q41=""),"",Q41-P41)</f>
        <v/>
      </c>
      <c r="S41" s="18">
        <f>IF(M41&lt;&gt;"",M41,IF(J41&lt;&gt;"",J41,IF(G41&lt;&gt;"",G41,IF(D41&lt;&gt;"",D41,""))))</f>
        <v/>
      </c>
    </row>
    <row r="42">
      <c r="A42" s="15">
        <f>IF(Produits!$A$40="","",Produits!$A$40)</f>
        <v/>
      </c>
      <c r="B42" s="16">
        <f>IF(Produits!$A$40="","",Produits!$B$40)</f>
        <v/>
      </c>
      <c r="C42" s="17">
        <f>IF(Produits!$A$40="","",Produits!$C$40)</f>
        <v/>
      </c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8">
        <f>IF(COUNT(E42,H42,K42,N42)=0,"",SUM(E42,H42,K42,N42))</f>
        <v/>
      </c>
      <c r="Q42" s="18">
        <f>IF(COUNT(F42,I42,L42,O42)=0,"",SUM(F42,I42,L42,O42))</f>
        <v/>
      </c>
      <c r="R42" s="18">
        <f>IF(OR(P42="",Q42=""),"",Q42-P42)</f>
        <v/>
      </c>
      <c r="S42" s="18">
        <f>IF(M42&lt;&gt;"",M42,IF(J42&lt;&gt;"",J42,IF(G42&lt;&gt;"",G42,IF(D42&lt;&gt;"",D42,""))))</f>
        <v/>
      </c>
    </row>
    <row r="43">
      <c r="A43" s="15">
        <f>IF(Produits!$A$41="","",Produits!$A$41)</f>
        <v/>
      </c>
      <c r="B43" s="16">
        <f>IF(Produits!$A$41="","",Produits!$B$41)</f>
        <v/>
      </c>
      <c r="C43" s="17">
        <f>IF(Produits!$A$41="","",Produits!$C$41)</f>
        <v/>
      </c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8">
        <f>IF(COUNT(E43,H43,K43,N43)=0,"",SUM(E43,H43,K43,N43))</f>
        <v/>
      </c>
      <c r="Q43" s="18">
        <f>IF(COUNT(F43,I43,L43,O43)=0,"",SUM(F43,I43,L43,O43))</f>
        <v/>
      </c>
      <c r="R43" s="18">
        <f>IF(OR(P43="",Q43=""),"",Q43-P43)</f>
        <v/>
      </c>
      <c r="S43" s="18">
        <f>IF(M43&lt;&gt;"",M43,IF(J43&lt;&gt;"",J43,IF(G43&lt;&gt;"",G43,IF(D43&lt;&gt;"",D43,""))))</f>
        <v/>
      </c>
    </row>
    <row r="44">
      <c r="A44" s="15">
        <f>IF(Produits!$A$42="","",Produits!$A$42)</f>
        <v/>
      </c>
      <c r="B44" s="16">
        <f>IF(Produits!$A$42="","",Produits!$B$42)</f>
        <v/>
      </c>
      <c r="C44" s="17">
        <f>IF(Produits!$A$42="","",Produits!$C$42)</f>
        <v/>
      </c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8">
        <f>IF(COUNT(E44,H44,K44,N44)=0,"",SUM(E44,H44,K44,N44))</f>
        <v/>
      </c>
      <c r="Q44" s="18">
        <f>IF(COUNT(F44,I44,L44,O44)=0,"",SUM(F44,I44,L44,O44))</f>
        <v/>
      </c>
      <c r="R44" s="18">
        <f>IF(OR(P44="",Q44=""),"",Q44-P44)</f>
        <v/>
      </c>
      <c r="S44" s="18">
        <f>IF(M44&lt;&gt;"",M44,IF(J44&lt;&gt;"",J44,IF(G44&lt;&gt;"",G44,IF(D44&lt;&gt;"",D44,""))))</f>
        <v/>
      </c>
    </row>
    <row r="45">
      <c r="A45" s="15">
        <f>IF(Produits!$A$43="","",Produits!$A$43)</f>
        <v/>
      </c>
      <c r="B45" s="16">
        <f>IF(Produits!$A$43="","",Produits!$B$43)</f>
        <v/>
      </c>
      <c r="C45" s="17">
        <f>IF(Produits!$A$43="","",Produits!$C$43)</f>
        <v/>
      </c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8">
        <f>IF(COUNT(E45,H45,K45,N45)=0,"",SUM(E45,H45,K45,N45))</f>
        <v/>
      </c>
      <c r="Q45" s="18">
        <f>IF(COUNT(F45,I45,L45,O45)=0,"",SUM(F45,I45,L45,O45))</f>
        <v/>
      </c>
      <c r="R45" s="18">
        <f>IF(OR(P45="",Q45=""),"",Q45-P45)</f>
        <v/>
      </c>
      <c r="S45" s="18">
        <f>IF(M45&lt;&gt;"",M45,IF(J45&lt;&gt;"",J45,IF(G45&lt;&gt;"",G45,IF(D45&lt;&gt;"",D45,""))))</f>
        <v/>
      </c>
    </row>
    <row r="46">
      <c r="A46" s="15">
        <f>IF(Produits!$A$44="","",Produits!$A$44)</f>
        <v/>
      </c>
      <c r="B46" s="16">
        <f>IF(Produits!$A$44="","",Produits!$B$44)</f>
        <v/>
      </c>
      <c r="C46" s="17">
        <f>IF(Produits!$A$44="","",Produits!$C$44)</f>
        <v/>
      </c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8">
        <f>IF(COUNT(E46,H46,K46,N46)=0,"",SUM(E46,H46,K46,N46))</f>
        <v/>
      </c>
      <c r="Q46" s="18">
        <f>IF(COUNT(F46,I46,L46,O46)=0,"",SUM(F46,I46,L46,O46))</f>
        <v/>
      </c>
      <c r="R46" s="18">
        <f>IF(OR(P46="",Q46=""),"",Q46-P46)</f>
        <v/>
      </c>
      <c r="S46" s="18">
        <f>IF(M46&lt;&gt;"",M46,IF(J46&lt;&gt;"",J46,IF(G46&lt;&gt;"",G46,IF(D46&lt;&gt;"",D46,""))))</f>
        <v/>
      </c>
    </row>
  </sheetData>
  <mergeCells count="12">
    <mergeCell ref="J5:L5"/>
    <mergeCell ref="A4:A6"/>
    <mergeCell ref="D5:F5"/>
    <mergeCell ref="B4:B6"/>
    <mergeCell ref="G5:I5"/>
    <mergeCell ref="D4:F4"/>
    <mergeCell ref="M4:O4"/>
    <mergeCell ref="M5:O5"/>
    <mergeCell ref="G4:I4"/>
    <mergeCell ref="J4:L4"/>
    <mergeCell ref="P4:S5"/>
    <mergeCell ref="C4:C6"/>
  </mergeCells>
  <conditionalFormatting sqref="R7:R46">
    <cfRule type="expression" priority="1" dxfId="0">
      <formula>AND(ISNUMBER(R7),R7&lt;0)</formula>
    </cfRule>
  </conditionalFormatting>
  <dataValidations count="12">
    <dataValidation sqref="D7:D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E7:E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F7:F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G7:G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H7:H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I7:I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J7:J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K7:K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L7:L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M7:M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N7:N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O7:O46" showDropDown="0" showInputMessage="0" showErrorMessage="1" allowBlank="1" errorTitle="Valeur invalide" error="Entre un nombre positif (ou laisse vide)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12" customWidth="1" min="4" max="4"/>
    <col width="13" customWidth="1" min="5" max="5"/>
    <col width="14" customWidth="1" min="6" max="6"/>
    <col width="11" customWidth="1" min="7" max="7"/>
  </cols>
  <sheetData>
    <row r="1" ht="26" customHeight="1">
      <c r="A1" s="1" t="inlineStr">
        <is>
          <t>Dates limites (DLC)</t>
        </is>
      </c>
    </row>
    <row r="2">
      <c r="A2" s="2" t="inlineStr">
        <is>
          <t>Jours restants calculés à partir de la date du jour</t>
        </is>
      </c>
    </row>
    <row r="4">
      <c r="A4" s="6" t="inlineStr">
        <is>
          <t>Reçu le</t>
        </is>
      </c>
      <c r="B4" s="6" t="inlineStr">
        <is>
          <t>Produit</t>
        </is>
      </c>
      <c r="C4" s="6" t="inlineStr">
        <is>
          <t>Quantité</t>
        </is>
      </c>
      <c r="D4" s="6" t="inlineStr">
        <is>
          <t>DLC</t>
        </is>
      </c>
      <c r="E4" s="6" t="inlineStr">
        <is>
          <t>Jours restants</t>
        </is>
      </c>
      <c r="F4" s="6" t="inlineStr">
        <is>
          <t>État</t>
        </is>
      </c>
      <c r="G4" s="6" t="inlineStr">
        <is>
          <t>Terminé ?</t>
        </is>
      </c>
    </row>
    <row r="5">
      <c r="A5" s="19">
        <f>TODAY()-3</f>
        <v/>
      </c>
      <c r="B5" s="7" t="inlineStr">
        <is>
          <t>Crème liquide 35%</t>
        </is>
      </c>
      <c r="C5" s="8" t="n">
        <v>6</v>
      </c>
      <c r="D5" s="19">
        <f>TODAY()+1</f>
        <v/>
      </c>
      <c r="E5" s="20">
        <f>IF(D5="","",D5-TODAY())</f>
        <v/>
      </c>
      <c r="F5" s="20">
        <f>IF(E5="","",IF(G5="Oui","Terminé",IF(E5&lt;0,"PÉRIMÉ",IF(E5&lt;=1,"AUJOURD'HUI",IF(E5&lt;=3,"BIENTÔT","OK")))))</f>
        <v/>
      </c>
      <c r="G5" s="8" t="inlineStr">
        <is>
          <t>Non</t>
        </is>
      </c>
    </row>
    <row r="6">
      <c r="A6" s="19">
        <f>TODAY()-3</f>
        <v/>
      </c>
      <c r="B6" s="7" t="inlineStr">
        <is>
          <t>Oeufs</t>
        </is>
      </c>
      <c r="C6" s="8" t="n">
        <v>90</v>
      </c>
      <c r="D6" s="19">
        <f>TODAY()+12</f>
        <v/>
      </c>
      <c r="E6" s="20">
        <f>IF(D6="","",D6-TODAY())</f>
        <v/>
      </c>
      <c r="F6" s="20">
        <f>IF(E6="","",IF(G6="Oui","Terminé",IF(E6&lt;0,"PÉRIMÉ",IF(E6&lt;=1,"AUJOURD'HUI",IF(E6&lt;=3,"BIENTÔT","OK")))))</f>
        <v/>
      </c>
      <c r="G6" s="8" t="inlineStr">
        <is>
          <t>Non</t>
        </is>
      </c>
    </row>
    <row r="7">
      <c r="A7" s="19">
        <f>TODAY()-3</f>
        <v/>
      </c>
      <c r="B7" s="7" t="inlineStr">
        <is>
          <t>Lait entier</t>
        </is>
      </c>
      <c r="C7" s="8" t="n">
        <v>6</v>
      </c>
      <c r="D7" s="19">
        <f>TODAY()+3</f>
        <v/>
      </c>
      <c r="E7" s="20">
        <f>IF(D7="","",D7-TODAY())</f>
        <v/>
      </c>
      <c r="F7" s="20">
        <f>IF(E7="","",IF(G7="Oui","Terminé",IF(E7&lt;0,"PÉRIMÉ",IF(E7&lt;=1,"AUJOURD'HUI",IF(E7&lt;=3,"BIENTÔT","OK")))))</f>
        <v/>
      </c>
      <c r="G7" s="8" t="inlineStr">
        <is>
          <t>Non</t>
        </is>
      </c>
    </row>
    <row r="8">
      <c r="A8" s="19">
        <f>TODAY()-3</f>
        <v/>
      </c>
      <c r="B8" s="7" t="inlineStr">
        <is>
          <t>Beurre doux</t>
        </is>
      </c>
      <c r="C8" s="8" t="n">
        <v>5</v>
      </c>
      <c r="D8" s="19">
        <f>TODAY()+20</f>
        <v/>
      </c>
      <c r="E8" s="20">
        <f>IF(D8="","",D8-TODAY())</f>
        <v/>
      </c>
      <c r="F8" s="20">
        <f>IF(E8="","",IF(G8="Oui","Terminé",IF(E8&lt;0,"PÉRIMÉ",IF(E8&lt;=1,"AUJOURD'HUI",IF(E8&lt;=3,"BIENTÔT","OK")))))</f>
        <v/>
      </c>
      <c r="G8" s="8" t="inlineStr">
        <is>
          <t>Non</t>
        </is>
      </c>
    </row>
    <row r="9">
      <c r="A9" s="19">
        <f>TODAY()-10</f>
        <v/>
      </c>
      <c r="B9" s="7" t="inlineStr">
        <is>
          <t>Crème liquide 35%</t>
        </is>
      </c>
      <c r="C9" s="8" t="n">
        <v>6</v>
      </c>
      <c r="D9" s="19">
        <f>TODAY()-2</f>
        <v/>
      </c>
      <c r="E9" s="20">
        <f>IF(D9="","",D9-TODAY())</f>
        <v/>
      </c>
      <c r="F9" s="20">
        <f>IF(E9="","",IF(G9="Oui","Terminé",IF(E9&lt;0,"PÉRIMÉ",IF(E9&lt;=1,"AUJOURD'HUI",IF(E9&lt;=3,"BIENTÔT","OK")))))</f>
        <v/>
      </c>
      <c r="G9" s="8" t="inlineStr">
        <is>
          <t>Oui</t>
        </is>
      </c>
    </row>
    <row r="10">
      <c r="A10" s="12" t="n"/>
      <c r="B10" s="9" t="n"/>
      <c r="C10" s="10" t="n"/>
      <c r="D10" s="12" t="n"/>
      <c r="E10" s="20">
        <f>IF(D10="","",D10-TODAY())</f>
        <v/>
      </c>
      <c r="F10" s="20">
        <f>IF(E10="","",IF(G10="Oui","Terminé",IF(E10&lt;0,"PÉRIMÉ",IF(E10&lt;=1,"AUJOURD'HUI",IF(E10&lt;=3,"BIENTÔT","OK")))))</f>
        <v/>
      </c>
      <c r="G10" s="10" t="n"/>
    </row>
    <row r="11">
      <c r="A11" s="12" t="n"/>
      <c r="B11" s="9" t="n"/>
      <c r="C11" s="10" t="n"/>
      <c r="D11" s="12" t="n"/>
      <c r="E11" s="20">
        <f>IF(D11="","",D11-TODAY())</f>
        <v/>
      </c>
      <c r="F11" s="20">
        <f>IF(E11="","",IF(G11="Oui","Terminé",IF(E11&lt;0,"PÉRIMÉ",IF(E11&lt;=1,"AUJOURD'HUI",IF(E11&lt;=3,"BIENTÔT","OK")))))</f>
        <v/>
      </c>
      <c r="G11" s="10" t="n"/>
    </row>
    <row r="12">
      <c r="A12" s="12" t="n"/>
      <c r="B12" s="9" t="n"/>
      <c r="C12" s="10" t="n"/>
      <c r="D12" s="12" t="n"/>
      <c r="E12" s="20">
        <f>IF(D12="","",D12-TODAY())</f>
        <v/>
      </c>
      <c r="F12" s="20">
        <f>IF(E12="","",IF(G12="Oui","Terminé",IF(E12&lt;0,"PÉRIMÉ",IF(E12&lt;=1,"AUJOURD'HUI",IF(E12&lt;=3,"BIENTÔT","OK")))))</f>
        <v/>
      </c>
      <c r="G12" s="10" t="n"/>
    </row>
    <row r="13">
      <c r="A13" s="12" t="n"/>
      <c r="B13" s="9" t="n"/>
      <c r="C13" s="10" t="n"/>
      <c r="D13" s="12" t="n"/>
      <c r="E13" s="20">
        <f>IF(D13="","",D13-TODAY())</f>
        <v/>
      </c>
      <c r="F13" s="20">
        <f>IF(E13="","",IF(G13="Oui","Terminé",IF(E13&lt;0,"PÉRIMÉ",IF(E13&lt;=1,"AUJOURD'HUI",IF(E13&lt;=3,"BIENTÔT","OK")))))</f>
        <v/>
      </c>
      <c r="G13" s="10" t="n"/>
    </row>
    <row r="14">
      <c r="A14" s="12" t="n"/>
      <c r="B14" s="9" t="n"/>
      <c r="C14" s="10" t="n"/>
      <c r="D14" s="12" t="n"/>
      <c r="E14" s="20">
        <f>IF(D14="","",D14-TODAY())</f>
        <v/>
      </c>
      <c r="F14" s="20">
        <f>IF(E14="","",IF(G14="Oui","Terminé",IF(E14&lt;0,"PÉRIMÉ",IF(E14&lt;=1,"AUJOURD'HUI",IF(E14&lt;=3,"BIENTÔT","OK")))))</f>
        <v/>
      </c>
      <c r="G14" s="10" t="n"/>
    </row>
    <row r="15">
      <c r="A15" s="12" t="n"/>
      <c r="B15" s="9" t="n"/>
      <c r="C15" s="10" t="n"/>
      <c r="D15" s="12" t="n"/>
      <c r="E15" s="20">
        <f>IF(D15="","",D15-TODAY())</f>
        <v/>
      </c>
      <c r="F15" s="20">
        <f>IF(E15="","",IF(G15="Oui","Terminé",IF(E15&lt;0,"PÉRIMÉ",IF(E15&lt;=1,"AUJOURD'HUI",IF(E15&lt;=3,"BIENTÔT","OK")))))</f>
        <v/>
      </c>
      <c r="G15" s="10" t="n"/>
    </row>
    <row r="16">
      <c r="A16" s="12" t="n"/>
      <c r="B16" s="9" t="n"/>
      <c r="C16" s="10" t="n"/>
      <c r="D16" s="12" t="n"/>
      <c r="E16" s="20">
        <f>IF(D16="","",D16-TODAY())</f>
        <v/>
      </c>
      <c r="F16" s="20">
        <f>IF(E16="","",IF(G16="Oui","Terminé",IF(E16&lt;0,"PÉRIMÉ",IF(E16&lt;=1,"AUJOURD'HUI",IF(E16&lt;=3,"BIENTÔT","OK")))))</f>
        <v/>
      </c>
      <c r="G16" s="10" t="n"/>
    </row>
    <row r="17">
      <c r="A17" s="12" t="n"/>
      <c r="B17" s="9" t="n"/>
      <c r="C17" s="10" t="n"/>
      <c r="D17" s="12" t="n"/>
      <c r="E17" s="20">
        <f>IF(D17="","",D17-TODAY())</f>
        <v/>
      </c>
      <c r="F17" s="20">
        <f>IF(E17="","",IF(G17="Oui","Terminé",IF(E17&lt;0,"PÉRIMÉ",IF(E17&lt;=1,"AUJOURD'HUI",IF(E17&lt;=3,"BIENTÔT","OK")))))</f>
        <v/>
      </c>
      <c r="G17" s="10" t="n"/>
    </row>
    <row r="18">
      <c r="A18" s="12" t="n"/>
      <c r="B18" s="9" t="n"/>
      <c r="C18" s="10" t="n"/>
      <c r="D18" s="12" t="n"/>
      <c r="E18" s="20">
        <f>IF(D18="","",D18-TODAY())</f>
        <v/>
      </c>
      <c r="F18" s="20">
        <f>IF(E18="","",IF(G18="Oui","Terminé",IF(E18&lt;0,"PÉRIMÉ",IF(E18&lt;=1,"AUJOURD'HUI",IF(E18&lt;=3,"BIENTÔT","OK")))))</f>
        <v/>
      </c>
      <c r="G18" s="10" t="n"/>
    </row>
    <row r="19">
      <c r="A19" s="12" t="n"/>
      <c r="B19" s="9" t="n"/>
      <c r="C19" s="10" t="n"/>
      <c r="D19" s="12" t="n"/>
      <c r="E19" s="20">
        <f>IF(D19="","",D19-TODAY())</f>
        <v/>
      </c>
      <c r="F19" s="20">
        <f>IF(E19="","",IF(G19="Oui","Terminé",IF(E19&lt;0,"PÉRIMÉ",IF(E19&lt;=1,"AUJOURD'HUI",IF(E19&lt;=3,"BIENTÔT","OK")))))</f>
        <v/>
      </c>
      <c r="G19" s="10" t="n"/>
    </row>
    <row r="20">
      <c r="A20" s="12" t="n"/>
      <c r="B20" s="9" t="n"/>
      <c r="C20" s="10" t="n"/>
      <c r="D20" s="12" t="n"/>
      <c r="E20" s="20">
        <f>IF(D20="","",D20-TODAY())</f>
        <v/>
      </c>
      <c r="F20" s="20">
        <f>IF(E20="","",IF(G20="Oui","Terminé",IF(E20&lt;0,"PÉRIMÉ",IF(E20&lt;=1,"AUJOURD'HUI",IF(E20&lt;=3,"BIENTÔT","OK")))))</f>
        <v/>
      </c>
      <c r="G20" s="10" t="n"/>
    </row>
    <row r="21">
      <c r="A21" s="12" t="n"/>
      <c r="B21" s="9" t="n"/>
      <c r="C21" s="10" t="n"/>
      <c r="D21" s="12" t="n"/>
      <c r="E21" s="20">
        <f>IF(D21="","",D21-TODAY())</f>
        <v/>
      </c>
      <c r="F21" s="20">
        <f>IF(E21="","",IF(G21="Oui","Terminé",IF(E21&lt;0,"PÉRIMÉ",IF(E21&lt;=1,"AUJOURD'HUI",IF(E21&lt;=3,"BIENTÔT","OK")))))</f>
        <v/>
      </c>
      <c r="G21" s="10" t="n"/>
    </row>
    <row r="22">
      <c r="A22" s="12" t="n"/>
      <c r="B22" s="9" t="n"/>
      <c r="C22" s="10" t="n"/>
      <c r="D22" s="12" t="n"/>
      <c r="E22" s="20">
        <f>IF(D22="","",D22-TODAY())</f>
        <v/>
      </c>
      <c r="F22" s="20">
        <f>IF(E22="","",IF(G22="Oui","Terminé",IF(E22&lt;0,"PÉRIMÉ",IF(E22&lt;=1,"AUJOURD'HUI",IF(E22&lt;=3,"BIENTÔT","OK")))))</f>
        <v/>
      </c>
      <c r="G22" s="10" t="n"/>
    </row>
    <row r="23">
      <c r="A23" s="12" t="n"/>
      <c r="B23" s="9" t="n"/>
      <c r="C23" s="10" t="n"/>
      <c r="D23" s="12" t="n"/>
      <c r="E23" s="20">
        <f>IF(D23="","",D23-TODAY())</f>
        <v/>
      </c>
      <c r="F23" s="20">
        <f>IF(E23="","",IF(G23="Oui","Terminé",IF(E23&lt;0,"PÉRIMÉ",IF(E23&lt;=1,"AUJOURD'HUI",IF(E23&lt;=3,"BIENTÔT","OK")))))</f>
        <v/>
      </c>
      <c r="G23" s="10" t="n"/>
    </row>
    <row r="24">
      <c r="A24" s="12" t="n"/>
      <c r="B24" s="9" t="n"/>
      <c r="C24" s="10" t="n"/>
      <c r="D24" s="12" t="n"/>
      <c r="E24" s="20">
        <f>IF(D24="","",D24-TODAY())</f>
        <v/>
      </c>
      <c r="F24" s="20">
        <f>IF(E24="","",IF(G24="Oui","Terminé",IF(E24&lt;0,"PÉRIMÉ",IF(E24&lt;=1,"AUJOURD'HUI",IF(E24&lt;=3,"BIENTÔT","OK")))))</f>
        <v/>
      </c>
      <c r="G24" s="10" t="n"/>
    </row>
    <row r="25">
      <c r="A25" s="12" t="n"/>
      <c r="B25" s="9" t="n"/>
      <c r="C25" s="10" t="n"/>
      <c r="D25" s="12" t="n"/>
      <c r="E25" s="20">
        <f>IF(D25="","",D25-TODAY())</f>
        <v/>
      </c>
      <c r="F25" s="20">
        <f>IF(E25="","",IF(G25="Oui","Terminé",IF(E25&lt;0,"PÉRIMÉ",IF(E25&lt;=1,"AUJOURD'HUI",IF(E25&lt;=3,"BIENTÔT","OK")))))</f>
        <v/>
      </c>
      <c r="G25" s="10" t="n"/>
    </row>
    <row r="26">
      <c r="A26" s="12" t="n"/>
      <c r="B26" s="9" t="n"/>
      <c r="C26" s="10" t="n"/>
      <c r="D26" s="12" t="n"/>
      <c r="E26" s="20">
        <f>IF(D26="","",D26-TODAY())</f>
        <v/>
      </c>
      <c r="F26" s="20">
        <f>IF(E26="","",IF(G26="Oui","Terminé",IF(E26&lt;0,"PÉRIMÉ",IF(E26&lt;=1,"AUJOURD'HUI",IF(E26&lt;=3,"BIENTÔT","OK")))))</f>
        <v/>
      </c>
      <c r="G26" s="10" t="n"/>
    </row>
    <row r="27">
      <c r="A27" s="12" t="n"/>
      <c r="B27" s="9" t="n"/>
      <c r="C27" s="10" t="n"/>
      <c r="D27" s="12" t="n"/>
      <c r="E27" s="20">
        <f>IF(D27="","",D27-TODAY())</f>
        <v/>
      </c>
      <c r="F27" s="20">
        <f>IF(E27="","",IF(G27="Oui","Terminé",IF(E27&lt;0,"PÉRIMÉ",IF(E27&lt;=1,"AUJOURD'HUI",IF(E27&lt;=3,"BIENTÔT","OK")))))</f>
        <v/>
      </c>
      <c r="G27" s="10" t="n"/>
    </row>
    <row r="28">
      <c r="A28" s="12" t="n"/>
      <c r="B28" s="9" t="n"/>
      <c r="C28" s="10" t="n"/>
      <c r="D28" s="12" t="n"/>
      <c r="E28" s="20">
        <f>IF(D28="","",D28-TODAY())</f>
        <v/>
      </c>
      <c r="F28" s="20">
        <f>IF(E28="","",IF(G28="Oui","Terminé",IF(E28&lt;0,"PÉRIMÉ",IF(E28&lt;=1,"AUJOURD'HUI",IF(E28&lt;=3,"BIENTÔT","OK")))))</f>
        <v/>
      </c>
      <c r="G28" s="10" t="n"/>
    </row>
    <row r="29">
      <c r="A29" s="12" t="n"/>
      <c r="B29" s="9" t="n"/>
      <c r="C29" s="10" t="n"/>
      <c r="D29" s="12" t="n"/>
      <c r="E29" s="20">
        <f>IF(D29="","",D29-TODAY())</f>
        <v/>
      </c>
      <c r="F29" s="20">
        <f>IF(E29="","",IF(G29="Oui","Terminé",IF(E29&lt;0,"PÉRIMÉ",IF(E29&lt;=1,"AUJOURD'HUI",IF(E29&lt;=3,"BIENTÔT","OK")))))</f>
        <v/>
      </c>
      <c r="G29" s="10" t="n"/>
    </row>
    <row r="30">
      <c r="A30" s="12" t="n"/>
      <c r="B30" s="9" t="n"/>
      <c r="C30" s="10" t="n"/>
      <c r="D30" s="12" t="n"/>
      <c r="E30" s="20">
        <f>IF(D30="","",D30-TODAY())</f>
        <v/>
      </c>
      <c r="F30" s="20">
        <f>IF(E30="","",IF(G30="Oui","Terminé",IF(E30&lt;0,"PÉRIMÉ",IF(E30&lt;=1,"AUJOURD'HUI",IF(E30&lt;=3,"BIENTÔT","OK")))))</f>
        <v/>
      </c>
      <c r="G30" s="10" t="n"/>
    </row>
    <row r="31">
      <c r="A31" s="12" t="n"/>
      <c r="B31" s="9" t="n"/>
      <c r="C31" s="10" t="n"/>
      <c r="D31" s="12" t="n"/>
      <c r="E31" s="20">
        <f>IF(D31="","",D31-TODAY())</f>
        <v/>
      </c>
      <c r="F31" s="20">
        <f>IF(E31="","",IF(G31="Oui","Terminé",IF(E31&lt;0,"PÉRIMÉ",IF(E31&lt;=1,"AUJOURD'HUI",IF(E31&lt;=3,"BIENTÔT","OK")))))</f>
        <v/>
      </c>
      <c r="G31" s="10" t="n"/>
    </row>
    <row r="32">
      <c r="A32" s="12" t="n"/>
      <c r="B32" s="9" t="n"/>
      <c r="C32" s="10" t="n"/>
      <c r="D32" s="12" t="n"/>
      <c r="E32" s="20">
        <f>IF(D32="","",D32-TODAY())</f>
        <v/>
      </c>
      <c r="F32" s="20">
        <f>IF(E32="","",IF(G32="Oui","Terminé",IF(E32&lt;0,"PÉRIMÉ",IF(E32&lt;=1,"AUJOURD'HUI",IF(E32&lt;=3,"BIENTÔT","OK")))))</f>
        <v/>
      </c>
      <c r="G32" s="10" t="n"/>
    </row>
    <row r="33">
      <c r="A33" s="12" t="n"/>
      <c r="B33" s="9" t="n"/>
      <c r="C33" s="10" t="n"/>
      <c r="D33" s="12" t="n"/>
      <c r="E33" s="20">
        <f>IF(D33="","",D33-TODAY())</f>
        <v/>
      </c>
      <c r="F33" s="20">
        <f>IF(E33="","",IF(G33="Oui","Terminé",IF(E33&lt;0,"PÉRIMÉ",IF(E33&lt;=1,"AUJOURD'HUI",IF(E33&lt;=3,"BIENTÔT","OK")))))</f>
        <v/>
      </c>
      <c r="G33" s="10" t="n"/>
    </row>
    <row r="34">
      <c r="A34" s="12" t="n"/>
      <c r="B34" s="9" t="n"/>
      <c r="C34" s="10" t="n"/>
      <c r="D34" s="12" t="n"/>
      <c r="E34" s="20">
        <f>IF(D34="","",D34-TODAY())</f>
        <v/>
      </c>
      <c r="F34" s="20">
        <f>IF(E34="","",IF(G34="Oui","Terminé",IF(E34&lt;0,"PÉRIMÉ",IF(E34&lt;=1,"AUJOURD'HUI",IF(E34&lt;=3,"BIENTÔT","OK")))))</f>
        <v/>
      </c>
      <c r="G34" s="10" t="n"/>
    </row>
    <row r="35">
      <c r="A35" s="12" t="n"/>
      <c r="B35" s="9" t="n"/>
      <c r="C35" s="10" t="n"/>
      <c r="D35" s="12" t="n"/>
      <c r="E35" s="20">
        <f>IF(D35="","",D35-TODAY())</f>
        <v/>
      </c>
      <c r="F35" s="20">
        <f>IF(E35="","",IF(G35="Oui","Terminé",IF(E35&lt;0,"PÉRIMÉ",IF(E35&lt;=1,"AUJOURD'HUI",IF(E35&lt;=3,"BIENTÔT","OK")))))</f>
        <v/>
      </c>
      <c r="G35" s="10" t="n"/>
    </row>
    <row r="36">
      <c r="A36" s="12" t="n"/>
      <c r="B36" s="9" t="n"/>
      <c r="C36" s="10" t="n"/>
      <c r="D36" s="12" t="n"/>
      <c r="E36" s="20">
        <f>IF(D36="","",D36-TODAY())</f>
        <v/>
      </c>
      <c r="F36" s="20">
        <f>IF(E36="","",IF(G36="Oui","Terminé",IF(E36&lt;0,"PÉRIMÉ",IF(E36&lt;=1,"AUJOURD'HUI",IF(E36&lt;=3,"BIENTÔT","OK")))))</f>
        <v/>
      </c>
      <c r="G36" s="10" t="n"/>
    </row>
    <row r="37">
      <c r="A37" s="12" t="n"/>
      <c r="B37" s="9" t="n"/>
      <c r="C37" s="10" t="n"/>
      <c r="D37" s="12" t="n"/>
      <c r="E37" s="20">
        <f>IF(D37="","",D37-TODAY())</f>
        <v/>
      </c>
      <c r="F37" s="20">
        <f>IF(E37="","",IF(G37="Oui","Terminé",IF(E37&lt;0,"PÉRIMÉ",IF(E37&lt;=1,"AUJOURD'HUI",IF(E37&lt;=3,"BIENTÔT","OK")))))</f>
        <v/>
      </c>
      <c r="G37" s="10" t="n"/>
    </row>
    <row r="38">
      <c r="A38" s="12" t="n"/>
      <c r="B38" s="9" t="n"/>
      <c r="C38" s="10" t="n"/>
      <c r="D38" s="12" t="n"/>
      <c r="E38" s="20">
        <f>IF(D38="","",D38-TODAY())</f>
        <v/>
      </c>
      <c r="F38" s="20">
        <f>IF(E38="","",IF(G38="Oui","Terminé",IF(E38&lt;0,"PÉRIMÉ",IF(E38&lt;=1,"AUJOURD'HUI",IF(E38&lt;=3,"BIENTÔT","OK")))))</f>
        <v/>
      </c>
      <c r="G38" s="10" t="n"/>
    </row>
    <row r="39">
      <c r="A39" s="12" t="n"/>
      <c r="B39" s="9" t="n"/>
      <c r="C39" s="10" t="n"/>
      <c r="D39" s="12" t="n"/>
      <c r="E39" s="20">
        <f>IF(D39="","",D39-TODAY())</f>
        <v/>
      </c>
      <c r="F39" s="20">
        <f>IF(E39="","",IF(G39="Oui","Terminé",IF(E39&lt;0,"PÉRIMÉ",IF(E39&lt;=1,"AUJOURD'HUI",IF(E39&lt;=3,"BIENTÔT","OK")))))</f>
        <v/>
      </c>
      <c r="G39" s="10" t="n"/>
    </row>
    <row r="40">
      <c r="A40" s="12" t="n"/>
      <c r="B40" s="9" t="n"/>
      <c r="C40" s="10" t="n"/>
      <c r="D40" s="12" t="n"/>
      <c r="E40" s="20">
        <f>IF(D40="","",D40-TODAY())</f>
        <v/>
      </c>
      <c r="F40" s="20">
        <f>IF(E40="","",IF(G40="Oui","Terminé",IF(E40&lt;0,"PÉRIMÉ",IF(E40&lt;=1,"AUJOURD'HUI",IF(E40&lt;=3,"BIENTÔT","OK")))))</f>
        <v/>
      </c>
      <c r="G40" s="10" t="n"/>
    </row>
    <row r="41">
      <c r="A41" s="12" t="n"/>
      <c r="B41" s="9" t="n"/>
      <c r="C41" s="10" t="n"/>
      <c r="D41" s="12" t="n"/>
      <c r="E41" s="20">
        <f>IF(D41="","",D41-TODAY())</f>
        <v/>
      </c>
      <c r="F41" s="20">
        <f>IF(E41="","",IF(G41="Oui","Terminé",IF(E41&lt;0,"PÉRIMÉ",IF(E41&lt;=1,"AUJOURD'HUI",IF(E41&lt;=3,"BIENTÔT","OK")))))</f>
        <v/>
      </c>
      <c r="G41" s="10" t="n"/>
    </row>
    <row r="42">
      <c r="A42" s="12" t="n"/>
      <c r="B42" s="9" t="n"/>
      <c r="C42" s="10" t="n"/>
      <c r="D42" s="12" t="n"/>
      <c r="E42" s="20">
        <f>IF(D42="","",D42-TODAY())</f>
        <v/>
      </c>
      <c r="F42" s="20">
        <f>IF(E42="","",IF(G42="Oui","Terminé",IF(E42&lt;0,"PÉRIMÉ",IF(E42&lt;=1,"AUJOURD'HUI",IF(E42&lt;=3,"BIENTÔT","OK")))))</f>
        <v/>
      </c>
      <c r="G42" s="10" t="n"/>
    </row>
    <row r="43">
      <c r="A43" s="12" t="n"/>
      <c r="B43" s="9" t="n"/>
      <c r="C43" s="10" t="n"/>
      <c r="D43" s="12" t="n"/>
      <c r="E43" s="20">
        <f>IF(D43="","",D43-TODAY())</f>
        <v/>
      </c>
      <c r="F43" s="20">
        <f>IF(E43="","",IF(G43="Oui","Terminé",IF(E43&lt;0,"PÉRIMÉ",IF(E43&lt;=1,"AUJOURD'HUI",IF(E43&lt;=3,"BIENTÔT","OK")))))</f>
        <v/>
      </c>
      <c r="G43" s="10" t="n"/>
    </row>
    <row r="44">
      <c r="A44" s="12" t="n"/>
      <c r="B44" s="9" t="n"/>
      <c r="C44" s="10" t="n"/>
      <c r="D44" s="12" t="n"/>
      <c r="E44" s="20">
        <f>IF(D44="","",D44-TODAY())</f>
        <v/>
      </c>
      <c r="F44" s="20">
        <f>IF(E44="","",IF(G44="Oui","Terminé",IF(E44&lt;0,"PÉRIMÉ",IF(E44&lt;=1,"AUJOURD'HUI",IF(E44&lt;=3,"BIENTÔT","OK")))))</f>
        <v/>
      </c>
      <c r="G44" s="10" t="n"/>
    </row>
    <row r="45">
      <c r="A45" s="12" t="n"/>
      <c r="B45" s="9" t="n"/>
      <c r="C45" s="10" t="n"/>
      <c r="D45" s="12" t="n"/>
      <c r="E45" s="20">
        <f>IF(D45="","",D45-TODAY())</f>
        <v/>
      </c>
      <c r="F45" s="20">
        <f>IF(E45="","",IF(G45="Oui","Terminé",IF(E45&lt;0,"PÉRIMÉ",IF(E45&lt;=1,"AUJOURD'HUI",IF(E45&lt;=3,"BIENTÔT","OK")))))</f>
        <v/>
      </c>
      <c r="G45" s="10" t="n"/>
    </row>
    <row r="46">
      <c r="A46" s="12" t="n"/>
      <c r="B46" s="9" t="n"/>
      <c r="C46" s="10" t="n"/>
      <c r="D46" s="12" t="n"/>
      <c r="E46" s="20">
        <f>IF(D46="","",D46-TODAY())</f>
        <v/>
      </c>
      <c r="F46" s="20">
        <f>IF(E46="","",IF(G46="Oui","Terminé",IF(E46&lt;0,"PÉRIMÉ",IF(E46&lt;=1,"AUJOURD'HUI",IF(E46&lt;=3,"BIENTÔT","OK")))))</f>
        <v/>
      </c>
      <c r="G46" s="10" t="n"/>
    </row>
    <row r="47">
      <c r="A47" s="12" t="n"/>
      <c r="B47" s="9" t="n"/>
      <c r="C47" s="10" t="n"/>
      <c r="D47" s="12" t="n"/>
      <c r="E47" s="20">
        <f>IF(D47="","",D47-TODAY())</f>
        <v/>
      </c>
      <c r="F47" s="20">
        <f>IF(E47="","",IF(G47="Oui","Terminé",IF(E47&lt;0,"PÉRIMÉ",IF(E47&lt;=1,"AUJOURD'HUI",IF(E47&lt;=3,"BIENTÔT","OK")))))</f>
        <v/>
      </c>
      <c r="G47" s="10" t="n"/>
    </row>
    <row r="48">
      <c r="A48" s="12" t="n"/>
      <c r="B48" s="9" t="n"/>
      <c r="C48" s="10" t="n"/>
      <c r="D48" s="12" t="n"/>
      <c r="E48" s="20">
        <f>IF(D48="","",D48-TODAY())</f>
        <v/>
      </c>
      <c r="F48" s="20">
        <f>IF(E48="","",IF(G48="Oui","Terminé",IF(E48&lt;0,"PÉRIMÉ",IF(E48&lt;=1,"AUJOURD'HUI",IF(E48&lt;=3,"BIENTÔT","OK")))))</f>
        <v/>
      </c>
      <c r="G48" s="10" t="n"/>
    </row>
    <row r="49">
      <c r="A49" s="12" t="n"/>
      <c r="B49" s="9" t="n"/>
      <c r="C49" s="10" t="n"/>
      <c r="D49" s="12" t="n"/>
      <c r="E49" s="20">
        <f>IF(D49="","",D49-TODAY())</f>
        <v/>
      </c>
      <c r="F49" s="20">
        <f>IF(E49="","",IF(G49="Oui","Terminé",IF(E49&lt;0,"PÉRIMÉ",IF(E49&lt;=1,"AUJOURD'HUI",IF(E49&lt;=3,"BIENTÔT","OK")))))</f>
        <v/>
      </c>
      <c r="G49" s="10" t="n"/>
    </row>
    <row r="50">
      <c r="A50" s="12" t="n"/>
      <c r="B50" s="9" t="n"/>
      <c r="C50" s="10" t="n"/>
      <c r="D50" s="12" t="n"/>
      <c r="E50" s="20">
        <f>IF(D50="","",D50-TODAY())</f>
        <v/>
      </c>
      <c r="F50" s="20">
        <f>IF(E50="","",IF(G50="Oui","Terminé",IF(E50&lt;0,"PÉRIMÉ",IF(E50&lt;=1,"AUJOURD'HUI",IF(E50&lt;=3,"BIENTÔT","OK")))))</f>
        <v/>
      </c>
      <c r="G50" s="10" t="n"/>
    </row>
    <row r="51">
      <c r="A51" s="12" t="n"/>
      <c r="B51" s="9" t="n"/>
      <c r="C51" s="10" t="n"/>
      <c r="D51" s="12" t="n"/>
      <c r="E51" s="20">
        <f>IF(D51="","",D51-TODAY())</f>
        <v/>
      </c>
      <c r="F51" s="20">
        <f>IF(E51="","",IF(G51="Oui","Terminé",IF(E51&lt;0,"PÉRIMÉ",IF(E51&lt;=1,"AUJOURD'HUI",IF(E51&lt;=3,"BIENTÔT","OK")))))</f>
        <v/>
      </c>
      <c r="G51" s="10" t="n"/>
    </row>
    <row r="52">
      <c r="A52" s="12" t="n"/>
      <c r="B52" s="9" t="n"/>
      <c r="C52" s="10" t="n"/>
      <c r="D52" s="12" t="n"/>
      <c r="E52" s="20">
        <f>IF(D52="","",D52-TODAY())</f>
        <v/>
      </c>
      <c r="F52" s="20">
        <f>IF(E52="","",IF(G52="Oui","Terminé",IF(E52&lt;0,"PÉRIMÉ",IF(E52&lt;=1,"AUJOURD'HUI",IF(E52&lt;=3,"BIENTÔT","OK")))))</f>
        <v/>
      </c>
      <c r="G52" s="10" t="n"/>
    </row>
    <row r="53">
      <c r="A53" s="12" t="n"/>
      <c r="B53" s="9" t="n"/>
      <c r="C53" s="10" t="n"/>
      <c r="D53" s="12" t="n"/>
      <c r="E53" s="20">
        <f>IF(D53="","",D53-TODAY())</f>
        <v/>
      </c>
      <c r="F53" s="20">
        <f>IF(E53="","",IF(G53="Oui","Terminé",IF(E53&lt;0,"PÉRIMÉ",IF(E53&lt;=1,"AUJOURD'HUI",IF(E53&lt;=3,"BIENTÔT","OK")))))</f>
        <v/>
      </c>
      <c r="G53" s="10" t="n"/>
    </row>
    <row r="54">
      <c r="A54" s="12" t="n"/>
      <c r="B54" s="9" t="n"/>
      <c r="C54" s="10" t="n"/>
      <c r="D54" s="12" t="n"/>
      <c r="E54" s="20">
        <f>IF(D54="","",D54-TODAY())</f>
        <v/>
      </c>
      <c r="F54" s="20">
        <f>IF(E54="","",IF(G54="Oui","Terminé",IF(E54&lt;0,"PÉRIMÉ",IF(E54&lt;=1,"AUJOURD'HUI",IF(E54&lt;=3,"BIENTÔT","OK")))))</f>
        <v/>
      </c>
      <c r="G54" s="10" t="n"/>
    </row>
    <row r="55">
      <c r="A55" s="12" t="n"/>
      <c r="B55" s="9" t="n"/>
      <c r="C55" s="10" t="n"/>
      <c r="D55" s="12" t="n"/>
      <c r="E55" s="20">
        <f>IF(D55="","",D55-TODAY())</f>
        <v/>
      </c>
      <c r="F55" s="20">
        <f>IF(E55="","",IF(G55="Oui","Terminé",IF(E55&lt;0,"PÉRIMÉ",IF(E55&lt;=1,"AUJOURD'HUI",IF(E55&lt;=3,"BIENTÔT","OK")))))</f>
        <v/>
      </c>
      <c r="G55" s="10" t="n"/>
    </row>
    <row r="56">
      <c r="A56" s="12" t="n"/>
      <c r="B56" s="9" t="n"/>
      <c r="C56" s="10" t="n"/>
      <c r="D56" s="12" t="n"/>
      <c r="E56" s="20">
        <f>IF(D56="","",D56-TODAY())</f>
        <v/>
      </c>
      <c r="F56" s="20">
        <f>IF(E56="","",IF(G56="Oui","Terminé",IF(E56&lt;0,"PÉRIMÉ",IF(E56&lt;=1,"AUJOURD'HUI",IF(E56&lt;=3,"BIENTÔT","OK")))))</f>
        <v/>
      </c>
      <c r="G56" s="10" t="n"/>
    </row>
    <row r="57">
      <c r="A57" s="12" t="n"/>
      <c r="B57" s="9" t="n"/>
      <c r="C57" s="10" t="n"/>
      <c r="D57" s="12" t="n"/>
      <c r="E57" s="20">
        <f>IF(D57="","",D57-TODAY())</f>
        <v/>
      </c>
      <c r="F57" s="20">
        <f>IF(E57="","",IF(G57="Oui","Terminé",IF(E57&lt;0,"PÉRIMÉ",IF(E57&lt;=1,"AUJOURD'HUI",IF(E57&lt;=3,"BIENTÔT","OK")))))</f>
        <v/>
      </c>
      <c r="G57" s="10" t="n"/>
    </row>
    <row r="58">
      <c r="A58" s="12" t="n"/>
      <c r="B58" s="9" t="n"/>
      <c r="C58" s="10" t="n"/>
      <c r="D58" s="12" t="n"/>
      <c r="E58" s="20">
        <f>IF(D58="","",D58-TODAY())</f>
        <v/>
      </c>
      <c r="F58" s="20">
        <f>IF(E58="","",IF(G58="Oui","Terminé",IF(E58&lt;0,"PÉRIMÉ",IF(E58&lt;=1,"AUJOURD'HUI",IF(E58&lt;=3,"BIENTÔT","OK")))))</f>
        <v/>
      </c>
      <c r="G58" s="10" t="n"/>
    </row>
    <row r="59">
      <c r="A59" s="12" t="n"/>
      <c r="B59" s="9" t="n"/>
      <c r="C59" s="10" t="n"/>
      <c r="D59" s="12" t="n"/>
      <c r="E59" s="20">
        <f>IF(D59="","",D59-TODAY())</f>
        <v/>
      </c>
      <c r="F59" s="20">
        <f>IF(E59="","",IF(G59="Oui","Terminé",IF(E59&lt;0,"PÉRIMÉ",IF(E59&lt;=1,"AUJOURD'HUI",IF(E59&lt;=3,"BIENTÔT","OK")))))</f>
        <v/>
      </c>
      <c r="G59" s="10" t="n"/>
    </row>
    <row r="60">
      <c r="A60" s="12" t="n"/>
      <c r="B60" s="9" t="n"/>
      <c r="C60" s="10" t="n"/>
      <c r="D60" s="12" t="n"/>
      <c r="E60" s="20">
        <f>IF(D60="","",D60-TODAY())</f>
        <v/>
      </c>
      <c r="F60" s="20">
        <f>IF(E60="","",IF(G60="Oui","Terminé",IF(E60&lt;0,"PÉRIMÉ",IF(E60&lt;=1,"AUJOURD'HUI",IF(E60&lt;=3,"BIENTÔT","OK")))))</f>
        <v/>
      </c>
      <c r="G60" s="10" t="n"/>
    </row>
    <row r="61">
      <c r="A61" s="12" t="n"/>
      <c r="B61" s="9" t="n"/>
      <c r="C61" s="10" t="n"/>
      <c r="D61" s="12" t="n"/>
      <c r="E61" s="20">
        <f>IF(D61="","",D61-TODAY())</f>
        <v/>
      </c>
      <c r="F61" s="20">
        <f>IF(E61="","",IF(G61="Oui","Terminé",IF(E61&lt;0,"PÉRIMÉ",IF(E61&lt;=1,"AUJOURD'HUI",IF(E61&lt;=3,"BIENTÔT","OK")))))</f>
        <v/>
      </c>
      <c r="G61" s="10" t="n"/>
    </row>
    <row r="62">
      <c r="A62" s="12" t="n"/>
      <c r="B62" s="9" t="n"/>
      <c r="C62" s="10" t="n"/>
      <c r="D62" s="12" t="n"/>
      <c r="E62" s="20">
        <f>IF(D62="","",D62-TODAY())</f>
        <v/>
      </c>
      <c r="F62" s="20">
        <f>IF(E62="","",IF(G62="Oui","Terminé",IF(E62&lt;0,"PÉRIMÉ",IF(E62&lt;=1,"AUJOURD'HUI",IF(E62&lt;=3,"BIENTÔT","OK")))))</f>
        <v/>
      </c>
      <c r="G62" s="10" t="n"/>
    </row>
    <row r="63">
      <c r="A63" s="12" t="n"/>
      <c r="B63" s="9" t="n"/>
      <c r="C63" s="10" t="n"/>
      <c r="D63" s="12" t="n"/>
      <c r="E63" s="20">
        <f>IF(D63="","",D63-TODAY())</f>
        <v/>
      </c>
      <c r="F63" s="20">
        <f>IF(E63="","",IF(G63="Oui","Terminé",IF(E63&lt;0,"PÉRIMÉ",IF(E63&lt;=1,"AUJOURD'HUI",IF(E63&lt;=3,"BIENTÔT","OK")))))</f>
        <v/>
      </c>
      <c r="G63" s="10" t="n"/>
    </row>
    <row r="64">
      <c r="A64" s="12" t="n"/>
      <c r="B64" s="9" t="n"/>
      <c r="C64" s="10" t="n"/>
      <c r="D64" s="12" t="n"/>
      <c r="E64" s="20">
        <f>IF(D64="","",D64-TODAY())</f>
        <v/>
      </c>
      <c r="F64" s="20">
        <f>IF(E64="","",IF(G64="Oui","Terminé",IF(E64&lt;0,"PÉRIMÉ",IF(E64&lt;=1,"AUJOURD'HUI",IF(E64&lt;=3,"BIENTÔT","OK")))))</f>
        <v/>
      </c>
      <c r="G64" s="10" t="n"/>
    </row>
    <row r="65">
      <c r="A65" s="12" t="n"/>
      <c r="B65" s="9" t="n"/>
      <c r="C65" s="10" t="n"/>
      <c r="D65" s="12" t="n"/>
      <c r="E65" s="20">
        <f>IF(D65="","",D65-TODAY())</f>
        <v/>
      </c>
      <c r="F65" s="20">
        <f>IF(E65="","",IF(G65="Oui","Terminé",IF(E65&lt;0,"PÉRIMÉ",IF(E65&lt;=1,"AUJOURD'HUI",IF(E65&lt;=3,"BIENTÔT","OK")))))</f>
        <v/>
      </c>
      <c r="G65" s="10" t="n"/>
    </row>
    <row r="66">
      <c r="A66" s="12" t="n"/>
      <c r="B66" s="9" t="n"/>
      <c r="C66" s="10" t="n"/>
      <c r="D66" s="12" t="n"/>
      <c r="E66" s="20">
        <f>IF(D66="","",D66-TODAY())</f>
        <v/>
      </c>
      <c r="F66" s="20">
        <f>IF(E66="","",IF(G66="Oui","Terminé",IF(E66&lt;0,"PÉRIMÉ",IF(E66&lt;=1,"AUJOURD'HUI",IF(E66&lt;=3,"BIENTÔT","OK")))))</f>
        <v/>
      </c>
      <c r="G66" s="10" t="n"/>
    </row>
    <row r="67">
      <c r="A67" s="12" t="n"/>
      <c r="B67" s="9" t="n"/>
      <c r="C67" s="10" t="n"/>
      <c r="D67" s="12" t="n"/>
      <c r="E67" s="20">
        <f>IF(D67="","",D67-TODAY())</f>
        <v/>
      </c>
      <c r="F67" s="20">
        <f>IF(E67="","",IF(G67="Oui","Terminé",IF(E67&lt;0,"PÉRIMÉ",IF(E67&lt;=1,"AUJOURD'HUI",IF(E67&lt;=3,"BIENTÔT","OK")))))</f>
        <v/>
      </c>
      <c r="G67" s="10" t="n"/>
    </row>
    <row r="68">
      <c r="A68" s="12" t="n"/>
      <c r="B68" s="9" t="n"/>
      <c r="C68" s="10" t="n"/>
      <c r="D68" s="12" t="n"/>
      <c r="E68" s="20">
        <f>IF(D68="","",D68-TODAY())</f>
        <v/>
      </c>
      <c r="F68" s="20">
        <f>IF(E68="","",IF(G68="Oui","Terminé",IF(E68&lt;0,"PÉRIMÉ",IF(E68&lt;=1,"AUJOURD'HUI",IF(E68&lt;=3,"BIENTÔT","OK")))))</f>
        <v/>
      </c>
      <c r="G68" s="10" t="n"/>
    </row>
    <row r="69">
      <c r="A69" s="12" t="n"/>
      <c r="B69" s="9" t="n"/>
      <c r="C69" s="10" t="n"/>
      <c r="D69" s="12" t="n"/>
      <c r="E69" s="20">
        <f>IF(D69="","",D69-TODAY())</f>
        <v/>
      </c>
      <c r="F69" s="20">
        <f>IF(E69="","",IF(G69="Oui","Terminé",IF(E69&lt;0,"PÉRIMÉ",IF(E69&lt;=1,"AUJOURD'HUI",IF(E69&lt;=3,"BIENTÔT","OK")))))</f>
        <v/>
      </c>
      <c r="G69" s="10" t="n"/>
    </row>
    <row r="70">
      <c r="A70" s="12" t="n"/>
      <c r="B70" s="9" t="n"/>
      <c r="C70" s="10" t="n"/>
      <c r="D70" s="12" t="n"/>
      <c r="E70" s="20">
        <f>IF(D70="","",D70-TODAY())</f>
        <v/>
      </c>
      <c r="F70" s="20">
        <f>IF(E70="","",IF(G70="Oui","Terminé",IF(E70&lt;0,"PÉRIMÉ",IF(E70&lt;=1,"AUJOURD'HUI",IF(E70&lt;=3,"BIENTÔT","OK")))))</f>
        <v/>
      </c>
      <c r="G70" s="10" t="n"/>
    </row>
    <row r="71">
      <c r="A71" s="12" t="n"/>
      <c r="B71" s="9" t="n"/>
      <c r="C71" s="10" t="n"/>
      <c r="D71" s="12" t="n"/>
      <c r="E71" s="20">
        <f>IF(D71="","",D71-TODAY())</f>
        <v/>
      </c>
      <c r="F71" s="20">
        <f>IF(E71="","",IF(G71="Oui","Terminé",IF(E71&lt;0,"PÉRIMÉ",IF(E71&lt;=1,"AUJOURD'HUI",IF(E71&lt;=3,"BIENTÔT","OK")))))</f>
        <v/>
      </c>
      <c r="G71" s="10" t="n"/>
    </row>
    <row r="72">
      <c r="A72" s="12" t="n"/>
      <c r="B72" s="9" t="n"/>
      <c r="C72" s="10" t="n"/>
      <c r="D72" s="12" t="n"/>
      <c r="E72" s="20">
        <f>IF(D72="","",D72-TODAY())</f>
        <v/>
      </c>
      <c r="F72" s="20">
        <f>IF(E72="","",IF(G72="Oui","Terminé",IF(E72&lt;0,"PÉRIMÉ",IF(E72&lt;=1,"AUJOURD'HUI",IF(E72&lt;=3,"BIENTÔT","OK")))))</f>
        <v/>
      </c>
      <c r="G72" s="10" t="n"/>
    </row>
    <row r="73">
      <c r="A73" s="12" t="n"/>
      <c r="B73" s="9" t="n"/>
      <c r="C73" s="10" t="n"/>
      <c r="D73" s="12" t="n"/>
      <c r="E73" s="20">
        <f>IF(D73="","",D73-TODAY())</f>
        <v/>
      </c>
      <c r="F73" s="20">
        <f>IF(E73="","",IF(G73="Oui","Terminé",IF(E73&lt;0,"PÉRIMÉ",IF(E73&lt;=1,"AUJOURD'HUI",IF(E73&lt;=3,"BIENTÔT","OK")))))</f>
        <v/>
      </c>
      <c r="G73" s="10" t="n"/>
    </row>
    <row r="74">
      <c r="A74" s="12" t="n"/>
      <c r="B74" s="9" t="n"/>
      <c r="C74" s="10" t="n"/>
      <c r="D74" s="12" t="n"/>
      <c r="E74" s="20">
        <f>IF(D74="","",D74-TODAY())</f>
        <v/>
      </c>
      <c r="F74" s="20">
        <f>IF(E74="","",IF(G74="Oui","Terminé",IF(E74&lt;0,"PÉRIMÉ",IF(E74&lt;=1,"AUJOURD'HUI",IF(E74&lt;=3,"BIENTÔT","OK")))))</f>
        <v/>
      </c>
      <c r="G74" s="10" t="n"/>
    </row>
    <row r="75">
      <c r="A75" s="12" t="n"/>
      <c r="B75" s="9" t="n"/>
      <c r="C75" s="10" t="n"/>
      <c r="D75" s="12" t="n"/>
      <c r="E75" s="20">
        <f>IF(D75="","",D75-TODAY())</f>
        <v/>
      </c>
      <c r="F75" s="20">
        <f>IF(E75="","",IF(G75="Oui","Terminé",IF(E75&lt;0,"PÉRIMÉ",IF(E75&lt;=1,"AUJOURD'HUI",IF(E75&lt;=3,"BIENTÔT","OK")))))</f>
        <v/>
      </c>
      <c r="G75" s="10" t="n"/>
    </row>
    <row r="76">
      <c r="A76" s="12" t="n"/>
      <c r="B76" s="9" t="n"/>
      <c r="C76" s="10" t="n"/>
      <c r="D76" s="12" t="n"/>
      <c r="E76" s="20">
        <f>IF(D76="","",D76-TODAY())</f>
        <v/>
      </c>
      <c r="F76" s="20">
        <f>IF(E76="","",IF(G76="Oui","Terminé",IF(E76&lt;0,"PÉRIMÉ",IF(E76&lt;=1,"AUJOURD'HUI",IF(E76&lt;=3,"BIENTÔT","OK")))))</f>
        <v/>
      </c>
      <c r="G76" s="10" t="n"/>
    </row>
    <row r="77">
      <c r="A77" s="12" t="n"/>
      <c r="B77" s="9" t="n"/>
      <c r="C77" s="10" t="n"/>
      <c r="D77" s="12" t="n"/>
      <c r="E77" s="20">
        <f>IF(D77="","",D77-TODAY())</f>
        <v/>
      </c>
      <c r="F77" s="20">
        <f>IF(E77="","",IF(G77="Oui","Terminé",IF(E77&lt;0,"PÉRIMÉ",IF(E77&lt;=1,"AUJOURD'HUI",IF(E77&lt;=3,"BIENTÔT","OK")))))</f>
        <v/>
      </c>
      <c r="G77" s="10" t="n"/>
    </row>
    <row r="78">
      <c r="A78" s="12" t="n"/>
      <c r="B78" s="9" t="n"/>
      <c r="C78" s="10" t="n"/>
      <c r="D78" s="12" t="n"/>
      <c r="E78" s="20">
        <f>IF(D78="","",D78-TODAY())</f>
        <v/>
      </c>
      <c r="F78" s="20">
        <f>IF(E78="","",IF(G78="Oui","Terminé",IF(E78&lt;0,"PÉRIMÉ",IF(E78&lt;=1,"AUJOURD'HUI",IF(E78&lt;=3,"BIENTÔT","OK")))))</f>
        <v/>
      </c>
      <c r="G78" s="10" t="n"/>
    </row>
    <row r="79">
      <c r="A79" s="12" t="n"/>
      <c r="B79" s="9" t="n"/>
      <c r="C79" s="10" t="n"/>
      <c r="D79" s="12" t="n"/>
      <c r="E79" s="20">
        <f>IF(D79="","",D79-TODAY())</f>
        <v/>
      </c>
      <c r="F79" s="20">
        <f>IF(E79="","",IF(G79="Oui","Terminé",IF(E79&lt;0,"PÉRIMÉ",IF(E79&lt;=1,"AUJOURD'HUI",IF(E79&lt;=3,"BIENTÔT","OK")))))</f>
        <v/>
      </c>
      <c r="G79" s="10" t="n"/>
    </row>
    <row r="80">
      <c r="A80" s="12" t="n"/>
      <c r="B80" s="9" t="n"/>
      <c r="C80" s="10" t="n"/>
      <c r="D80" s="12" t="n"/>
      <c r="E80" s="20">
        <f>IF(D80="","",D80-TODAY())</f>
        <v/>
      </c>
      <c r="F80" s="20">
        <f>IF(E80="","",IF(G80="Oui","Terminé",IF(E80&lt;0,"PÉRIMÉ",IF(E80&lt;=1,"AUJOURD'HUI",IF(E80&lt;=3,"BIENTÔT","OK")))))</f>
        <v/>
      </c>
      <c r="G80" s="10" t="n"/>
    </row>
    <row r="81">
      <c r="A81" s="12" t="n"/>
      <c r="B81" s="9" t="n"/>
      <c r="C81" s="10" t="n"/>
      <c r="D81" s="12" t="n"/>
      <c r="E81" s="20">
        <f>IF(D81="","",D81-TODAY())</f>
        <v/>
      </c>
      <c r="F81" s="20">
        <f>IF(E81="","",IF(G81="Oui","Terminé",IF(E81&lt;0,"PÉRIMÉ",IF(E81&lt;=1,"AUJOURD'HUI",IF(E81&lt;=3,"BIENTÔT","OK")))))</f>
        <v/>
      </c>
      <c r="G81" s="10" t="n"/>
    </row>
    <row r="82">
      <c r="A82" s="12" t="n"/>
      <c r="B82" s="9" t="n"/>
      <c r="C82" s="10" t="n"/>
      <c r="D82" s="12" t="n"/>
      <c r="E82" s="20">
        <f>IF(D82="","",D82-TODAY())</f>
        <v/>
      </c>
      <c r="F82" s="20">
        <f>IF(E82="","",IF(G82="Oui","Terminé",IF(E82&lt;0,"PÉRIMÉ",IF(E82&lt;=1,"AUJOURD'HUI",IF(E82&lt;=3,"BIENTÔT","OK")))))</f>
        <v/>
      </c>
      <c r="G82" s="10" t="n"/>
    </row>
    <row r="83">
      <c r="A83" s="12" t="n"/>
      <c r="B83" s="9" t="n"/>
      <c r="C83" s="10" t="n"/>
      <c r="D83" s="12" t="n"/>
      <c r="E83" s="20">
        <f>IF(D83="","",D83-TODAY())</f>
        <v/>
      </c>
      <c r="F83" s="20">
        <f>IF(E83="","",IF(G83="Oui","Terminé",IF(E83&lt;0,"PÉRIMÉ",IF(E83&lt;=1,"AUJOURD'HUI",IF(E83&lt;=3,"BIENTÔT","OK")))))</f>
        <v/>
      </c>
      <c r="G83" s="10" t="n"/>
    </row>
    <row r="84">
      <c r="A84" s="12" t="n"/>
      <c r="B84" s="9" t="n"/>
      <c r="C84" s="10" t="n"/>
      <c r="D84" s="12" t="n"/>
      <c r="E84" s="20">
        <f>IF(D84="","",D84-TODAY())</f>
        <v/>
      </c>
      <c r="F84" s="20">
        <f>IF(E84="","",IF(G84="Oui","Terminé",IF(E84&lt;0,"PÉRIMÉ",IF(E84&lt;=1,"AUJOURD'HUI",IF(E84&lt;=3,"BIENTÔT","OK")))))</f>
        <v/>
      </c>
      <c r="G84" s="10" t="n"/>
    </row>
  </sheetData>
  <conditionalFormatting sqref="A5:G84">
    <cfRule type="expression" priority="1" dxfId="1">
      <formula>$G5="Oui"</formula>
    </cfRule>
  </conditionalFormatting>
  <conditionalFormatting sqref="F5:F84">
    <cfRule type="expression" priority="2" dxfId="0">
      <formula>F5="PÉRIMÉ"</formula>
    </cfRule>
    <cfRule type="expression" priority="3" dxfId="0">
      <formula>F5="AUJOURD'HUI"</formula>
    </cfRule>
    <cfRule type="expression" priority="4" dxfId="2">
      <formula>F5="BIENTÔT"</formula>
    </cfRule>
    <cfRule type="expression" priority="5" dxfId="3">
      <formula>F5="OK"</formula>
    </cfRule>
  </conditionalFormatting>
  <dataValidations count="2">
    <dataValidation sqref="B5:B84" showDropDown="0" showInputMessage="0" showErrorMessage="0" allowBlank="1" type="list">
      <formula1>=Produits!$A$5:$A$44</formula1>
    </dataValidation>
    <dataValidation sqref="G5:G84" showDropDown="0" showInputMessage="0" showErrorMessage="0" allowBlank="1" type="list">
      <formula1>"Oui,Non"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2026-09-24T21:03:59Z</dcterms:created>
  <dcterms:modified xmlns:dcterms="http://purl.org/dc/terms/" xmlns:xsi="http://www.w3.org/2001/XMLSchema-instance" xsi:type="dcterms:W3CDTF">2026-09-24T21:03:59Z</dcterms:modified>
</cp:coreProperties>
</file>