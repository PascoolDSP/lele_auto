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Octobre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3E7D5A"/>
      <sz val="16"/>
    </font>
    <font>
      <name val="Arial"/>
      <i val="1"/>
      <color rgb="00666666"/>
      <sz val="9"/>
    </font>
    <font>
      <name val="Arial"/>
      <b val="1"/>
      <color rgb="003E7D5A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  <font>
      <name val="Arial"/>
      <i val="1"/>
      <color rgb="008A6D00"/>
      <sz val="8"/>
    </font>
  </fonts>
  <fills count="6">
    <fill>
      <patternFill/>
    </fill>
    <fill>
      <patternFill patternType="gray125"/>
    </fill>
    <fill>
      <patternFill patternType="solid">
        <fgColor rgb="003E7D5A"/>
      </patternFill>
    </fill>
    <fill>
      <patternFill patternType="solid">
        <fgColor rgb="00FFF6D5"/>
      </patternFill>
    </fill>
    <fill>
      <patternFill patternType="solid">
        <fgColor rgb="00D8E5DE"/>
      </patternFill>
    </fill>
    <fill>
      <patternFill patternType="solid">
        <fgColor rgb="00EFF4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BDD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19 · Ce que j'ai utilisé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À partir de tes comptages, le fichier calcule ce que tu as utilisé chaque semaine : ce que tu avais, plus ce que tu as reçu, moins ce qu'il te reste la semaine suivante. Aucune recette à saisir. Au bout d'un mois, tu sais combien de farine ou de crème tu utilises vraiment par semaine.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Chaque semaine : Stock, Commandé, Reçu.</t>
        </is>
      </c>
    </row>
    <row r="8">
      <c r="A8" s="5" t="inlineStr"/>
      <c r="B8" s="4" t="inlineStr">
        <is>
          <t>3. « Utilisé » se calcule dès que tu as compté la semaine suivante.</t>
        </is>
      </c>
    </row>
    <row r="9">
      <c r="A9" s="5" t="inlineStr"/>
      <c r="B9" s="4" t="inlineStr">
        <is>
          <t>4. Pour la semaine 4, tape le premier comptage du mois suivant dans la dernière colonne jaune.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Octobre 2026 — comptages, commandes, et ce que tu as utilisé.</t>
        </is>
      </c>
    </row>
    <row r="13">
      <c r="A13" s="5" t="inlineStr"/>
      <c r="B13" s="4" t="inlineStr"/>
    </row>
    <row r="14">
      <c r="A14" s="5" t="inlineStr">
        <is>
          <t>Couleurs</t>
        </is>
      </c>
      <c r="B14" s="4" t="inlineStr">
        <is>
          <t>Cases jaunes = à remplir. Cases blanches = calculées toutes seules, ne pas y toucher.</t>
        </is>
      </c>
    </row>
    <row r="15">
      <c r="A15" s="5" t="inlineStr"/>
      <c r="B15" s="4" t="inlineStr">
        <is>
          <t>Chiffres en bleu = exemple pour montrer le fonctionnement, à effacer.</t>
        </is>
      </c>
    </row>
    <row r="16">
      <c r="A16" s="5" t="inlineStr"/>
      <c r="B16" s="4" t="inlineStr">
        <is>
          <t>Rouge = il manque quelque chose (livraison incomplète, stock trop bas).</t>
        </is>
      </c>
    </row>
    <row r="17">
      <c r="A17" s="5" t="inlineStr"/>
      <c r="B17" s="4" t="inlineStr"/>
    </row>
    <row r="18">
      <c r="A18" s="5" t="inlineStr">
        <is>
          <t>Google Sheets</t>
        </is>
      </c>
      <c r="B18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1" customWidth="1" min="20" max="20"/>
    <col width="14" customWidth="1" min="21" max="21"/>
    <col width="14" customWidth="1" min="22" max="22"/>
  </cols>
  <sheetData>
    <row r="1" ht="26" customHeight="1">
      <c r="A1" s="1" t="inlineStr">
        <is>
          <t>Octobre 2026</t>
        </is>
      </c>
    </row>
    <row r="2">
      <c r="A2" s="2" t="inlineStr">
        <is>
          <t>Utilisé = stock de la semaine + reçu − stock de la semaine suivante</t>
        </is>
      </c>
    </row>
    <row r="3">
      <c r="T3" s="11" t="inlineStr">
        <is>
          <t>Orange = négatif : erreur de comptage probable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Semaine 1</t>
        </is>
      </c>
      <c r="E4" s="12" t="n"/>
      <c r="F4" s="12" t="n"/>
      <c r="G4" s="12" t="n"/>
      <c r="H4" s="6" t="inlineStr">
        <is>
          <t>Semaine 2</t>
        </is>
      </c>
      <c r="I4" s="12" t="n"/>
      <c r="J4" s="12" t="n"/>
      <c r="K4" s="12" t="n"/>
      <c r="L4" s="6" t="inlineStr">
        <is>
          <t>Semaine 3</t>
        </is>
      </c>
      <c r="M4" s="12" t="n"/>
      <c r="N4" s="12" t="n"/>
      <c r="O4" s="12" t="n"/>
      <c r="P4" s="6" t="inlineStr">
        <is>
          <t>Semaine 4</t>
        </is>
      </c>
      <c r="Q4" s="12" t="n"/>
      <c r="R4" s="12" t="n"/>
      <c r="S4" s="12" t="n"/>
      <c r="T4" s="6" t="inlineStr">
        <is>
          <t>Mois suivant</t>
        </is>
      </c>
      <c r="U4" s="6" t="inlineStr">
        <is>
          <t>Bilan</t>
        </is>
      </c>
      <c r="V4" s="12" t="n"/>
    </row>
    <row r="5">
      <c r="A5" s="12" t="n"/>
      <c r="B5" s="12" t="n"/>
      <c r="C5" s="12" t="n"/>
      <c r="D5" s="13" t="n"/>
      <c r="E5" s="14" t="n"/>
      <c r="F5" s="14" t="n"/>
      <c r="G5" s="14" t="n"/>
      <c r="H5" s="13" t="n"/>
      <c r="I5" s="14" t="n"/>
      <c r="J5" s="14" t="n"/>
      <c r="K5" s="14" t="n"/>
      <c r="L5" s="13" t="n"/>
      <c r="M5" s="14" t="n"/>
      <c r="N5" s="14" t="n"/>
      <c r="O5" s="14" t="n"/>
      <c r="P5" s="13" t="n"/>
      <c r="Q5" s="14" t="n"/>
      <c r="R5" s="14" t="n"/>
      <c r="S5" s="14" t="n"/>
      <c r="T5" s="12" t="n"/>
      <c r="U5" s="12" t="n"/>
      <c r="V5" s="12" t="n"/>
    </row>
    <row r="6">
      <c r="A6" s="12" t="n"/>
      <c r="B6" s="12" t="n"/>
      <c r="C6" s="12" t="n"/>
      <c r="D6" s="15" t="inlineStr">
        <is>
          <t>Stock</t>
        </is>
      </c>
      <c r="E6" s="15" t="inlineStr">
        <is>
          <t>Commandé</t>
        </is>
      </c>
      <c r="F6" s="15" t="inlineStr">
        <is>
          <t>Reçu</t>
        </is>
      </c>
      <c r="G6" s="15" t="inlineStr">
        <is>
          <t>Utilisé</t>
        </is>
      </c>
      <c r="H6" s="15" t="inlineStr">
        <is>
          <t>Stock</t>
        </is>
      </c>
      <c r="I6" s="15" t="inlineStr">
        <is>
          <t>Commandé</t>
        </is>
      </c>
      <c r="J6" s="15" t="inlineStr">
        <is>
          <t>Reçu</t>
        </is>
      </c>
      <c r="K6" s="15" t="inlineStr">
        <is>
          <t>Utilisé</t>
        </is>
      </c>
      <c r="L6" s="15" t="inlineStr">
        <is>
          <t>Stock</t>
        </is>
      </c>
      <c r="M6" s="15" t="inlineStr">
        <is>
          <t>Commandé</t>
        </is>
      </c>
      <c r="N6" s="15" t="inlineStr">
        <is>
          <t>Reçu</t>
        </is>
      </c>
      <c r="O6" s="15" t="inlineStr">
        <is>
          <t>Utilisé</t>
        </is>
      </c>
      <c r="P6" s="15" t="inlineStr">
        <is>
          <t>Stock</t>
        </is>
      </c>
      <c r="Q6" s="15" t="inlineStr">
        <is>
          <t>Commandé</t>
        </is>
      </c>
      <c r="R6" s="15" t="inlineStr">
        <is>
          <t>Reçu</t>
        </is>
      </c>
      <c r="S6" s="15" t="inlineStr">
        <is>
          <t>Utilisé</t>
        </is>
      </c>
      <c r="T6" s="15" t="inlineStr">
        <is>
          <t>1er stock</t>
        </is>
      </c>
      <c r="U6" s="15" t="inlineStr">
        <is>
          <t>Utilisé ce mois</t>
        </is>
      </c>
      <c r="V6" s="15" t="inlineStr">
        <is>
          <t>Moyenne / semaine</t>
        </is>
      </c>
    </row>
    <row r="7">
      <c r="A7" s="16">
        <f>IF(Produits!$A$5="","",Produits!$A$5)</f>
        <v/>
      </c>
      <c r="B7" s="17">
        <f>IF(Produits!$A$5="","",Produits!$B$5)</f>
        <v/>
      </c>
      <c r="C7" s="18">
        <f>IF(Produits!$A$5="","",Produits!$C$5)</f>
        <v/>
      </c>
      <c r="D7" s="8" t="n">
        <v>8</v>
      </c>
      <c r="E7" s="8" t="n">
        <v>10</v>
      </c>
      <c r="F7" s="8" t="n">
        <v>7</v>
      </c>
      <c r="G7" s="19">
        <f>IF(OR(D7="",H7=""),"",D7+N(F7)-H7)</f>
        <v/>
      </c>
      <c r="H7" s="8" t="n">
        <v>5</v>
      </c>
      <c r="I7" s="8" t="n">
        <v>10</v>
      </c>
      <c r="J7" s="8" t="n">
        <v>10</v>
      </c>
      <c r="K7" s="19">
        <f>IF(OR(H7="",L7=""),"",H7+N(J7)-L7)</f>
        <v/>
      </c>
      <c r="L7" s="10" t="n"/>
      <c r="M7" s="10" t="n"/>
      <c r="N7" s="10" t="n"/>
      <c r="O7" s="19">
        <f>IF(OR(L7="",P7=""),"",L7+N(N7)-P7)</f>
        <v/>
      </c>
      <c r="P7" s="10" t="n"/>
      <c r="Q7" s="10" t="n"/>
      <c r="R7" s="10" t="n"/>
      <c r="S7" s="19">
        <f>IF(OR(P7="",T7=""),"",P7+N(R7)-T7)</f>
        <v/>
      </c>
      <c r="T7" s="10" t="n"/>
      <c r="U7" s="20">
        <f>IF(COUNT(G7,K7,O7,S7)=0,"",SUM(G7,K7,O7,S7))</f>
        <v/>
      </c>
      <c r="V7" s="20">
        <f>IF(COUNT(G7,K7,O7,S7)=0,"",ROUND(AVERAGE(G7,K7,O7,S7),1))</f>
        <v/>
      </c>
    </row>
    <row r="8">
      <c r="A8" s="16">
        <f>IF(Produits!$A$6="","",Produits!$A$6)</f>
        <v/>
      </c>
      <c r="B8" s="17">
        <f>IF(Produits!$A$6="","",Produits!$B$6)</f>
        <v/>
      </c>
      <c r="C8" s="18">
        <f>IF(Produits!$A$6="","",Produits!$C$6)</f>
        <v/>
      </c>
      <c r="D8" s="8" t="n">
        <v>2</v>
      </c>
      <c r="E8" s="8" t="n">
        <v>5</v>
      </c>
      <c r="F8" s="8" t="n">
        <v>5</v>
      </c>
      <c r="G8" s="19">
        <f>IF(OR(D8="",H8=""),"",D8+N(F8)-H8)</f>
        <v/>
      </c>
      <c r="H8" s="8" t="n">
        <v>3</v>
      </c>
      <c r="I8" s="8" t="n">
        <v>3</v>
      </c>
      <c r="J8" s="8" t="n">
        <v>3</v>
      </c>
      <c r="K8" s="19">
        <f>IF(OR(H8="",L8=""),"",H8+N(J8)-L8)</f>
        <v/>
      </c>
      <c r="L8" s="10" t="n"/>
      <c r="M8" s="10" t="n"/>
      <c r="N8" s="10" t="n"/>
      <c r="O8" s="19">
        <f>IF(OR(L8="",P8=""),"",L8+N(N8)-P8)</f>
        <v/>
      </c>
      <c r="P8" s="10" t="n"/>
      <c r="Q8" s="10" t="n"/>
      <c r="R8" s="10" t="n"/>
      <c r="S8" s="19">
        <f>IF(OR(P8="",T8=""),"",P8+N(R8)-T8)</f>
        <v/>
      </c>
      <c r="T8" s="10" t="n"/>
      <c r="U8" s="20">
        <f>IF(COUNT(G8,K8,O8,S8)=0,"",SUM(G8,K8,O8,S8))</f>
        <v/>
      </c>
      <c r="V8" s="20">
        <f>IF(COUNT(G8,K8,O8,S8)=0,"",ROUND(AVERAGE(G8,K8,O8,S8),1))</f>
        <v/>
      </c>
    </row>
    <row r="9">
      <c r="A9" s="16">
        <f>IF(Produits!$A$7="","",Produits!$A$7)</f>
        <v/>
      </c>
      <c r="B9" s="17">
        <f>IF(Produits!$A$7="","",Produits!$B$7)</f>
        <v/>
      </c>
      <c r="C9" s="18">
        <f>IF(Produits!$A$7="","",Produits!$C$7)</f>
        <v/>
      </c>
      <c r="D9" s="8" t="n">
        <v>6</v>
      </c>
      <c r="E9" s="8" t="n">
        <v>10</v>
      </c>
      <c r="F9" s="8" t="n">
        <v>10</v>
      </c>
      <c r="G9" s="19">
        <f>IF(OR(D9="",H9=""),"",D9+N(F9)-H9)</f>
        <v/>
      </c>
      <c r="H9" s="8" t="n">
        <v>7</v>
      </c>
      <c r="I9" s="8" t="n">
        <v>5</v>
      </c>
      <c r="J9" s="8" t="n">
        <v>5</v>
      </c>
      <c r="K9" s="19">
        <f>IF(OR(H9="",L9=""),"",H9+N(J9)-L9)</f>
        <v/>
      </c>
      <c r="L9" s="10" t="n"/>
      <c r="M9" s="10" t="n"/>
      <c r="N9" s="10" t="n"/>
      <c r="O9" s="19">
        <f>IF(OR(L9="",P9=""),"",L9+N(N9)-P9)</f>
        <v/>
      </c>
      <c r="P9" s="10" t="n"/>
      <c r="Q9" s="10" t="n"/>
      <c r="R9" s="10" t="n"/>
      <c r="S9" s="19">
        <f>IF(OR(P9="",T9=""),"",P9+N(R9)-T9)</f>
        <v/>
      </c>
      <c r="T9" s="10" t="n"/>
      <c r="U9" s="20">
        <f>IF(COUNT(G9,K9,O9,S9)=0,"",SUM(G9,K9,O9,S9))</f>
        <v/>
      </c>
      <c r="V9" s="20">
        <f>IF(COUNT(G9,K9,O9,S9)=0,"",ROUND(AVERAGE(G9,K9,O9,S9),1))</f>
        <v/>
      </c>
    </row>
    <row r="10">
      <c r="A10" s="16">
        <f>IF(Produits!$A$8="","",Produits!$A$8)</f>
        <v/>
      </c>
      <c r="B10" s="17">
        <f>IF(Produits!$A$8="","",Produits!$B$8)</f>
        <v/>
      </c>
      <c r="C10" s="18">
        <f>IF(Produits!$A$8="","",Produits!$C$8)</f>
        <v/>
      </c>
      <c r="D10" s="8" t="n">
        <v>1</v>
      </c>
      <c r="E10" s="8" t="n">
        <v>3</v>
      </c>
      <c r="F10" s="8" t="n">
        <v>3</v>
      </c>
      <c r="G10" s="19">
        <f>IF(OR(D10="",H10=""),"",D10+N(F10)-H10)</f>
        <v/>
      </c>
      <c r="H10" s="8" t="n">
        <v>2</v>
      </c>
      <c r="I10" s="8" t="n">
        <v>0</v>
      </c>
      <c r="J10" s="8" t="n">
        <v>0</v>
      </c>
      <c r="K10" s="19">
        <f>IF(OR(H10="",L10=""),"",H10+N(J10)-L10)</f>
        <v/>
      </c>
      <c r="L10" s="10" t="n"/>
      <c r="M10" s="10" t="n"/>
      <c r="N10" s="10" t="n"/>
      <c r="O10" s="19">
        <f>IF(OR(L10="",P10=""),"",L10+N(N10)-P10)</f>
        <v/>
      </c>
      <c r="P10" s="10" t="n"/>
      <c r="Q10" s="10" t="n"/>
      <c r="R10" s="10" t="n"/>
      <c r="S10" s="19">
        <f>IF(OR(P10="",T10=""),"",P10+N(R10)-T10)</f>
        <v/>
      </c>
      <c r="T10" s="10" t="n"/>
      <c r="U10" s="20">
        <f>IF(COUNT(G10,K10,O10,S10)=0,"",SUM(G10,K10,O10,S10))</f>
        <v/>
      </c>
      <c r="V10" s="20">
        <f>IF(COUNT(G10,K10,O10,S10)=0,"",ROUND(AVERAGE(G10,K10,O10,S10),1))</f>
        <v/>
      </c>
    </row>
    <row r="11">
      <c r="A11" s="16">
        <f>IF(Produits!$A$9="","",Produits!$A$9)</f>
        <v/>
      </c>
      <c r="B11" s="17">
        <f>IF(Produits!$A$9="","",Produits!$B$9)</f>
        <v/>
      </c>
      <c r="C11" s="18">
        <f>IF(Produits!$A$9="","",Produits!$C$9)</f>
        <v/>
      </c>
      <c r="D11" s="8" t="n">
        <v>3</v>
      </c>
      <c r="E11" s="8" t="n">
        <v>5</v>
      </c>
      <c r="F11" s="8" t="n">
        <v>5</v>
      </c>
      <c r="G11" s="19">
        <f>IF(OR(D11="",H11=""),"",D11+N(F11)-H11)</f>
        <v/>
      </c>
      <c r="H11" s="8" t="n">
        <v>4</v>
      </c>
      <c r="I11" s="8" t="n">
        <v>5</v>
      </c>
      <c r="J11" s="8" t="n">
        <v>5</v>
      </c>
      <c r="K11" s="19">
        <f>IF(OR(H11="",L11=""),"",H11+N(J11)-L11)</f>
        <v/>
      </c>
      <c r="L11" s="10" t="n"/>
      <c r="M11" s="10" t="n"/>
      <c r="N11" s="10" t="n"/>
      <c r="O11" s="19">
        <f>IF(OR(L11="",P11=""),"",L11+N(N11)-P11)</f>
        <v/>
      </c>
      <c r="P11" s="10" t="n"/>
      <c r="Q11" s="10" t="n"/>
      <c r="R11" s="10" t="n"/>
      <c r="S11" s="19">
        <f>IF(OR(P11="",T11=""),"",P11+N(R11)-T11)</f>
        <v/>
      </c>
      <c r="T11" s="10" t="n"/>
      <c r="U11" s="20">
        <f>IF(COUNT(G11,K11,O11,S11)=0,"",SUM(G11,K11,O11,S11))</f>
        <v/>
      </c>
      <c r="V11" s="20">
        <f>IF(COUNT(G11,K11,O11,S11)=0,"",ROUND(AVERAGE(G11,K11,O11,S11),1))</f>
        <v/>
      </c>
    </row>
    <row r="12">
      <c r="A12" s="16">
        <f>IF(Produits!$A$10="","",Produits!$A$10)</f>
        <v/>
      </c>
      <c r="B12" s="17">
        <f>IF(Produits!$A$10="","",Produits!$B$10)</f>
        <v/>
      </c>
      <c r="C12" s="18">
        <f>IF(Produits!$A$10="","",Produits!$C$10)</f>
        <v/>
      </c>
      <c r="D12" s="8" t="n">
        <v>4</v>
      </c>
      <c r="E12" s="8" t="n">
        <v>12</v>
      </c>
      <c r="F12" s="8" t="n">
        <v>12</v>
      </c>
      <c r="G12" s="19">
        <f>IF(OR(D12="",H12=""),"",D12+N(F12)-H12)</f>
        <v/>
      </c>
      <c r="H12" s="8" t="n">
        <v>5</v>
      </c>
      <c r="I12" s="8" t="n">
        <v>10</v>
      </c>
      <c r="J12" s="8" t="n">
        <v>10</v>
      </c>
      <c r="K12" s="19">
        <f>IF(OR(H12="",L12=""),"",H12+N(J12)-L12)</f>
        <v/>
      </c>
      <c r="L12" s="10" t="n"/>
      <c r="M12" s="10" t="n"/>
      <c r="N12" s="10" t="n"/>
      <c r="O12" s="19">
        <f>IF(OR(L12="",P12=""),"",L12+N(N12)-P12)</f>
        <v/>
      </c>
      <c r="P12" s="10" t="n"/>
      <c r="Q12" s="10" t="n"/>
      <c r="R12" s="10" t="n"/>
      <c r="S12" s="19">
        <f>IF(OR(P12="",T12=""),"",P12+N(R12)-T12)</f>
        <v/>
      </c>
      <c r="T12" s="10" t="n"/>
      <c r="U12" s="20">
        <f>IF(COUNT(G12,K12,O12,S12)=0,"",SUM(G12,K12,O12,S12))</f>
        <v/>
      </c>
      <c r="V12" s="20">
        <f>IF(COUNT(G12,K12,O12,S12)=0,"",ROUND(AVERAGE(G12,K12,O12,S12),1))</f>
        <v/>
      </c>
    </row>
    <row r="13">
      <c r="A13" s="16">
        <f>IF(Produits!$A$11="","",Produits!$A$11)</f>
        <v/>
      </c>
      <c r="B13" s="17">
        <f>IF(Produits!$A$11="","",Produits!$B$11)</f>
        <v/>
      </c>
      <c r="C13" s="18">
        <f>IF(Produits!$A$11="","",Produits!$C$11)</f>
        <v/>
      </c>
      <c r="D13" s="8" t="n">
        <v>3</v>
      </c>
      <c r="E13" s="8" t="n">
        <v>6</v>
      </c>
      <c r="F13" s="8" t="n">
        <v>6</v>
      </c>
      <c r="G13" s="19">
        <f>IF(OR(D13="",H13=""),"",D13+N(F13)-H13)</f>
        <v/>
      </c>
      <c r="H13" s="8" t="n">
        <v>4</v>
      </c>
      <c r="I13" s="8" t="n">
        <v>6</v>
      </c>
      <c r="J13" s="8" t="n">
        <v>6</v>
      </c>
      <c r="K13" s="19">
        <f>IF(OR(H13="",L13=""),"",H13+N(J13)-L13)</f>
        <v/>
      </c>
      <c r="L13" s="10" t="n"/>
      <c r="M13" s="10" t="n"/>
      <c r="N13" s="10" t="n"/>
      <c r="O13" s="19">
        <f>IF(OR(L13="",P13=""),"",L13+N(N13)-P13)</f>
        <v/>
      </c>
      <c r="P13" s="10" t="n"/>
      <c r="Q13" s="10" t="n"/>
      <c r="R13" s="10" t="n"/>
      <c r="S13" s="19">
        <f>IF(OR(P13="",T13=""),"",P13+N(R13)-T13)</f>
        <v/>
      </c>
      <c r="T13" s="10" t="n"/>
      <c r="U13" s="20">
        <f>IF(COUNT(G13,K13,O13,S13)=0,"",SUM(G13,K13,O13,S13))</f>
        <v/>
      </c>
      <c r="V13" s="20">
        <f>IF(COUNT(G13,K13,O13,S13)=0,"",ROUND(AVERAGE(G13,K13,O13,S13),1))</f>
        <v/>
      </c>
    </row>
    <row r="14">
      <c r="A14" s="16">
        <f>IF(Produits!$A$12="","",Produits!$A$12)</f>
        <v/>
      </c>
      <c r="B14" s="17">
        <f>IF(Produits!$A$12="","",Produits!$B$12)</f>
        <v/>
      </c>
      <c r="C14" s="18">
        <f>IF(Produits!$A$12="","",Produits!$C$12)</f>
        <v/>
      </c>
      <c r="D14" s="8" t="n">
        <v>40</v>
      </c>
      <c r="E14" s="8" t="n">
        <v>90</v>
      </c>
      <c r="F14" s="8" t="n">
        <v>90</v>
      </c>
      <c r="G14" s="19">
        <f>IF(OR(D14="",H14=""),"",D14+N(F14)-H14)</f>
        <v/>
      </c>
      <c r="H14" s="8" t="n">
        <v>50</v>
      </c>
      <c r="I14" s="8" t="n">
        <v>60</v>
      </c>
      <c r="J14" s="8" t="n">
        <v>60</v>
      </c>
      <c r="K14" s="19">
        <f>IF(OR(H14="",L14=""),"",H14+N(J14)-L14)</f>
        <v/>
      </c>
      <c r="L14" s="10" t="n"/>
      <c r="M14" s="10" t="n"/>
      <c r="N14" s="10" t="n"/>
      <c r="O14" s="19">
        <f>IF(OR(L14="",P14=""),"",L14+N(N14)-P14)</f>
        <v/>
      </c>
      <c r="P14" s="10" t="n"/>
      <c r="Q14" s="10" t="n"/>
      <c r="R14" s="10" t="n"/>
      <c r="S14" s="19">
        <f>IF(OR(P14="",T14=""),"",P14+N(R14)-T14)</f>
        <v/>
      </c>
      <c r="T14" s="10" t="n"/>
      <c r="U14" s="20">
        <f>IF(COUNT(G14,K14,O14,S14)=0,"",SUM(G14,K14,O14,S14))</f>
        <v/>
      </c>
      <c r="V14" s="20">
        <f>IF(COUNT(G14,K14,O14,S14)=0,"",ROUND(AVERAGE(G14,K14,O14,S14),1))</f>
        <v/>
      </c>
    </row>
    <row r="15">
      <c r="A15" s="16">
        <f>IF(Produits!$A$13="","",Produits!$A$13)</f>
        <v/>
      </c>
      <c r="B15" s="17">
        <f>IF(Produits!$A$13="","",Produits!$B$13)</f>
        <v/>
      </c>
      <c r="C15" s="18">
        <f>IF(Produits!$A$13="","",Produits!$C$13)</f>
        <v/>
      </c>
      <c r="D15" s="8" t="n">
        <v>1.5</v>
      </c>
      <c r="E15" s="8" t="n">
        <v>3</v>
      </c>
      <c r="F15" s="8" t="n">
        <v>2</v>
      </c>
      <c r="G15" s="19">
        <f>IF(OR(D15="",H15=""),"",D15+N(F15)-H15)</f>
        <v/>
      </c>
      <c r="H15" s="8" t="n">
        <v>2</v>
      </c>
      <c r="I15" s="8" t="n">
        <v>2</v>
      </c>
      <c r="J15" s="8" t="n">
        <v>2</v>
      </c>
      <c r="K15" s="19">
        <f>IF(OR(H15="",L15=""),"",H15+N(J15)-L15)</f>
        <v/>
      </c>
      <c r="L15" s="10" t="n"/>
      <c r="M15" s="10" t="n"/>
      <c r="N15" s="10" t="n"/>
      <c r="O15" s="19">
        <f>IF(OR(L15="",P15=""),"",L15+N(N15)-P15)</f>
        <v/>
      </c>
      <c r="P15" s="10" t="n"/>
      <c r="Q15" s="10" t="n"/>
      <c r="R15" s="10" t="n"/>
      <c r="S15" s="19">
        <f>IF(OR(P15="",T15=""),"",P15+N(R15)-T15)</f>
        <v/>
      </c>
      <c r="T15" s="10" t="n"/>
      <c r="U15" s="20">
        <f>IF(COUNT(G15,K15,O15,S15)=0,"",SUM(G15,K15,O15,S15))</f>
        <v/>
      </c>
      <c r="V15" s="20">
        <f>IF(COUNT(G15,K15,O15,S15)=0,"",ROUND(AVERAGE(G15,K15,O15,S15),1))</f>
        <v/>
      </c>
    </row>
    <row r="16">
      <c r="A16" s="16">
        <f>IF(Produits!$A$14="","",Produits!$A$14)</f>
        <v/>
      </c>
      <c r="B16" s="17">
        <f>IF(Produits!$A$14="","",Produits!$B$14)</f>
        <v/>
      </c>
      <c r="C16" s="18">
        <f>IF(Produits!$A$14="","",Produits!$C$14)</f>
        <v/>
      </c>
      <c r="D16" s="8" t="n">
        <v>2</v>
      </c>
      <c r="E16" s="8" t="n">
        <v>2</v>
      </c>
      <c r="F16" s="8" t="n">
        <v>2</v>
      </c>
      <c r="G16" s="19">
        <f>IF(OR(D16="",H16=""),"",D16+N(F16)-H16)</f>
        <v/>
      </c>
      <c r="H16" s="8" t="n">
        <v>2</v>
      </c>
      <c r="I16" s="8" t="n">
        <v>2</v>
      </c>
      <c r="J16" s="8" t="n">
        <v>2</v>
      </c>
      <c r="K16" s="19">
        <f>IF(OR(H16="",L16=""),"",H16+N(J16)-L16)</f>
        <v/>
      </c>
      <c r="L16" s="10" t="n"/>
      <c r="M16" s="10" t="n"/>
      <c r="N16" s="10" t="n"/>
      <c r="O16" s="19">
        <f>IF(OR(L16="",P16=""),"",L16+N(N16)-P16)</f>
        <v/>
      </c>
      <c r="P16" s="10" t="n"/>
      <c r="Q16" s="10" t="n"/>
      <c r="R16" s="10" t="n"/>
      <c r="S16" s="19">
        <f>IF(OR(P16="",T16=""),"",P16+N(R16)-T16)</f>
        <v/>
      </c>
      <c r="T16" s="10" t="n"/>
      <c r="U16" s="20">
        <f>IF(COUNT(G16,K16,O16,S16)=0,"",SUM(G16,K16,O16,S16))</f>
        <v/>
      </c>
      <c r="V16" s="20">
        <f>IF(COUNT(G16,K16,O16,S16)=0,"",ROUND(AVERAGE(G16,K16,O16,S16),1))</f>
        <v/>
      </c>
    </row>
    <row r="17">
      <c r="A17" s="16">
        <f>IF(Produits!$A$15="","",Produits!$A$15)</f>
        <v/>
      </c>
      <c r="B17" s="17">
        <f>IF(Produits!$A$15="","",Produits!$B$15)</f>
        <v/>
      </c>
      <c r="C17" s="18">
        <f>IF(Produits!$A$15="","",Produits!$C$15)</f>
        <v/>
      </c>
      <c r="D17" s="8" t="n">
        <v>0.4</v>
      </c>
      <c r="E17" s="8" t="n">
        <v>1</v>
      </c>
      <c r="F17" s="8" t="n">
        <v>1</v>
      </c>
      <c r="G17" s="19">
        <f>IF(OR(D17="",H17=""),"",D17+N(F17)-H17)</f>
        <v/>
      </c>
      <c r="H17" s="8" t="n">
        <v>0.6</v>
      </c>
      <c r="I17" s="8" t="n">
        <v>0</v>
      </c>
      <c r="J17" s="8" t="n">
        <v>0</v>
      </c>
      <c r="K17" s="19">
        <f>IF(OR(H17="",L17=""),"",H17+N(J17)-L17)</f>
        <v/>
      </c>
      <c r="L17" s="10" t="n"/>
      <c r="M17" s="10" t="n"/>
      <c r="N17" s="10" t="n"/>
      <c r="O17" s="19">
        <f>IF(OR(L17="",P17=""),"",L17+N(N17)-P17)</f>
        <v/>
      </c>
      <c r="P17" s="10" t="n"/>
      <c r="Q17" s="10" t="n"/>
      <c r="R17" s="10" t="n"/>
      <c r="S17" s="19">
        <f>IF(OR(P17="",T17=""),"",P17+N(R17)-T17)</f>
        <v/>
      </c>
      <c r="T17" s="10" t="n"/>
      <c r="U17" s="20">
        <f>IF(COUNT(G17,K17,O17,S17)=0,"",SUM(G17,K17,O17,S17))</f>
        <v/>
      </c>
      <c r="V17" s="20">
        <f>IF(COUNT(G17,K17,O17,S17)=0,"",ROUND(AVERAGE(G17,K17,O17,S17),1))</f>
        <v/>
      </c>
    </row>
    <row r="18">
      <c r="A18" s="16">
        <f>IF(Produits!$A$16="","",Produits!$A$16)</f>
        <v/>
      </c>
      <c r="B18" s="17">
        <f>IF(Produits!$A$16="","",Produits!$B$16)</f>
        <v/>
      </c>
      <c r="C18" s="18">
        <f>IF(Produits!$A$16="","",Produits!$C$16)</f>
        <v/>
      </c>
      <c r="D18" s="8" t="n">
        <v>6</v>
      </c>
      <c r="E18" s="8" t="n">
        <v>0</v>
      </c>
      <c r="F18" s="8" t="n">
        <v>0</v>
      </c>
      <c r="G18" s="19">
        <f>IF(OR(D18="",H18=""),"",D18+N(F18)-H18)</f>
        <v/>
      </c>
      <c r="H18" s="8" t="n">
        <v>6</v>
      </c>
      <c r="I18" s="8" t="n">
        <v>0</v>
      </c>
      <c r="J18" s="8" t="n">
        <v>0</v>
      </c>
      <c r="K18" s="19">
        <f>IF(OR(H18="",L18=""),"",H18+N(J18)-L18)</f>
        <v/>
      </c>
      <c r="L18" s="10" t="n"/>
      <c r="M18" s="10" t="n"/>
      <c r="N18" s="10" t="n"/>
      <c r="O18" s="19">
        <f>IF(OR(L18="",P18=""),"",L18+N(N18)-P18)</f>
        <v/>
      </c>
      <c r="P18" s="10" t="n"/>
      <c r="Q18" s="10" t="n"/>
      <c r="R18" s="10" t="n"/>
      <c r="S18" s="19">
        <f>IF(OR(P18="",T18=""),"",P18+N(R18)-T18)</f>
        <v/>
      </c>
      <c r="T18" s="10" t="n"/>
      <c r="U18" s="20">
        <f>IF(COUNT(G18,K18,O18,S18)=0,"",SUM(G18,K18,O18,S18))</f>
        <v/>
      </c>
      <c r="V18" s="20">
        <f>IF(COUNT(G18,K18,O18,S18)=0,"",ROUND(AVERAGE(G18,K18,O18,S18),1))</f>
        <v/>
      </c>
    </row>
    <row r="19">
      <c r="A19" s="16">
        <f>IF(Produits!$A$17="","",Produits!$A$17)</f>
        <v/>
      </c>
      <c r="B19" s="17">
        <f>IF(Produits!$A$17="","",Produits!$B$17)</f>
        <v/>
      </c>
      <c r="C19" s="18">
        <f>IF(Produits!$A$17="","",Produits!$C$17)</f>
        <v/>
      </c>
      <c r="D19" s="10" t="n"/>
      <c r="E19" s="10" t="n"/>
      <c r="F19" s="10" t="n"/>
      <c r="G19" s="19">
        <f>IF(OR(D19="",H19=""),"",D19+N(F19)-H19)</f>
        <v/>
      </c>
      <c r="H19" s="10" t="n"/>
      <c r="I19" s="10" t="n"/>
      <c r="J19" s="10" t="n"/>
      <c r="K19" s="19">
        <f>IF(OR(H19="",L19=""),"",H19+N(J19)-L19)</f>
        <v/>
      </c>
      <c r="L19" s="10" t="n"/>
      <c r="M19" s="10" t="n"/>
      <c r="N19" s="10" t="n"/>
      <c r="O19" s="19">
        <f>IF(OR(L19="",P19=""),"",L19+N(N19)-P19)</f>
        <v/>
      </c>
      <c r="P19" s="10" t="n"/>
      <c r="Q19" s="10" t="n"/>
      <c r="R19" s="10" t="n"/>
      <c r="S19" s="19">
        <f>IF(OR(P19="",T19=""),"",P19+N(R19)-T19)</f>
        <v/>
      </c>
      <c r="T19" s="10" t="n"/>
      <c r="U19" s="20">
        <f>IF(COUNT(G19,K19,O19,S19)=0,"",SUM(G19,K19,O19,S19))</f>
        <v/>
      </c>
      <c r="V19" s="20">
        <f>IF(COUNT(G19,K19,O19,S19)=0,"",ROUND(AVERAGE(G19,K19,O19,S19),1))</f>
        <v/>
      </c>
    </row>
    <row r="20">
      <c r="A20" s="16">
        <f>IF(Produits!$A$18="","",Produits!$A$18)</f>
        <v/>
      </c>
      <c r="B20" s="17">
        <f>IF(Produits!$A$18="","",Produits!$B$18)</f>
        <v/>
      </c>
      <c r="C20" s="18">
        <f>IF(Produits!$A$18="","",Produits!$C$18)</f>
        <v/>
      </c>
      <c r="D20" s="10" t="n"/>
      <c r="E20" s="10" t="n"/>
      <c r="F20" s="10" t="n"/>
      <c r="G20" s="19">
        <f>IF(OR(D20="",H20=""),"",D20+N(F20)-H20)</f>
        <v/>
      </c>
      <c r="H20" s="10" t="n"/>
      <c r="I20" s="10" t="n"/>
      <c r="J20" s="10" t="n"/>
      <c r="K20" s="19">
        <f>IF(OR(H20="",L20=""),"",H20+N(J20)-L20)</f>
        <v/>
      </c>
      <c r="L20" s="10" t="n"/>
      <c r="M20" s="10" t="n"/>
      <c r="N20" s="10" t="n"/>
      <c r="O20" s="19">
        <f>IF(OR(L20="",P20=""),"",L20+N(N20)-P20)</f>
        <v/>
      </c>
      <c r="P20" s="10" t="n"/>
      <c r="Q20" s="10" t="n"/>
      <c r="R20" s="10" t="n"/>
      <c r="S20" s="19">
        <f>IF(OR(P20="",T20=""),"",P20+N(R20)-T20)</f>
        <v/>
      </c>
      <c r="T20" s="10" t="n"/>
      <c r="U20" s="20">
        <f>IF(COUNT(G20,K20,O20,S20)=0,"",SUM(G20,K20,O20,S20))</f>
        <v/>
      </c>
      <c r="V20" s="20">
        <f>IF(COUNT(G20,K20,O20,S20)=0,"",ROUND(AVERAGE(G20,K20,O20,S20),1))</f>
        <v/>
      </c>
    </row>
    <row r="21">
      <c r="A21" s="16">
        <f>IF(Produits!$A$19="","",Produits!$A$19)</f>
        <v/>
      </c>
      <c r="B21" s="17">
        <f>IF(Produits!$A$19="","",Produits!$B$19)</f>
        <v/>
      </c>
      <c r="C21" s="18">
        <f>IF(Produits!$A$19="","",Produits!$C$19)</f>
        <v/>
      </c>
      <c r="D21" s="10" t="n"/>
      <c r="E21" s="10" t="n"/>
      <c r="F21" s="10" t="n"/>
      <c r="G21" s="19">
        <f>IF(OR(D21="",H21=""),"",D21+N(F21)-H21)</f>
        <v/>
      </c>
      <c r="H21" s="10" t="n"/>
      <c r="I21" s="10" t="n"/>
      <c r="J21" s="10" t="n"/>
      <c r="K21" s="19">
        <f>IF(OR(H21="",L21=""),"",H21+N(J21)-L21)</f>
        <v/>
      </c>
      <c r="L21" s="10" t="n"/>
      <c r="M21" s="10" t="n"/>
      <c r="N21" s="10" t="n"/>
      <c r="O21" s="19">
        <f>IF(OR(L21="",P21=""),"",L21+N(N21)-P21)</f>
        <v/>
      </c>
      <c r="P21" s="10" t="n"/>
      <c r="Q21" s="10" t="n"/>
      <c r="R21" s="10" t="n"/>
      <c r="S21" s="19">
        <f>IF(OR(P21="",T21=""),"",P21+N(R21)-T21)</f>
        <v/>
      </c>
      <c r="T21" s="10" t="n"/>
      <c r="U21" s="20">
        <f>IF(COUNT(G21,K21,O21,S21)=0,"",SUM(G21,K21,O21,S21))</f>
        <v/>
      </c>
      <c r="V21" s="20">
        <f>IF(COUNT(G21,K21,O21,S21)=0,"",ROUND(AVERAGE(G21,K21,O21,S21),1))</f>
        <v/>
      </c>
    </row>
    <row r="22">
      <c r="A22" s="16">
        <f>IF(Produits!$A$20="","",Produits!$A$20)</f>
        <v/>
      </c>
      <c r="B22" s="17">
        <f>IF(Produits!$A$20="","",Produits!$B$20)</f>
        <v/>
      </c>
      <c r="C22" s="18">
        <f>IF(Produits!$A$20="","",Produits!$C$20)</f>
        <v/>
      </c>
      <c r="D22" s="10" t="n"/>
      <c r="E22" s="10" t="n"/>
      <c r="F22" s="10" t="n"/>
      <c r="G22" s="19">
        <f>IF(OR(D22="",H22=""),"",D22+N(F22)-H22)</f>
        <v/>
      </c>
      <c r="H22" s="10" t="n"/>
      <c r="I22" s="10" t="n"/>
      <c r="J22" s="10" t="n"/>
      <c r="K22" s="19">
        <f>IF(OR(H22="",L22=""),"",H22+N(J22)-L22)</f>
        <v/>
      </c>
      <c r="L22" s="10" t="n"/>
      <c r="M22" s="10" t="n"/>
      <c r="N22" s="10" t="n"/>
      <c r="O22" s="19">
        <f>IF(OR(L22="",P22=""),"",L22+N(N22)-P22)</f>
        <v/>
      </c>
      <c r="P22" s="10" t="n"/>
      <c r="Q22" s="10" t="n"/>
      <c r="R22" s="10" t="n"/>
      <c r="S22" s="19">
        <f>IF(OR(P22="",T22=""),"",P22+N(R22)-T22)</f>
        <v/>
      </c>
      <c r="T22" s="10" t="n"/>
      <c r="U22" s="20">
        <f>IF(COUNT(G22,K22,O22,S22)=0,"",SUM(G22,K22,O22,S22))</f>
        <v/>
      </c>
      <c r="V22" s="20">
        <f>IF(COUNT(G22,K22,O22,S22)=0,"",ROUND(AVERAGE(G22,K22,O22,S22),1))</f>
        <v/>
      </c>
    </row>
    <row r="23">
      <c r="A23" s="16">
        <f>IF(Produits!$A$21="","",Produits!$A$21)</f>
        <v/>
      </c>
      <c r="B23" s="17">
        <f>IF(Produits!$A$21="","",Produits!$B$21)</f>
        <v/>
      </c>
      <c r="C23" s="18">
        <f>IF(Produits!$A$21="","",Produits!$C$21)</f>
        <v/>
      </c>
      <c r="D23" s="10" t="n"/>
      <c r="E23" s="10" t="n"/>
      <c r="F23" s="10" t="n"/>
      <c r="G23" s="19">
        <f>IF(OR(D23="",H23=""),"",D23+N(F23)-H23)</f>
        <v/>
      </c>
      <c r="H23" s="10" t="n"/>
      <c r="I23" s="10" t="n"/>
      <c r="J23" s="10" t="n"/>
      <c r="K23" s="19">
        <f>IF(OR(H23="",L23=""),"",H23+N(J23)-L23)</f>
        <v/>
      </c>
      <c r="L23" s="10" t="n"/>
      <c r="M23" s="10" t="n"/>
      <c r="N23" s="10" t="n"/>
      <c r="O23" s="19">
        <f>IF(OR(L23="",P23=""),"",L23+N(N23)-P23)</f>
        <v/>
      </c>
      <c r="P23" s="10" t="n"/>
      <c r="Q23" s="10" t="n"/>
      <c r="R23" s="10" t="n"/>
      <c r="S23" s="19">
        <f>IF(OR(P23="",T23=""),"",P23+N(R23)-T23)</f>
        <v/>
      </c>
      <c r="T23" s="10" t="n"/>
      <c r="U23" s="20">
        <f>IF(COUNT(G23,K23,O23,S23)=0,"",SUM(G23,K23,O23,S23))</f>
        <v/>
      </c>
      <c r="V23" s="20">
        <f>IF(COUNT(G23,K23,O23,S23)=0,"",ROUND(AVERAGE(G23,K23,O23,S23),1))</f>
        <v/>
      </c>
    </row>
    <row r="24">
      <c r="A24" s="16">
        <f>IF(Produits!$A$22="","",Produits!$A$22)</f>
        <v/>
      </c>
      <c r="B24" s="17">
        <f>IF(Produits!$A$22="","",Produits!$B$22)</f>
        <v/>
      </c>
      <c r="C24" s="18">
        <f>IF(Produits!$A$22="","",Produits!$C$22)</f>
        <v/>
      </c>
      <c r="D24" s="10" t="n"/>
      <c r="E24" s="10" t="n"/>
      <c r="F24" s="10" t="n"/>
      <c r="G24" s="19">
        <f>IF(OR(D24="",H24=""),"",D24+N(F24)-H24)</f>
        <v/>
      </c>
      <c r="H24" s="10" t="n"/>
      <c r="I24" s="10" t="n"/>
      <c r="J24" s="10" t="n"/>
      <c r="K24" s="19">
        <f>IF(OR(H24="",L24=""),"",H24+N(J24)-L24)</f>
        <v/>
      </c>
      <c r="L24" s="10" t="n"/>
      <c r="M24" s="10" t="n"/>
      <c r="N24" s="10" t="n"/>
      <c r="O24" s="19">
        <f>IF(OR(L24="",P24=""),"",L24+N(N24)-P24)</f>
        <v/>
      </c>
      <c r="P24" s="10" t="n"/>
      <c r="Q24" s="10" t="n"/>
      <c r="R24" s="10" t="n"/>
      <c r="S24" s="19">
        <f>IF(OR(P24="",T24=""),"",P24+N(R24)-T24)</f>
        <v/>
      </c>
      <c r="T24" s="10" t="n"/>
      <c r="U24" s="20">
        <f>IF(COUNT(G24,K24,O24,S24)=0,"",SUM(G24,K24,O24,S24))</f>
        <v/>
      </c>
      <c r="V24" s="20">
        <f>IF(COUNT(G24,K24,O24,S24)=0,"",ROUND(AVERAGE(G24,K24,O24,S24),1))</f>
        <v/>
      </c>
    </row>
    <row r="25">
      <c r="A25" s="16">
        <f>IF(Produits!$A$23="","",Produits!$A$23)</f>
        <v/>
      </c>
      <c r="B25" s="17">
        <f>IF(Produits!$A$23="","",Produits!$B$23)</f>
        <v/>
      </c>
      <c r="C25" s="18">
        <f>IF(Produits!$A$23="","",Produits!$C$23)</f>
        <v/>
      </c>
      <c r="D25" s="10" t="n"/>
      <c r="E25" s="10" t="n"/>
      <c r="F25" s="10" t="n"/>
      <c r="G25" s="19">
        <f>IF(OR(D25="",H25=""),"",D25+N(F25)-H25)</f>
        <v/>
      </c>
      <c r="H25" s="10" t="n"/>
      <c r="I25" s="10" t="n"/>
      <c r="J25" s="10" t="n"/>
      <c r="K25" s="19">
        <f>IF(OR(H25="",L25=""),"",H25+N(J25)-L25)</f>
        <v/>
      </c>
      <c r="L25" s="10" t="n"/>
      <c r="M25" s="10" t="n"/>
      <c r="N25" s="10" t="n"/>
      <c r="O25" s="19">
        <f>IF(OR(L25="",P25=""),"",L25+N(N25)-P25)</f>
        <v/>
      </c>
      <c r="P25" s="10" t="n"/>
      <c r="Q25" s="10" t="n"/>
      <c r="R25" s="10" t="n"/>
      <c r="S25" s="19">
        <f>IF(OR(P25="",T25=""),"",P25+N(R25)-T25)</f>
        <v/>
      </c>
      <c r="T25" s="10" t="n"/>
      <c r="U25" s="20">
        <f>IF(COUNT(G25,K25,O25,S25)=0,"",SUM(G25,K25,O25,S25))</f>
        <v/>
      </c>
      <c r="V25" s="20">
        <f>IF(COUNT(G25,K25,O25,S25)=0,"",ROUND(AVERAGE(G25,K25,O25,S25),1))</f>
        <v/>
      </c>
    </row>
    <row r="26">
      <c r="A26" s="16">
        <f>IF(Produits!$A$24="","",Produits!$A$24)</f>
        <v/>
      </c>
      <c r="B26" s="17">
        <f>IF(Produits!$A$24="","",Produits!$B$24)</f>
        <v/>
      </c>
      <c r="C26" s="18">
        <f>IF(Produits!$A$24="","",Produits!$C$24)</f>
        <v/>
      </c>
      <c r="D26" s="10" t="n"/>
      <c r="E26" s="10" t="n"/>
      <c r="F26" s="10" t="n"/>
      <c r="G26" s="19">
        <f>IF(OR(D26="",H26=""),"",D26+N(F26)-H26)</f>
        <v/>
      </c>
      <c r="H26" s="10" t="n"/>
      <c r="I26" s="10" t="n"/>
      <c r="J26" s="10" t="n"/>
      <c r="K26" s="19">
        <f>IF(OR(H26="",L26=""),"",H26+N(J26)-L26)</f>
        <v/>
      </c>
      <c r="L26" s="10" t="n"/>
      <c r="M26" s="10" t="n"/>
      <c r="N26" s="10" t="n"/>
      <c r="O26" s="19">
        <f>IF(OR(L26="",P26=""),"",L26+N(N26)-P26)</f>
        <v/>
      </c>
      <c r="P26" s="10" t="n"/>
      <c r="Q26" s="10" t="n"/>
      <c r="R26" s="10" t="n"/>
      <c r="S26" s="19">
        <f>IF(OR(P26="",T26=""),"",P26+N(R26)-T26)</f>
        <v/>
      </c>
      <c r="T26" s="10" t="n"/>
      <c r="U26" s="20">
        <f>IF(COUNT(G26,K26,O26,S26)=0,"",SUM(G26,K26,O26,S26))</f>
        <v/>
      </c>
      <c r="V26" s="20">
        <f>IF(COUNT(G26,K26,O26,S26)=0,"",ROUND(AVERAGE(G26,K26,O26,S26),1))</f>
        <v/>
      </c>
    </row>
    <row r="27">
      <c r="A27" s="16">
        <f>IF(Produits!$A$25="","",Produits!$A$25)</f>
        <v/>
      </c>
      <c r="B27" s="17">
        <f>IF(Produits!$A$25="","",Produits!$B$25)</f>
        <v/>
      </c>
      <c r="C27" s="18">
        <f>IF(Produits!$A$25="","",Produits!$C$25)</f>
        <v/>
      </c>
      <c r="D27" s="10" t="n"/>
      <c r="E27" s="10" t="n"/>
      <c r="F27" s="10" t="n"/>
      <c r="G27" s="19">
        <f>IF(OR(D27="",H27=""),"",D27+N(F27)-H27)</f>
        <v/>
      </c>
      <c r="H27" s="10" t="n"/>
      <c r="I27" s="10" t="n"/>
      <c r="J27" s="10" t="n"/>
      <c r="K27" s="19">
        <f>IF(OR(H27="",L27=""),"",H27+N(J27)-L27)</f>
        <v/>
      </c>
      <c r="L27" s="10" t="n"/>
      <c r="M27" s="10" t="n"/>
      <c r="N27" s="10" t="n"/>
      <c r="O27" s="19">
        <f>IF(OR(L27="",P27=""),"",L27+N(N27)-P27)</f>
        <v/>
      </c>
      <c r="P27" s="10" t="n"/>
      <c r="Q27" s="10" t="n"/>
      <c r="R27" s="10" t="n"/>
      <c r="S27" s="19">
        <f>IF(OR(P27="",T27=""),"",P27+N(R27)-T27)</f>
        <v/>
      </c>
      <c r="T27" s="10" t="n"/>
      <c r="U27" s="20">
        <f>IF(COUNT(G27,K27,O27,S27)=0,"",SUM(G27,K27,O27,S27))</f>
        <v/>
      </c>
      <c r="V27" s="20">
        <f>IF(COUNT(G27,K27,O27,S27)=0,"",ROUND(AVERAGE(G27,K27,O27,S27),1))</f>
        <v/>
      </c>
    </row>
    <row r="28">
      <c r="A28" s="16">
        <f>IF(Produits!$A$26="","",Produits!$A$26)</f>
        <v/>
      </c>
      <c r="B28" s="17">
        <f>IF(Produits!$A$26="","",Produits!$B$26)</f>
        <v/>
      </c>
      <c r="C28" s="18">
        <f>IF(Produits!$A$26="","",Produits!$C$26)</f>
        <v/>
      </c>
      <c r="D28" s="10" t="n"/>
      <c r="E28" s="10" t="n"/>
      <c r="F28" s="10" t="n"/>
      <c r="G28" s="19">
        <f>IF(OR(D28="",H28=""),"",D28+N(F28)-H28)</f>
        <v/>
      </c>
      <c r="H28" s="10" t="n"/>
      <c r="I28" s="10" t="n"/>
      <c r="J28" s="10" t="n"/>
      <c r="K28" s="19">
        <f>IF(OR(H28="",L28=""),"",H28+N(J28)-L28)</f>
        <v/>
      </c>
      <c r="L28" s="10" t="n"/>
      <c r="M28" s="10" t="n"/>
      <c r="N28" s="10" t="n"/>
      <c r="O28" s="19">
        <f>IF(OR(L28="",P28=""),"",L28+N(N28)-P28)</f>
        <v/>
      </c>
      <c r="P28" s="10" t="n"/>
      <c r="Q28" s="10" t="n"/>
      <c r="R28" s="10" t="n"/>
      <c r="S28" s="19">
        <f>IF(OR(P28="",T28=""),"",P28+N(R28)-T28)</f>
        <v/>
      </c>
      <c r="T28" s="10" t="n"/>
      <c r="U28" s="20">
        <f>IF(COUNT(G28,K28,O28,S28)=0,"",SUM(G28,K28,O28,S28))</f>
        <v/>
      </c>
      <c r="V28" s="20">
        <f>IF(COUNT(G28,K28,O28,S28)=0,"",ROUND(AVERAGE(G28,K28,O28,S28),1))</f>
        <v/>
      </c>
    </row>
    <row r="29">
      <c r="A29" s="16">
        <f>IF(Produits!$A$27="","",Produits!$A$27)</f>
        <v/>
      </c>
      <c r="B29" s="17">
        <f>IF(Produits!$A$27="","",Produits!$B$27)</f>
        <v/>
      </c>
      <c r="C29" s="18">
        <f>IF(Produits!$A$27="","",Produits!$C$27)</f>
        <v/>
      </c>
      <c r="D29" s="10" t="n"/>
      <c r="E29" s="10" t="n"/>
      <c r="F29" s="10" t="n"/>
      <c r="G29" s="19">
        <f>IF(OR(D29="",H29=""),"",D29+N(F29)-H29)</f>
        <v/>
      </c>
      <c r="H29" s="10" t="n"/>
      <c r="I29" s="10" t="n"/>
      <c r="J29" s="10" t="n"/>
      <c r="K29" s="19">
        <f>IF(OR(H29="",L29=""),"",H29+N(J29)-L29)</f>
        <v/>
      </c>
      <c r="L29" s="10" t="n"/>
      <c r="M29" s="10" t="n"/>
      <c r="N29" s="10" t="n"/>
      <c r="O29" s="19">
        <f>IF(OR(L29="",P29=""),"",L29+N(N29)-P29)</f>
        <v/>
      </c>
      <c r="P29" s="10" t="n"/>
      <c r="Q29" s="10" t="n"/>
      <c r="R29" s="10" t="n"/>
      <c r="S29" s="19">
        <f>IF(OR(P29="",T29=""),"",P29+N(R29)-T29)</f>
        <v/>
      </c>
      <c r="T29" s="10" t="n"/>
      <c r="U29" s="20">
        <f>IF(COUNT(G29,K29,O29,S29)=0,"",SUM(G29,K29,O29,S29))</f>
        <v/>
      </c>
      <c r="V29" s="20">
        <f>IF(COUNT(G29,K29,O29,S29)=0,"",ROUND(AVERAGE(G29,K29,O29,S29),1))</f>
        <v/>
      </c>
    </row>
    <row r="30">
      <c r="A30" s="16">
        <f>IF(Produits!$A$28="","",Produits!$A$28)</f>
        <v/>
      </c>
      <c r="B30" s="17">
        <f>IF(Produits!$A$28="","",Produits!$B$28)</f>
        <v/>
      </c>
      <c r="C30" s="18">
        <f>IF(Produits!$A$28="","",Produits!$C$28)</f>
        <v/>
      </c>
      <c r="D30" s="10" t="n"/>
      <c r="E30" s="10" t="n"/>
      <c r="F30" s="10" t="n"/>
      <c r="G30" s="19">
        <f>IF(OR(D30="",H30=""),"",D30+N(F30)-H30)</f>
        <v/>
      </c>
      <c r="H30" s="10" t="n"/>
      <c r="I30" s="10" t="n"/>
      <c r="J30" s="10" t="n"/>
      <c r="K30" s="19">
        <f>IF(OR(H30="",L30=""),"",H30+N(J30)-L30)</f>
        <v/>
      </c>
      <c r="L30" s="10" t="n"/>
      <c r="M30" s="10" t="n"/>
      <c r="N30" s="10" t="n"/>
      <c r="O30" s="19">
        <f>IF(OR(L30="",P30=""),"",L30+N(N30)-P30)</f>
        <v/>
      </c>
      <c r="P30" s="10" t="n"/>
      <c r="Q30" s="10" t="n"/>
      <c r="R30" s="10" t="n"/>
      <c r="S30" s="19">
        <f>IF(OR(P30="",T30=""),"",P30+N(R30)-T30)</f>
        <v/>
      </c>
      <c r="T30" s="10" t="n"/>
      <c r="U30" s="20">
        <f>IF(COUNT(G30,K30,O30,S30)=0,"",SUM(G30,K30,O30,S30))</f>
        <v/>
      </c>
      <c r="V30" s="20">
        <f>IF(COUNT(G30,K30,O30,S30)=0,"",ROUND(AVERAGE(G30,K30,O30,S30),1))</f>
        <v/>
      </c>
    </row>
    <row r="31">
      <c r="A31" s="16">
        <f>IF(Produits!$A$29="","",Produits!$A$29)</f>
        <v/>
      </c>
      <c r="B31" s="17">
        <f>IF(Produits!$A$29="","",Produits!$B$29)</f>
        <v/>
      </c>
      <c r="C31" s="18">
        <f>IF(Produits!$A$29="","",Produits!$C$29)</f>
        <v/>
      </c>
      <c r="D31" s="10" t="n"/>
      <c r="E31" s="10" t="n"/>
      <c r="F31" s="10" t="n"/>
      <c r="G31" s="19">
        <f>IF(OR(D31="",H31=""),"",D31+N(F31)-H31)</f>
        <v/>
      </c>
      <c r="H31" s="10" t="n"/>
      <c r="I31" s="10" t="n"/>
      <c r="J31" s="10" t="n"/>
      <c r="K31" s="19">
        <f>IF(OR(H31="",L31=""),"",H31+N(J31)-L31)</f>
        <v/>
      </c>
      <c r="L31" s="10" t="n"/>
      <c r="M31" s="10" t="n"/>
      <c r="N31" s="10" t="n"/>
      <c r="O31" s="19">
        <f>IF(OR(L31="",P31=""),"",L31+N(N31)-P31)</f>
        <v/>
      </c>
      <c r="P31" s="10" t="n"/>
      <c r="Q31" s="10" t="n"/>
      <c r="R31" s="10" t="n"/>
      <c r="S31" s="19">
        <f>IF(OR(P31="",T31=""),"",P31+N(R31)-T31)</f>
        <v/>
      </c>
      <c r="T31" s="10" t="n"/>
      <c r="U31" s="20">
        <f>IF(COUNT(G31,K31,O31,S31)=0,"",SUM(G31,K31,O31,S31))</f>
        <v/>
      </c>
      <c r="V31" s="20">
        <f>IF(COUNT(G31,K31,O31,S31)=0,"",ROUND(AVERAGE(G31,K31,O31,S31),1))</f>
        <v/>
      </c>
    </row>
    <row r="32">
      <c r="A32" s="16">
        <f>IF(Produits!$A$30="","",Produits!$A$30)</f>
        <v/>
      </c>
      <c r="B32" s="17">
        <f>IF(Produits!$A$30="","",Produits!$B$30)</f>
        <v/>
      </c>
      <c r="C32" s="18">
        <f>IF(Produits!$A$30="","",Produits!$C$30)</f>
        <v/>
      </c>
      <c r="D32" s="10" t="n"/>
      <c r="E32" s="10" t="n"/>
      <c r="F32" s="10" t="n"/>
      <c r="G32" s="19">
        <f>IF(OR(D32="",H32=""),"",D32+N(F32)-H32)</f>
        <v/>
      </c>
      <c r="H32" s="10" t="n"/>
      <c r="I32" s="10" t="n"/>
      <c r="J32" s="10" t="n"/>
      <c r="K32" s="19">
        <f>IF(OR(H32="",L32=""),"",H32+N(J32)-L32)</f>
        <v/>
      </c>
      <c r="L32" s="10" t="n"/>
      <c r="M32" s="10" t="n"/>
      <c r="N32" s="10" t="n"/>
      <c r="O32" s="19">
        <f>IF(OR(L32="",P32=""),"",L32+N(N32)-P32)</f>
        <v/>
      </c>
      <c r="P32" s="10" t="n"/>
      <c r="Q32" s="10" t="n"/>
      <c r="R32" s="10" t="n"/>
      <c r="S32" s="19">
        <f>IF(OR(P32="",T32=""),"",P32+N(R32)-T32)</f>
        <v/>
      </c>
      <c r="T32" s="10" t="n"/>
      <c r="U32" s="20">
        <f>IF(COUNT(G32,K32,O32,S32)=0,"",SUM(G32,K32,O32,S32))</f>
        <v/>
      </c>
      <c r="V32" s="20">
        <f>IF(COUNT(G32,K32,O32,S32)=0,"",ROUND(AVERAGE(G32,K32,O32,S32),1))</f>
        <v/>
      </c>
    </row>
    <row r="33">
      <c r="A33" s="16">
        <f>IF(Produits!$A$31="","",Produits!$A$31)</f>
        <v/>
      </c>
      <c r="B33" s="17">
        <f>IF(Produits!$A$31="","",Produits!$B$31)</f>
        <v/>
      </c>
      <c r="C33" s="18">
        <f>IF(Produits!$A$31="","",Produits!$C$31)</f>
        <v/>
      </c>
      <c r="D33" s="10" t="n"/>
      <c r="E33" s="10" t="n"/>
      <c r="F33" s="10" t="n"/>
      <c r="G33" s="19">
        <f>IF(OR(D33="",H33=""),"",D33+N(F33)-H33)</f>
        <v/>
      </c>
      <c r="H33" s="10" t="n"/>
      <c r="I33" s="10" t="n"/>
      <c r="J33" s="10" t="n"/>
      <c r="K33" s="19">
        <f>IF(OR(H33="",L33=""),"",H33+N(J33)-L33)</f>
        <v/>
      </c>
      <c r="L33" s="10" t="n"/>
      <c r="M33" s="10" t="n"/>
      <c r="N33" s="10" t="n"/>
      <c r="O33" s="19">
        <f>IF(OR(L33="",P33=""),"",L33+N(N33)-P33)</f>
        <v/>
      </c>
      <c r="P33" s="10" t="n"/>
      <c r="Q33" s="10" t="n"/>
      <c r="R33" s="10" t="n"/>
      <c r="S33" s="19">
        <f>IF(OR(P33="",T33=""),"",P33+N(R33)-T33)</f>
        <v/>
      </c>
      <c r="T33" s="10" t="n"/>
      <c r="U33" s="20">
        <f>IF(COUNT(G33,K33,O33,S33)=0,"",SUM(G33,K33,O33,S33))</f>
        <v/>
      </c>
      <c r="V33" s="20">
        <f>IF(COUNT(G33,K33,O33,S33)=0,"",ROUND(AVERAGE(G33,K33,O33,S33),1))</f>
        <v/>
      </c>
    </row>
    <row r="34">
      <c r="A34" s="16">
        <f>IF(Produits!$A$32="","",Produits!$A$32)</f>
        <v/>
      </c>
      <c r="B34" s="17">
        <f>IF(Produits!$A$32="","",Produits!$B$32)</f>
        <v/>
      </c>
      <c r="C34" s="18">
        <f>IF(Produits!$A$32="","",Produits!$C$32)</f>
        <v/>
      </c>
      <c r="D34" s="10" t="n"/>
      <c r="E34" s="10" t="n"/>
      <c r="F34" s="10" t="n"/>
      <c r="G34" s="19">
        <f>IF(OR(D34="",H34=""),"",D34+N(F34)-H34)</f>
        <v/>
      </c>
      <c r="H34" s="10" t="n"/>
      <c r="I34" s="10" t="n"/>
      <c r="J34" s="10" t="n"/>
      <c r="K34" s="19">
        <f>IF(OR(H34="",L34=""),"",H34+N(J34)-L34)</f>
        <v/>
      </c>
      <c r="L34" s="10" t="n"/>
      <c r="M34" s="10" t="n"/>
      <c r="N34" s="10" t="n"/>
      <c r="O34" s="19">
        <f>IF(OR(L34="",P34=""),"",L34+N(N34)-P34)</f>
        <v/>
      </c>
      <c r="P34" s="10" t="n"/>
      <c r="Q34" s="10" t="n"/>
      <c r="R34" s="10" t="n"/>
      <c r="S34" s="19">
        <f>IF(OR(P34="",T34=""),"",P34+N(R34)-T34)</f>
        <v/>
      </c>
      <c r="T34" s="10" t="n"/>
      <c r="U34" s="20">
        <f>IF(COUNT(G34,K34,O34,S34)=0,"",SUM(G34,K34,O34,S34))</f>
        <v/>
      </c>
      <c r="V34" s="20">
        <f>IF(COUNT(G34,K34,O34,S34)=0,"",ROUND(AVERAGE(G34,K34,O34,S34),1))</f>
        <v/>
      </c>
    </row>
    <row r="35">
      <c r="A35" s="16">
        <f>IF(Produits!$A$33="","",Produits!$A$33)</f>
        <v/>
      </c>
      <c r="B35" s="17">
        <f>IF(Produits!$A$33="","",Produits!$B$33)</f>
        <v/>
      </c>
      <c r="C35" s="18">
        <f>IF(Produits!$A$33="","",Produits!$C$33)</f>
        <v/>
      </c>
      <c r="D35" s="10" t="n"/>
      <c r="E35" s="10" t="n"/>
      <c r="F35" s="10" t="n"/>
      <c r="G35" s="19">
        <f>IF(OR(D35="",H35=""),"",D35+N(F35)-H35)</f>
        <v/>
      </c>
      <c r="H35" s="10" t="n"/>
      <c r="I35" s="10" t="n"/>
      <c r="J35" s="10" t="n"/>
      <c r="K35" s="19">
        <f>IF(OR(H35="",L35=""),"",H35+N(J35)-L35)</f>
        <v/>
      </c>
      <c r="L35" s="10" t="n"/>
      <c r="M35" s="10" t="n"/>
      <c r="N35" s="10" t="n"/>
      <c r="O35" s="19">
        <f>IF(OR(L35="",P35=""),"",L35+N(N35)-P35)</f>
        <v/>
      </c>
      <c r="P35" s="10" t="n"/>
      <c r="Q35" s="10" t="n"/>
      <c r="R35" s="10" t="n"/>
      <c r="S35" s="19">
        <f>IF(OR(P35="",T35=""),"",P35+N(R35)-T35)</f>
        <v/>
      </c>
      <c r="T35" s="10" t="n"/>
      <c r="U35" s="20">
        <f>IF(COUNT(G35,K35,O35,S35)=0,"",SUM(G35,K35,O35,S35))</f>
        <v/>
      </c>
      <c r="V35" s="20">
        <f>IF(COUNT(G35,K35,O35,S35)=0,"",ROUND(AVERAGE(G35,K35,O35,S35),1))</f>
        <v/>
      </c>
    </row>
    <row r="36">
      <c r="A36" s="16">
        <f>IF(Produits!$A$34="","",Produits!$A$34)</f>
        <v/>
      </c>
      <c r="B36" s="17">
        <f>IF(Produits!$A$34="","",Produits!$B$34)</f>
        <v/>
      </c>
      <c r="C36" s="18">
        <f>IF(Produits!$A$34="","",Produits!$C$34)</f>
        <v/>
      </c>
      <c r="D36" s="10" t="n"/>
      <c r="E36" s="10" t="n"/>
      <c r="F36" s="10" t="n"/>
      <c r="G36" s="19">
        <f>IF(OR(D36="",H36=""),"",D36+N(F36)-H36)</f>
        <v/>
      </c>
      <c r="H36" s="10" t="n"/>
      <c r="I36" s="10" t="n"/>
      <c r="J36" s="10" t="n"/>
      <c r="K36" s="19">
        <f>IF(OR(H36="",L36=""),"",H36+N(J36)-L36)</f>
        <v/>
      </c>
      <c r="L36" s="10" t="n"/>
      <c r="M36" s="10" t="n"/>
      <c r="N36" s="10" t="n"/>
      <c r="O36" s="19">
        <f>IF(OR(L36="",P36=""),"",L36+N(N36)-P36)</f>
        <v/>
      </c>
      <c r="P36" s="10" t="n"/>
      <c r="Q36" s="10" t="n"/>
      <c r="R36" s="10" t="n"/>
      <c r="S36" s="19">
        <f>IF(OR(P36="",T36=""),"",P36+N(R36)-T36)</f>
        <v/>
      </c>
      <c r="T36" s="10" t="n"/>
      <c r="U36" s="20">
        <f>IF(COUNT(G36,K36,O36,S36)=0,"",SUM(G36,K36,O36,S36))</f>
        <v/>
      </c>
      <c r="V36" s="20">
        <f>IF(COUNT(G36,K36,O36,S36)=0,"",ROUND(AVERAGE(G36,K36,O36,S36),1))</f>
        <v/>
      </c>
    </row>
    <row r="37">
      <c r="A37" s="16">
        <f>IF(Produits!$A$35="","",Produits!$A$35)</f>
        <v/>
      </c>
      <c r="B37" s="17">
        <f>IF(Produits!$A$35="","",Produits!$B$35)</f>
        <v/>
      </c>
      <c r="C37" s="18">
        <f>IF(Produits!$A$35="","",Produits!$C$35)</f>
        <v/>
      </c>
      <c r="D37" s="10" t="n"/>
      <c r="E37" s="10" t="n"/>
      <c r="F37" s="10" t="n"/>
      <c r="G37" s="19">
        <f>IF(OR(D37="",H37=""),"",D37+N(F37)-H37)</f>
        <v/>
      </c>
      <c r="H37" s="10" t="n"/>
      <c r="I37" s="10" t="n"/>
      <c r="J37" s="10" t="n"/>
      <c r="K37" s="19">
        <f>IF(OR(H37="",L37=""),"",H37+N(J37)-L37)</f>
        <v/>
      </c>
      <c r="L37" s="10" t="n"/>
      <c r="M37" s="10" t="n"/>
      <c r="N37" s="10" t="n"/>
      <c r="O37" s="19">
        <f>IF(OR(L37="",P37=""),"",L37+N(N37)-P37)</f>
        <v/>
      </c>
      <c r="P37" s="10" t="n"/>
      <c r="Q37" s="10" t="n"/>
      <c r="R37" s="10" t="n"/>
      <c r="S37" s="19">
        <f>IF(OR(P37="",T37=""),"",P37+N(R37)-T37)</f>
        <v/>
      </c>
      <c r="T37" s="10" t="n"/>
      <c r="U37" s="20">
        <f>IF(COUNT(G37,K37,O37,S37)=0,"",SUM(G37,K37,O37,S37))</f>
        <v/>
      </c>
      <c r="V37" s="20">
        <f>IF(COUNT(G37,K37,O37,S37)=0,"",ROUND(AVERAGE(G37,K37,O37,S37),1))</f>
        <v/>
      </c>
    </row>
    <row r="38">
      <c r="A38" s="16">
        <f>IF(Produits!$A$36="","",Produits!$A$36)</f>
        <v/>
      </c>
      <c r="B38" s="17">
        <f>IF(Produits!$A$36="","",Produits!$B$36)</f>
        <v/>
      </c>
      <c r="C38" s="18">
        <f>IF(Produits!$A$36="","",Produits!$C$36)</f>
        <v/>
      </c>
      <c r="D38" s="10" t="n"/>
      <c r="E38" s="10" t="n"/>
      <c r="F38" s="10" t="n"/>
      <c r="G38" s="19">
        <f>IF(OR(D38="",H38=""),"",D38+N(F38)-H38)</f>
        <v/>
      </c>
      <c r="H38" s="10" t="n"/>
      <c r="I38" s="10" t="n"/>
      <c r="J38" s="10" t="n"/>
      <c r="K38" s="19">
        <f>IF(OR(H38="",L38=""),"",H38+N(J38)-L38)</f>
        <v/>
      </c>
      <c r="L38" s="10" t="n"/>
      <c r="M38" s="10" t="n"/>
      <c r="N38" s="10" t="n"/>
      <c r="O38" s="19">
        <f>IF(OR(L38="",P38=""),"",L38+N(N38)-P38)</f>
        <v/>
      </c>
      <c r="P38" s="10" t="n"/>
      <c r="Q38" s="10" t="n"/>
      <c r="R38" s="10" t="n"/>
      <c r="S38" s="19">
        <f>IF(OR(P38="",T38=""),"",P38+N(R38)-T38)</f>
        <v/>
      </c>
      <c r="T38" s="10" t="n"/>
      <c r="U38" s="20">
        <f>IF(COUNT(G38,K38,O38,S38)=0,"",SUM(G38,K38,O38,S38))</f>
        <v/>
      </c>
      <c r="V38" s="20">
        <f>IF(COUNT(G38,K38,O38,S38)=0,"",ROUND(AVERAGE(G38,K38,O38,S38),1))</f>
        <v/>
      </c>
    </row>
    <row r="39">
      <c r="A39" s="16">
        <f>IF(Produits!$A$37="","",Produits!$A$37)</f>
        <v/>
      </c>
      <c r="B39" s="17">
        <f>IF(Produits!$A$37="","",Produits!$B$37)</f>
        <v/>
      </c>
      <c r="C39" s="18">
        <f>IF(Produits!$A$37="","",Produits!$C$37)</f>
        <v/>
      </c>
      <c r="D39" s="10" t="n"/>
      <c r="E39" s="10" t="n"/>
      <c r="F39" s="10" t="n"/>
      <c r="G39" s="19">
        <f>IF(OR(D39="",H39=""),"",D39+N(F39)-H39)</f>
        <v/>
      </c>
      <c r="H39" s="10" t="n"/>
      <c r="I39" s="10" t="n"/>
      <c r="J39" s="10" t="n"/>
      <c r="K39" s="19">
        <f>IF(OR(H39="",L39=""),"",H39+N(J39)-L39)</f>
        <v/>
      </c>
      <c r="L39" s="10" t="n"/>
      <c r="M39" s="10" t="n"/>
      <c r="N39" s="10" t="n"/>
      <c r="O39" s="19">
        <f>IF(OR(L39="",P39=""),"",L39+N(N39)-P39)</f>
        <v/>
      </c>
      <c r="P39" s="10" t="n"/>
      <c r="Q39" s="10" t="n"/>
      <c r="R39" s="10" t="n"/>
      <c r="S39" s="19">
        <f>IF(OR(P39="",T39=""),"",P39+N(R39)-T39)</f>
        <v/>
      </c>
      <c r="T39" s="10" t="n"/>
      <c r="U39" s="20">
        <f>IF(COUNT(G39,K39,O39,S39)=0,"",SUM(G39,K39,O39,S39))</f>
        <v/>
      </c>
      <c r="V39" s="20">
        <f>IF(COUNT(G39,K39,O39,S39)=0,"",ROUND(AVERAGE(G39,K39,O39,S39),1))</f>
        <v/>
      </c>
    </row>
    <row r="40">
      <c r="A40" s="16">
        <f>IF(Produits!$A$38="","",Produits!$A$38)</f>
        <v/>
      </c>
      <c r="B40" s="17">
        <f>IF(Produits!$A$38="","",Produits!$B$38)</f>
        <v/>
      </c>
      <c r="C40" s="18">
        <f>IF(Produits!$A$38="","",Produits!$C$38)</f>
        <v/>
      </c>
      <c r="D40" s="10" t="n"/>
      <c r="E40" s="10" t="n"/>
      <c r="F40" s="10" t="n"/>
      <c r="G40" s="19">
        <f>IF(OR(D40="",H40=""),"",D40+N(F40)-H40)</f>
        <v/>
      </c>
      <c r="H40" s="10" t="n"/>
      <c r="I40" s="10" t="n"/>
      <c r="J40" s="10" t="n"/>
      <c r="K40" s="19">
        <f>IF(OR(H40="",L40=""),"",H40+N(J40)-L40)</f>
        <v/>
      </c>
      <c r="L40" s="10" t="n"/>
      <c r="M40" s="10" t="n"/>
      <c r="N40" s="10" t="n"/>
      <c r="O40" s="19">
        <f>IF(OR(L40="",P40=""),"",L40+N(N40)-P40)</f>
        <v/>
      </c>
      <c r="P40" s="10" t="n"/>
      <c r="Q40" s="10" t="n"/>
      <c r="R40" s="10" t="n"/>
      <c r="S40" s="19">
        <f>IF(OR(P40="",T40=""),"",P40+N(R40)-T40)</f>
        <v/>
      </c>
      <c r="T40" s="10" t="n"/>
      <c r="U40" s="20">
        <f>IF(COUNT(G40,K40,O40,S40)=0,"",SUM(G40,K40,O40,S40))</f>
        <v/>
      </c>
      <c r="V40" s="20">
        <f>IF(COUNT(G40,K40,O40,S40)=0,"",ROUND(AVERAGE(G40,K40,O40,S40),1))</f>
        <v/>
      </c>
    </row>
    <row r="41">
      <c r="A41" s="16">
        <f>IF(Produits!$A$39="","",Produits!$A$39)</f>
        <v/>
      </c>
      <c r="B41" s="17">
        <f>IF(Produits!$A$39="","",Produits!$B$39)</f>
        <v/>
      </c>
      <c r="C41" s="18">
        <f>IF(Produits!$A$39="","",Produits!$C$39)</f>
        <v/>
      </c>
      <c r="D41" s="10" t="n"/>
      <c r="E41" s="10" t="n"/>
      <c r="F41" s="10" t="n"/>
      <c r="G41" s="19">
        <f>IF(OR(D41="",H41=""),"",D41+N(F41)-H41)</f>
        <v/>
      </c>
      <c r="H41" s="10" t="n"/>
      <c r="I41" s="10" t="n"/>
      <c r="J41" s="10" t="n"/>
      <c r="K41" s="19">
        <f>IF(OR(H41="",L41=""),"",H41+N(J41)-L41)</f>
        <v/>
      </c>
      <c r="L41" s="10" t="n"/>
      <c r="M41" s="10" t="n"/>
      <c r="N41" s="10" t="n"/>
      <c r="O41" s="19">
        <f>IF(OR(L41="",P41=""),"",L41+N(N41)-P41)</f>
        <v/>
      </c>
      <c r="P41" s="10" t="n"/>
      <c r="Q41" s="10" t="n"/>
      <c r="R41" s="10" t="n"/>
      <c r="S41" s="19">
        <f>IF(OR(P41="",T41=""),"",P41+N(R41)-T41)</f>
        <v/>
      </c>
      <c r="T41" s="10" t="n"/>
      <c r="U41" s="20">
        <f>IF(COUNT(G41,K41,O41,S41)=0,"",SUM(G41,K41,O41,S41))</f>
        <v/>
      </c>
      <c r="V41" s="20">
        <f>IF(COUNT(G41,K41,O41,S41)=0,"",ROUND(AVERAGE(G41,K41,O41,S41),1))</f>
        <v/>
      </c>
    </row>
    <row r="42">
      <c r="A42" s="16">
        <f>IF(Produits!$A$40="","",Produits!$A$40)</f>
        <v/>
      </c>
      <c r="B42" s="17">
        <f>IF(Produits!$A$40="","",Produits!$B$40)</f>
        <v/>
      </c>
      <c r="C42" s="18">
        <f>IF(Produits!$A$40="","",Produits!$C$40)</f>
        <v/>
      </c>
      <c r="D42" s="10" t="n"/>
      <c r="E42" s="10" t="n"/>
      <c r="F42" s="10" t="n"/>
      <c r="G42" s="19">
        <f>IF(OR(D42="",H42=""),"",D42+N(F42)-H42)</f>
        <v/>
      </c>
      <c r="H42" s="10" t="n"/>
      <c r="I42" s="10" t="n"/>
      <c r="J42" s="10" t="n"/>
      <c r="K42" s="19">
        <f>IF(OR(H42="",L42=""),"",H42+N(J42)-L42)</f>
        <v/>
      </c>
      <c r="L42" s="10" t="n"/>
      <c r="M42" s="10" t="n"/>
      <c r="N42" s="10" t="n"/>
      <c r="O42" s="19">
        <f>IF(OR(L42="",P42=""),"",L42+N(N42)-P42)</f>
        <v/>
      </c>
      <c r="P42" s="10" t="n"/>
      <c r="Q42" s="10" t="n"/>
      <c r="R42" s="10" t="n"/>
      <c r="S42" s="19">
        <f>IF(OR(P42="",T42=""),"",P42+N(R42)-T42)</f>
        <v/>
      </c>
      <c r="T42" s="10" t="n"/>
      <c r="U42" s="20">
        <f>IF(COUNT(G42,K42,O42,S42)=0,"",SUM(G42,K42,O42,S42))</f>
        <v/>
      </c>
      <c r="V42" s="20">
        <f>IF(COUNT(G42,K42,O42,S42)=0,"",ROUND(AVERAGE(G42,K42,O42,S42),1))</f>
        <v/>
      </c>
    </row>
    <row r="43">
      <c r="A43" s="16">
        <f>IF(Produits!$A$41="","",Produits!$A$41)</f>
        <v/>
      </c>
      <c r="B43" s="17">
        <f>IF(Produits!$A$41="","",Produits!$B$41)</f>
        <v/>
      </c>
      <c r="C43" s="18">
        <f>IF(Produits!$A$41="","",Produits!$C$41)</f>
        <v/>
      </c>
      <c r="D43" s="10" t="n"/>
      <c r="E43" s="10" t="n"/>
      <c r="F43" s="10" t="n"/>
      <c r="G43" s="19">
        <f>IF(OR(D43="",H43=""),"",D43+N(F43)-H43)</f>
        <v/>
      </c>
      <c r="H43" s="10" t="n"/>
      <c r="I43" s="10" t="n"/>
      <c r="J43" s="10" t="n"/>
      <c r="K43" s="19">
        <f>IF(OR(H43="",L43=""),"",H43+N(J43)-L43)</f>
        <v/>
      </c>
      <c r="L43" s="10" t="n"/>
      <c r="M43" s="10" t="n"/>
      <c r="N43" s="10" t="n"/>
      <c r="O43" s="19">
        <f>IF(OR(L43="",P43=""),"",L43+N(N43)-P43)</f>
        <v/>
      </c>
      <c r="P43" s="10" t="n"/>
      <c r="Q43" s="10" t="n"/>
      <c r="R43" s="10" t="n"/>
      <c r="S43" s="19">
        <f>IF(OR(P43="",T43=""),"",P43+N(R43)-T43)</f>
        <v/>
      </c>
      <c r="T43" s="10" t="n"/>
      <c r="U43" s="20">
        <f>IF(COUNT(G43,K43,O43,S43)=0,"",SUM(G43,K43,O43,S43))</f>
        <v/>
      </c>
      <c r="V43" s="20">
        <f>IF(COUNT(G43,K43,O43,S43)=0,"",ROUND(AVERAGE(G43,K43,O43,S43),1))</f>
        <v/>
      </c>
    </row>
    <row r="44">
      <c r="A44" s="16">
        <f>IF(Produits!$A$42="","",Produits!$A$42)</f>
        <v/>
      </c>
      <c r="B44" s="17">
        <f>IF(Produits!$A$42="","",Produits!$B$42)</f>
        <v/>
      </c>
      <c r="C44" s="18">
        <f>IF(Produits!$A$42="","",Produits!$C$42)</f>
        <v/>
      </c>
      <c r="D44" s="10" t="n"/>
      <c r="E44" s="10" t="n"/>
      <c r="F44" s="10" t="n"/>
      <c r="G44" s="19">
        <f>IF(OR(D44="",H44=""),"",D44+N(F44)-H44)</f>
        <v/>
      </c>
      <c r="H44" s="10" t="n"/>
      <c r="I44" s="10" t="n"/>
      <c r="J44" s="10" t="n"/>
      <c r="K44" s="19">
        <f>IF(OR(H44="",L44=""),"",H44+N(J44)-L44)</f>
        <v/>
      </c>
      <c r="L44" s="10" t="n"/>
      <c r="M44" s="10" t="n"/>
      <c r="N44" s="10" t="n"/>
      <c r="O44" s="19">
        <f>IF(OR(L44="",P44=""),"",L44+N(N44)-P44)</f>
        <v/>
      </c>
      <c r="P44" s="10" t="n"/>
      <c r="Q44" s="10" t="n"/>
      <c r="R44" s="10" t="n"/>
      <c r="S44" s="19">
        <f>IF(OR(P44="",T44=""),"",P44+N(R44)-T44)</f>
        <v/>
      </c>
      <c r="T44" s="10" t="n"/>
      <c r="U44" s="20">
        <f>IF(COUNT(G44,K44,O44,S44)=0,"",SUM(G44,K44,O44,S44))</f>
        <v/>
      </c>
      <c r="V44" s="20">
        <f>IF(COUNT(G44,K44,O44,S44)=0,"",ROUND(AVERAGE(G44,K44,O44,S44),1))</f>
        <v/>
      </c>
    </row>
    <row r="45">
      <c r="A45" s="16">
        <f>IF(Produits!$A$43="","",Produits!$A$43)</f>
        <v/>
      </c>
      <c r="B45" s="17">
        <f>IF(Produits!$A$43="","",Produits!$B$43)</f>
        <v/>
      </c>
      <c r="C45" s="18">
        <f>IF(Produits!$A$43="","",Produits!$C$43)</f>
        <v/>
      </c>
      <c r="D45" s="10" t="n"/>
      <c r="E45" s="10" t="n"/>
      <c r="F45" s="10" t="n"/>
      <c r="G45" s="19">
        <f>IF(OR(D45="",H45=""),"",D45+N(F45)-H45)</f>
        <v/>
      </c>
      <c r="H45" s="10" t="n"/>
      <c r="I45" s="10" t="n"/>
      <c r="J45" s="10" t="n"/>
      <c r="K45" s="19">
        <f>IF(OR(H45="",L45=""),"",H45+N(J45)-L45)</f>
        <v/>
      </c>
      <c r="L45" s="10" t="n"/>
      <c r="M45" s="10" t="n"/>
      <c r="N45" s="10" t="n"/>
      <c r="O45" s="19">
        <f>IF(OR(L45="",P45=""),"",L45+N(N45)-P45)</f>
        <v/>
      </c>
      <c r="P45" s="10" t="n"/>
      <c r="Q45" s="10" t="n"/>
      <c r="R45" s="10" t="n"/>
      <c r="S45" s="19">
        <f>IF(OR(P45="",T45=""),"",P45+N(R45)-T45)</f>
        <v/>
      </c>
      <c r="T45" s="10" t="n"/>
      <c r="U45" s="20">
        <f>IF(COUNT(G45,K45,O45,S45)=0,"",SUM(G45,K45,O45,S45))</f>
        <v/>
      </c>
      <c r="V45" s="20">
        <f>IF(COUNT(G45,K45,O45,S45)=0,"",ROUND(AVERAGE(G45,K45,O45,S45),1))</f>
        <v/>
      </c>
    </row>
    <row r="46">
      <c r="A46" s="16">
        <f>IF(Produits!$A$44="","",Produits!$A$44)</f>
        <v/>
      </c>
      <c r="B46" s="17">
        <f>IF(Produits!$A$44="","",Produits!$B$44)</f>
        <v/>
      </c>
      <c r="C46" s="18">
        <f>IF(Produits!$A$44="","",Produits!$C$44)</f>
        <v/>
      </c>
      <c r="D46" s="10" t="n"/>
      <c r="E46" s="10" t="n"/>
      <c r="F46" s="10" t="n"/>
      <c r="G46" s="19">
        <f>IF(OR(D46="",H46=""),"",D46+N(F46)-H46)</f>
        <v/>
      </c>
      <c r="H46" s="10" t="n"/>
      <c r="I46" s="10" t="n"/>
      <c r="J46" s="10" t="n"/>
      <c r="K46" s="19">
        <f>IF(OR(H46="",L46=""),"",H46+N(J46)-L46)</f>
        <v/>
      </c>
      <c r="L46" s="10" t="n"/>
      <c r="M46" s="10" t="n"/>
      <c r="N46" s="10" t="n"/>
      <c r="O46" s="19">
        <f>IF(OR(L46="",P46=""),"",L46+N(N46)-P46)</f>
        <v/>
      </c>
      <c r="P46" s="10" t="n"/>
      <c r="Q46" s="10" t="n"/>
      <c r="R46" s="10" t="n"/>
      <c r="S46" s="19">
        <f>IF(OR(P46="",T46=""),"",P46+N(R46)-T46)</f>
        <v/>
      </c>
      <c r="T46" s="10" t="n"/>
      <c r="U46" s="20">
        <f>IF(COUNT(G46,K46,O46,S46)=0,"",SUM(G46,K46,O46,S46))</f>
        <v/>
      </c>
      <c r="V46" s="20">
        <f>IF(COUNT(G46,K46,O46,S46)=0,"",ROUND(AVERAGE(G46,K46,O46,S46),1))</f>
        <v/>
      </c>
    </row>
  </sheetData>
  <mergeCells count="13">
    <mergeCell ref="L5:O5"/>
    <mergeCell ref="H4:K4"/>
    <mergeCell ref="P5:S5"/>
    <mergeCell ref="A4:A6"/>
    <mergeCell ref="B4:B6"/>
    <mergeCell ref="T4:T5"/>
    <mergeCell ref="U4:V5"/>
    <mergeCell ref="L4:O4"/>
    <mergeCell ref="P4:S4"/>
    <mergeCell ref="D5:G5"/>
    <mergeCell ref="C4:C6"/>
    <mergeCell ref="H5:K5"/>
    <mergeCell ref="D4:G4"/>
  </mergeCells>
  <conditionalFormatting sqref="G7:G46">
    <cfRule type="expression" priority="1" dxfId="0">
      <formula>AND(ISNUMBER(G7),G7&lt;0)</formula>
    </cfRule>
  </conditionalFormatting>
  <conditionalFormatting sqref="K7:K46">
    <cfRule type="expression" priority="2" dxfId="0">
      <formula>AND(ISNUMBER(K7),K7&lt;0)</formula>
    </cfRule>
  </conditionalFormatting>
  <conditionalFormatting sqref="O7:O46">
    <cfRule type="expression" priority="3" dxfId="0">
      <formula>AND(ISNUMBER(O7),O7&lt;0)</formula>
    </cfRule>
  </conditionalFormatting>
  <conditionalFormatting sqref="S7:S46">
    <cfRule type="expression" priority="4" dxfId="0">
      <formula>AND(ISNUMBER(S7),S7&lt;0)</formula>
    </cfRule>
  </conditionalFormatting>
  <dataValidations count="1">
    <dataValidation sqref="T7:T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2026-09-24T21:04:00Z</dcterms:created>
  <dcterms:modified xmlns:dcterms="http://purl.org/dc/terms/" xmlns:xsi="http://www.w3.org/2001/XMLSchema-instance" xsi:type="dcterms:W3CDTF">2026-09-24T21:04:00Z</dcterms:modified>
</cp:coreProperties>
</file>