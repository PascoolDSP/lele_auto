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  <sheet xmlns:r="http://schemas.openxmlformats.org/officeDocument/2006/relationships" name="Inventaire" sheetId="4" state="visible" r:id="rId4"/>
    <sheet xmlns:r="http://schemas.openxmlformats.org/officeDocument/2006/relationships" name="Dé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6B4226"/>
      <sz val="16"/>
    </font>
    <font>
      <name val="Arial"/>
      <i val="1"/>
      <color rgb="00666666"/>
      <sz val="9"/>
    </font>
    <font>
      <name val="Arial"/>
      <b val="1"/>
      <color rgb="006B4226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6B4226"/>
      </patternFill>
    </fill>
    <fill>
      <patternFill patternType="solid">
        <fgColor rgb="00FFF6D5"/>
      </patternFill>
    </fill>
    <fill>
      <patternFill patternType="solid">
        <fgColor rgb="00E1D9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5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H5" authorId="0" shapeId="0">
      <text>
        <t>Date du comptage (facultatif)</t>
      </text>
    </comment>
    <comment ref="L5" authorId="0" shapeId="0">
      <text>
        <t>Date du comptage (facultatif)</t>
      </text>
    </comment>
    <comment ref="P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9 · Stock en euros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En plus des quantités, le fichier calcule la valeur de ton stock en euros et ce que tu as dépensé chez chaque fournisseur. Utile le jour de l'inventaire : tu comptes, la valeur totale se fait toute seule.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Onglet Produits : produit, fournisseur, unité, prix unitaire.</t>
        </is>
      </c>
    </row>
    <row r="7">
      <c r="A7" s="5" t="inlineStr"/>
      <c r="B7" s="4" t="inlineStr">
        <is>
          <t>2. Onglet du mois : Stock, Commandé, Reçu chaque semaine. La valeur du stock s'affiche.</t>
        </is>
      </c>
    </row>
    <row r="8">
      <c r="A8" s="5" t="inlineStr"/>
      <c r="B8" s="4" t="inlineStr">
        <is>
          <t>3. Jour d'inventaire : onglet Inventaire, tape les quantités comptées, le total en euros se calcule.</t>
        </is>
      </c>
    </row>
    <row r="9">
      <c r="A9" s="5" t="inlineStr"/>
      <c r="B9" s="4" t="inlineStr">
        <is>
          <t>4. Onglet Dépenses : combien tu as dépensé chez chaque fournisseur ce mois-ci.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liste, avec les prix.</t>
        </is>
      </c>
    </row>
    <row r="12">
      <c r="A12" s="5" t="inlineStr"/>
      <c r="B12" s="4" t="inlineStr">
        <is>
          <t>Octobre 2026 — la saisie de la semaine + valeur.</t>
        </is>
      </c>
    </row>
    <row r="13">
      <c r="A13" s="5" t="inlineStr"/>
      <c r="B13" s="4" t="inlineStr">
        <is>
          <t>Inventaire — comptage complet et valeur totale.</t>
        </is>
      </c>
    </row>
    <row r="14">
      <c r="A14" s="5" t="inlineStr"/>
      <c r="B14" s="4" t="inlineStr">
        <is>
          <t>Dépenses — total par fournisseur.</t>
        </is>
      </c>
    </row>
    <row r="15">
      <c r="A15" s="5" t="inlineStr"/>
      <c r="B15" s="4" t="inlineStr"/>
    </row>
    <row r="16">
      <c r="A16" s="5" t="inlineStr">
        <is>
          <t>Couleurs</t>
        </is>
      </c>
      <c r="B16" s="4" t="inlineStr">
        <is>
          <t>Cases jaunes = à remplir. Cases blanches = calculées toutes seules, ne pas y toucher.</t>
        </is>
      </c>
    </row>
    <row r="17">
      <c r="A17" s="5" t="inlineStr"/>
      <c r="B17" s="4" t="inlineStr">
        <is>
          <t>Chiffres en bleu = exemple pour montrer le fonctionnement, à effacer.</t>
        </is>
      </c>
    </row>
    <row r="18">
      <c r="A18" s="5" t="inlineStr"/>
      <c r="B18" s="4" t="inlineStr">
        <is>
          <t>Rouge = il manque quelque chose (livraison incomplète, stock trop bas).</t>
        </is>
      </c>
    </row>
    <row r="19">
      <c r="A19" s="5" t="inlineStr"/>
      <c r="B19" s="4" t="inlineStr"/>
    </row>
    <row r="20">
      <c r="A20" s="5" t="inlineStr">
        <is>
          <t>Google Sheets</t>
        </is>
      </c>
      <c r="B20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14" customWidth="1" min="4" max="4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Prix unitaire (€)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  <c r="D5" s="9" t="n">
        <v>0.9</v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  <c r="D6" s="9" t="n">
        <v>1.1</v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  <c r="D7" s="9" t="n">
        <v>1.2</v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  <c r="D8" s="9" t="n">
        <v>1.8</v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  <c r="D9" s="9" t="n">
        <v>8.5</v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  <c r="D10" s="9" t="n">
        <v>4.2</v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  <c r="D11" s="9" t="n">
        <v>1.1</v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  <c r="D12" s="9" t="n">
        <v>0.25</v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  <c r="D13" s="9" t="n">
        <v>14</v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  <c r="D14" s="9" t="n">
        <v>13</v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  <c r="D15" s="9" t="n">
        <v>6</v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  <c r="D16" s="9" t="n">
        <v>2.5</v>
      </c>
    </row>
    <row r="17">
      <c r="A17" s="10" t="n"/>
      <c r="B17" s="10" t="n"/>
      <c r="C17" s="11" t="n"/>
      <c r="D17" s="12" t="n"/>
    </row>
    <row r="18">
      <c r="A18" s="10" t="n"/>
      <c r="B18" s="10" t="n"/>
      <c r="C18" s="11" t="n"/>
      <c r="D18" s="12" t="n"/>
    </row>
    <row r="19">
      <c r="A19" s="10" t="n"/>
      <c r="B19" s="10" t="n"/>
      <c r="C19" s="11" t="n"/>
      <c r="D19" s="12" t="n"/>
    </row>
    <row r="20">
      <c r="A20" s="10" t="n"/>
      <c r="B20" s="10" t="n"/>
      <c r="C20" s="11" t="n"/>
      <c r="D20" s="12" t="n"/>
    </row>
    <row r="21">
      <c r="A21" s="10" t="n"/>
      <c r="B21" s="10" t="n"/>
      <c r="C21" s="11" t="n"/>
      <c r="D21" s="12" t="n"/>
    </row>
    <row r="22">
      <c r="A22" s="10" t="n"/>
      <c r="B22" s="10" t="n"/>
      <c r="C22" s="11" t="n"/>
      <c r="D22" s="12" t="n"/>
    </row>
    <row r="23">
      <c r="A23" s="10" t="n"/>
      <c r="B23" s="10" t="n"/>
      <c r="C23" s="11" t="n"/>
      <c r="D23" s="12" t="n"/>
    </row>
    <row r="24">
      <c r="A24" s="10" t="n"/>
      <c r="B24" s="10" t="n"/>
      <c r="C24" s="11" t="n"/>
      <c r="D24" s="12" t="n"/>
    </row>
    <row r="25">
      <c r="A25" s="10" t="n"/>
      <c r="B25" s="10" t="n"/>
      <c r="C25" s="11" t="n"/>
      <c r="D25" s="12" t="n"/>
    </row>
    <row r="26">
      <c r="A26" s="10" t="n"/>
      <c r="B26" s="10" t="n"/>
      <c r="C26" s="11" t="n"/>
      <c r="D26" s="12" t="n"/>
    </row>
    <row r="27">
      <c r="A27" s="10" t="n"/>
      <c r="B27" s="10" t="n"/>
      <c r="C27" s="11" t="n"/>
      <c r="D27" s="12" t="n"/>
    </row>
    <row r="28">
      <c r="A28" s="10" t="n"/>
      <c r="B28" s="10" t="n"/>
      <c r="C28" s="11" t="n"/>
      <c r="D28" s="12" t="n"/>
    </row>
    <row r="29">
      <c r="A29" s="10" t="n"/>
      <c r="B29" s="10" t="n"/>
      <c r="C29" s="11" t="n"/>
      <c r="D29" s="12" t="n"/>
    </row>
    <row r="30">
      <c r="A30" s="10" t="n"/>
      <c r="B30" s="10" t="n"/>
      <c r="C30" s="11" t="n"/>
      <c r="D30" s="12" t="n"/>
    </row>
    <row r="31">
      <c r="A31" s="10" t="n"/>
      <c r="B31" s="10" t="n"/>
      <c r="C31" s="11" t="n"/>
      <c r="D31" s="12" t="n"/>
    </row>
    <row r="32">
      <c r="A32" s="10" t="n"/>
      <c r="B32" s="10" t="n"/>
      <c r="C32" s="11" t="n"/>
      <c r="D32" s="12" t="n"/>
    </row>
    <row r="33">
      <c r="A33" s="10" t="n"/>
      <c r="B33" s="10" t="n"/>
      <c r="C33" s="11" t="n"/>
      <c r="D33" s="12" t="n"/>
    </row>
    <row r="34">
      <c r="A34" s="10" t="n"/>
      <c r="B34" s="10" t="n"/>
      <c r="C34" s="11" t="n"/>
      <c r="D34" s="12" t="n"/>
    </row>
    <row r="35">
      <c r="A35" s="10" t="n"/>
      <c r="B35" s="10" t="n"/>
      <c r="C35" s="11" t="n"/>
      <c r="D35" s="12" t="n"/>
    </row>
    <row r="36">
      <c r="A36" s="10" t="n"/>
      <c r="B36" s="10" t="n"/>
      <c r="C36" s="11" t="n"/>
      <c r="D36" s="12" t="n"/>
    </row>
    <row r="37">
      <c r="A37" s="10" t="n"/>
      <c r="B37" s="10" t="n"/>
      <c r="C37" s="11" t="n"/>
      <c r="D37" s="12" t="n"/>
    </row>
    <row r="38">
      <c r="A38" s="10" t="n"/>
      <c r="B38" s="10" t="n"/>
      <c r="C38" s="11" t="n"/>
      <c r="D38" s="12" t="n"/>
    </row>
    <row r="39">
      <c r="A39" s="10" t="n"/>
      <c r="B39" s="10" t="n"/>
      <c r="C39" s="11" t="n"/>
      <c r="D39" s="12" t="n"/>
    </row>
    <row r="40">
      <c r="A40" s="10" t="n"/>
      <c r="B40" s="10" t="n"/>
      <c r="C40" s="11" t="n"/>
      <c r="D40" s="12" t="n"/>
    </row>
    <row r="41">
      <c r="A41" s="10" t="n"/>
      <c r="B41" s="10" t="n"/>
      <c r="C41" s="11" t="n"/>
      <c r="D41" s="12" t="n"/>
    </row>
    <row r="42">
      <c r="A42" s="10" t="n"/>
      <c r="B42" s="10" t="n"/>
      <c r="C42" s="11" t="n"/>
      <c r="D42" s="12" t="n"/>
    </row>
    <row r="43">
      <c r="A43" s="10" t="n"/>
      <c r="B43" s="10" t="n"/>
      <c r="C43" s="11" t="n"/>
      <c r="D43" s="12" t="n"/>
    </row>
    <row r="44">
      <c r="A44" s="10" t="n"/>
      <c r="B44" s="10" t="n"/>
      <c r="C44" s="11" t="n"/>
      <c r="D44" s="12" t="n"/>
    </row>
  </sheetData>
  <dataValidations count="2">
    <dataValidation sqref="C5:C44" showDropDown="0" showInputMessage="0" showErrorMessage="0" allowBlank="1" type="list">
      <formula1>"kg,g,L,pièce,paquet,boîte,sac"</formula1>
    </dataValidation>
    <dataValidation sqref="D5:D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2" customWidth="1" min="20" max="20"/>
    <col width="12" customWidth="1" min="21" max="21"/>
  </cols>
  <sheetData>
    <row r="1" ht="26" customHeight="1">
      <c r="A1" s="1" t="inlineStr">
        <is>
          <t>Octobre 2026</t>
        </is>
      </c>
    </row>
    <row r="2">
      <c r="A2" s="2" t="inlineStr">
        <is>
          <t>Valeur = stock × prix unitaire (onglet Produits)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3" t="n"/>
      <c r="F4" s="13" t="n"/>
      <c r="G4" s="13" t="n"/>
      <c r="H4" s="6" t="inlineStr">
        <is>
          <t>Semaine 2</t>
        </is>
      </c>
      <c r="I4" s="13" t="n"/>
      <c r="J4" s="13" t="n"/>
      <c r="K4" s="13" t="n"/>
      <c r="L4" s="6" t="inlineStr">
        <is>
          <t>Semaine 3</t>
        </is>
      </c>
      <c r="M4" s="13" t="n"/>
      <c r="N4" s="13" t="n"/>
      <c r="O4" s="13" t="n"/>
      <c r="P4" s="6" t="inlineStr">
        <is>
          <t>Semaine 4</t>
        </is>
      </c>
      <c r="Q4" s="13" t="n"/>
      <c r="R4" s="13" t="n"/>
      <c r="S4" s="13" t="n"/>
      <c r="T4" s="6" t="inlineStr">
        <is>
          <t>Total du mois</t>
        </is>
      </c>
      <c r="U4" s="13" t="n"/>
    </row>
    <row r="5">
      <c r="A5" s="13" t="n"/>
      <c r="B5" s="13" t="n"/>
      <c r="C5" s="13" t="n"/>
      <c r="D5" s="14" t="n"/>
      <c r="E5" s="15" t="n"/>
      <c r="F5" s="15" t="n"/>
      <c r="G5" s="15" t="n"/>
      <c r="H5" s="14" t="n"/>
      <c r="I5" s="15" t="n"/>
      <c r="J5" s="15" t="n"/>
      <c r="K5" s="15" t="n"/>
      <c r="L5" s="14" t="n"/>
      <c r="M5" s="15" t="n"/>
      <c r="N5" s="15" t="n"/>
      <c r="O5" s="15" t="n"/>
      <c r="P5" s="14" t="n"/>
      <c r="Q5" s="15" t="n"/>
      <c r="R5" s="15" t="n"/>
      <c r="S5" s="15" t="n"/>
      <c r="T5" s="13" t="n"/>
      <c r="U5" s="13" t="n"/>
    </row>
    <row r="6">
      <c r="A6" s="13" t="n"/>
      <c r="B6" s="13" t="n"/>
      <c r="C6" s="13" t="n"/>
      <c r="D6" s="16" t="inlineStr">
        <is>
          <t>Stock</t>
        </is>
      </c>
      <c r="E6" s="16" t="inlineStr">
        <is>
          <t>Valeur</t>
        </is>
      </c>
      <c r="F6" s="16" t="inlineStr">
        <is>
          <t>Commandé</t>
        </is>
      </c>
      <c r="G6" s="16" t="inlineStr">
        <is>
          <t>Reçu</t>
        </is>
      </c>
      <c r="H6" s="16" t="inlineStr">
        <is>
          <t>Stock</t>
        </is>
      </c>
      <c r="I6" s="16" t="inlineStr">
        <is>
          <t>Valeur</t>
        </is>
      </c>
      <c r="J6" s="16" t="inlineStr">
        <is>
          <t>Commandé</t>
        </is>
      </c>
      <c r="K6" s="16" t="inlineStr">
        <is>
          <t>Reçu</t>
        </is>
      </c>
      <c r="L6" s="16" t="inlineStr">
        <is>
          <t>Stock</t>
        </is>
      </c>
      <c r="M6" s="16" t="inlineStr">
        <is>
          <t>Valeur</t>
        </is>
      </c>
      <c r="N6" s="16" t="inlineStr">
        <is>
          <t>Commandé</t>
        </is>
      </c>
      <c r="O6" s="16" t="inlineStr">
        <is>
          <t>Reçu</t>
        </is>
      </c>
      <c r="P6" s="16" t="inlineStr">
        <is>
          <t>Stock</t>
        </is>
      </c>
      <c r="Q6" s="16" t="inlineStr">
        <is>
          <t>Valeur</t>
        </is>
      </c>
      <c r="R6" s="16" t="inlineStr">
        <is>
          <t>Commandé</t>
        </is>
      </c>
      <c r="S6" s="16" t="inlineStr">
        <is>
          <t>Reçu</t>
        </is>
      </c>
      <c r="T6" s="16" t="inlineStr">
        <is>
          <t>Reçu</t>
        </is>
      </c>
      <c r="U6" s="16" t="inlineStr">
        <is>
          <t>Dépense (€)</t>
        </is>
      </c>
    </row>
    <row r="7">
      <c r="A7" s="17">
        <f>IF(Produits!$A$5="","",Produits!$A$5)</f>
        <v/>
      </c>
      <c r="B7" s="18">
        <f>IF(Produits!$A$5="","",Produits!$B$5)</f>
        <v/>
      </c>
      <c r="C7" s="19">
        <f>IF(Produits!$A$5="","",Produits!$C$5)</f>
        <v/>
      </c>
      <c r="D7" s="8" t="n">
        <v>8</v>
      </c>
      <c r="E7" s="20">
        <f>IF(D7="","",D7*N(Produits!$D$5))</f>
        <v/>
      </c>
      <c r="F7" s="8" t="n">
        <v>10</v>
      </c>
      <c r="G7" s="8" t="n">
        <v>7</v>
      </c>
      <c r="H7" s="8" t="n">
        <v>5</v>
      </c>
      <c r="I7" s="20">
        <f>IF(H7="","",H7*N(Produits!$D$5))</f>
        <v/>
      </c>
      <c r="J7" s="8" t="n">
        <v>10</v>
      </c>
      <c r="K7" s="8" t="n">
        <v>10</v>
      </c>
      <c r="L7" s="11" t="n"/>
      <c r="M7" s="20">
        <f>IF(L7="","",L7*N(Produits!$D$5))</f>
        <v/>
      </c>
      <c r="N7" s="11" t="n"/>
      <c r="O7" s="11" t="n"/>
      <c r="P7" s="11" t="n"/>
      <c r="Q7" s="20">
        <f>IF(P7="","",P7*N(Produits!$D$5))</f>
        <v/>
      </c>
      <c r="R7" s="11" t="n"/>
      <c r="S7" s="11" t="n"/>
      <c r="T7" s="21">
        <f>IF(COUNT(G7,K7,O7,S7)=0,"",SUM(G7,K7,O7,S7))</f>
        <v/>
      </c>
      <c r="U7" s="22">
        <f>IF(T7="","",T7*N(Produits!$D$5))</f>
        <v/>
      </c>
    </row>
    <row r="8">
      <c r="A8" s="17">
        <f>IF(Produits!$A$6="","",Produits!$A$6)</f>
        <v/>
      </c>
      <c r="B8" s="18">
        <f>IF(Produits!$A$6="","",Produits!$B$6)</f>
        <v/>
      </c>
      <c r="C8" s="19">
        <f>IF(Produits!$A$6="","",Produits!$C$6)</f>
        <v/>
      </c>
      <c r="D8" s="8" t="n">
        <v>2</v>
      </c>
      <c r="E8" s="20">
        <f>IF(D8="","",D8*N(Produits!$D$6))</f>
        <v/>
      </c>
      <c r="F8" s="8" t="n">
        <v>5</v>
      </c>
      <c r="G8" s="8" t="n">
        <v>5</v>
      </c>
      <c r="H8" s="8" t="n">
        <v>3</v>
      </c>
      <c r="I8" s="20">
        <f>IF(H8="","",H8*N(Produits!$D$6))</f>
        <v/>
      </c>
      <c r="J8" s="8" t="n">
        <v>3</v>
      </c>
      <c r="K8" s="8" t="n">
        <v>3</v>
      </c>
      <c r="L8" s="11" t="n"/>
      <c r="M8" s="20">
        <f>IF(L8="","",L8*N(Produits!$D$6))</f>
        <v/>
      </c>
      <c r="N8" s="11" t="n"/>
      <c r="O8" s="11" t="n"/>
      <c r="P8" s="11" t="n"/>
      <c r="Q8" s="20">
        <f>IF(P8="","",P8*N(Produits!$D$6))</f>
        <v/>
      </c>
      <c r="R8" s="11" t="n"/>
      <c r="S8" s="11" t="n"/>
      <c r="T8" s="21">
        <f>IF(COUNT(G8,K8,O8,S8)=0,"",SUM(G8,K8,O8,S8))</f>
        <v/>
      </c>
      <c r="U8" s="22">
        <f>IF(T8="","",T8*N(Produits!$D$6))</f>
        <v/>
      </c>
    </row>
    <row r="9">
      <c r="A9" s="17">
        <f>IF(Produits!$A$7="","",Produits!$A$7)</f>
        <v/>
      </c>
      <c r="B9" s="18">
        <f>IF(Produits!$A$7="","",Produits!$B$7)</f>
        <v/>
      </c>
      <c r="C9" s="19">
        <f>IF(Produits!$A$7="","",Produits!$C$7)</f>
        <v/>
      </c>
      <c r="D9" s="8" t="n">
        <v>6</v>
      </c>
      <c r="E9" s="20">
        <f>IF(D9="","",D9*N(Produits!$D$7))</f>
        <v/>
      </c>
      <c r="F9" s="8" t="n">
        <v>10</v>
      </c>
      <c r="G9" s="8" t="n">
        <v>10</v>
      </c>
      <c r="H9" s="8" t="n">
        <v>7</v>
      </c>
      <c r="I9" s="20">
        <f>IF(H9="","",H9*N(Produits!$D$7))</f>
        <v/>
      </c>
      <c r="J9" s="8" t="n">
        <v>5</v>
      </c>
      <c r="K9" s="8" t="n">
        <v>5</v>
      </c>
      <c r="L9" s="11" t="n"/>
      <c r="M9" s="20">
        <f>IF(L9="","",L9*N(Produits!$D$7))</f>
        <v/>
      </c>
      <c r="N9" s="11" t="n"/>
      <c r="O9" s="11" t="n"/>
      <c r="P9" s="11" t="n"/>
      <c r="Q9" s="20">
        <f>IF(P9="","",P9*N(Produits!$D$7))</f>
        <v/>
      </c>
      <c r="R9" s="11" t="n"/>
      <c r="S9" s="11" t="n"/>
      <c r="T9" s="21">
        <f>IF(COUNT(G9,K9,O9,S9)=0,"",SUM(G9,K9,O9,S9))</f>
        <v/>
      </c>
      <c r="U9" s="22">
        <f>IF(T9="","",T9*N(Produits!$D$7))</f>
        <v/>
      </c>
    </row>
    <row r="10">
      <c r="A10" s="17">
        <f>IF(Produits!$A$8="","",Produits!$A$8)</f>
        <v/>
      </c>
      <c r="B10" s="18">
        <f>IF(Produits!$A$8="","",Produits!$B$8)</f>
        <v/>
      </c>
      <c r="C10" s="19">
        <f>IF(Produits!$A$8="","",Produits!$C$8)</f>
        <v/>
      </c>
      <c r="D10" s="8" t="n">
        <v>1</v>
      </c>
      <c r="E10" s="20">
        <f>IF(D10="","",D10*N(Produits!$D$8))</f>
        <v/>
      </c>
      <c r="F10" s="8" t="n">
        <v>3</v>
      </c>
      <c r="G10" s="8" t="n">
        <v>3</v>
      </c>
      <c r="H10" s="8" t="n">
        <v>2</v>
      </c>
      <c r="I10" s="20">
        <f>IF(H10="","",H10*N(Produits!$D$8))</f>
        <v/>
      </c>
      <c r="J10" s="8" t="n">
        <v>0</v>
      </c>
      <c r="K10" s="8" t="n">
        <v>0</v>
      </c>
      <c r="L10" s="11" t="n"/>
      <c r="M10" s="20">
        <f>IF(L10="","",L10*N(Produits!$D$8))</f>
        <v/>
      </c>
      <c r="N10" s="11" t="n"/>
      <c r="O10" s="11" t="n"/>
      <c r="P10" s="11" t="n"/>
      <c r="Q10" s="20">
        <f>IF(P10="","",P10*N(Produits!$D$8))</f>
        <v/>
      </c>
      <c r="R10" s="11" t="n"/>
      <c r="S10" s="11" t="n"/>
      <c r="T10" s="21">
        <f>IF(COUNT(G10,K10,O10,S10)=0,"",SUM(G10,K10,O10,S10))</f>
        <v/>
      </c>
      <c r="U10" s="22">
        <f>IF(T10="","",T10*N(Produits!$D$8))</f>
        <v/>
      </c>
    </row>
    <row r="11">
      <c r="A11" s="17">
        <f>IF(Produits!$A$9="","",Produits!$A$9)</f>
        <v/>
      </c>
      <c r="B11" s="18">
        <f>IF(Produits!$A$9="","",Produits!$B$9)</f>
        <v/>
      </c>
      <c r="C11" s="19">
        <f>IF(Produits!$A$9="","",Produits!$C$9)</f>
        <v/>
      </c>
      <c r="D11" s="8" t="n">
        <v>3</v>
      </c>
      <c r="E11" s="20">
        <f>IF(D11="","",D11*N(Produits!$D$9))</f>
        <v/>
      </c>
      <c r="F11" s="8" t="n">
        <v>5</v>
      </c>
      <c r="G11" s="8" t="n">
        <v>5</v>
      </c>
      <c r="H11" s="8" t="n">
        <v>4</v>
      </c>
      <c r="I11" s="20">
        <f>IF(H11="","",H11*N(Produits!$D$9))</f>
        <v/>
      </c>
      <c r="J11" s="8" t="n">
        <v>5</v>
      </c>
      <c r="K11" s="8" t="n">
        <v>5</v>
      </c>
      <c r="L11" s="11" t="n"/>
      <c r="M11" s="20">
        <f>IF(L11="","",L11*N(Produits!$D$9))</f>
        <v/>
      </c>
      <c r="N11" s="11" t="n"/>
      <c r="O11" s="11" t="n"/>
      <c r="P11" s="11" t="n"/>
      <c r="Q11" s="20">
        <f>IF(P11="","",P11*N(Produits!$D$9))</f>
        <v/>
      </c>
      <c r="R11" s="11" t="n"/>
      <c r="S11" s="11" t="n"/>
      <c r="T11" s="21">
        <f>IF(COUNT(G11,K11,O11,S11)=0,"",SUM(G11,K11,O11,S11))</f>
        <v/>
      </c>
      <c r="U11" s="22">
        <f>IF(T11="","",T11*N(Produits!$D$9))</f>
        <v/>
      </c>
    </row>
    <row r="12">
      <c r="A12" s="17">
        <f>IF(Produits!$A$10="","",Produits!$A$10)</f>
        <v/>
      </c>
      <c r="B12" s="18">
        <f>IF(Produits!$A$10="","",Produits!$B$10)</f>
        <v/>
      </c>
      <c r="C12" s="19">
        <f>IF(Produits!$A$10="","",Produits!$C$10)</f>
        <v/>
      </c>
      <c r="D12" s="8" t="n">
        <v>4</v>
      </c>
      <c r="E12" s="20">
        <f>IF(D12="","",D12*N(Produits!$D$10))</f>
        <v/>
      </c>
      <c r="F12" s="8" t="n">
        <v>12</v>
      </c>
      <c r="G12" s="8" t="n">
        <v>12</v>
      </c>
      <c r="H12" s="8" t="n">
        <v>5</v>
      </c>
      <c r="I12" s="20">
        <f>IF(H12="","",H12*N(Produits!$D$10))</f>
        <v/>
      </c>
      <c r="J12" s="8" t="n">
        <v>10</v>
      </c>
      <c r="K12" s="8" t="n">
        <v>10</v>
      </c>
      <c r="L12" s="11" t="n"/>
      <c r="M12" s="20">
        <f>IF(L12="","",L12*N(Produits!$D$10))</f>
        <v/>
      </c>
      <c r="N12" s="11" t="n"/>
      <c r="O12" s="11" t="n"/>
      <c r="P12" s="11" t="n"/>
      <c r="Q12" s="20">
        <f>IF(P12="","",P12*N(Produits!$D$10))</f>
        <v/>
      </c>
      <c r="R12" s="11" t="n"/>
      <c r="S12" s="11" t="n"/>
      <c r="T12" s="21">
        <f>IF(COUNT(G12,K12,O12,S12)=0,"",SUM(G12,K12,O12,S12))</f>
        <v/>
      </c>
      <c r="U12" s="22">
        <f>IF(T12="","",T12*N(Produits!$D$10))</f>
        <v/>
      </c>
    </row>
    <row r="13">
      <c r="A13" s="17">
        <f>IF(Produits!$A$11="","",Produits!$A$11)</f>
        <v/>
      </c>
      <c r="B13" s="18">
        <f>IF(Produits!$A$11="","",Produits!$B$11)</f>
        <v/>
      </c>
      <c r="C13" s="19">
        <f>IF(Produits!$A$11="","",Produits!$C$11)</f>
        <v/>
      </c>
      <c r="D13" s="8" t="n">
        <v>3</v>
      </c>
      <c r="E13" s="20">
        <f>IF(D13="","",D13*N(Produits!$D$11))</f>
        <v/>
      </c>
      <c r="F13" s="8" t="n">
        <v>6</v>
      </c>
      <c r="G13" s="8" t="n">
        <v>6</v>
      </c>
      <c r="H13" s="8" t="n">
        <v>4</v>
      </c>
      <c r="I13" s="20">
        <f>IF(H13="","",H13*N(Produits!$D$11))</f>
        <v/>
      </c>
      <c r="J13" s="8" t="n">
        <v>6</v>
      </c>
      <c r="K13" s="8" t="n">
        <v>6</v>
      </c>
      <c r="L13" s="11" t="n"/>
      <c r="M13" s="20">
        <f>IF(L13="","",L13*N(Produits!$D$11))</f>
        <v/>
      </c>
      <c r="N13" s="11" t="n"/>
      <c r="O13" s="11" t="n"/>
      <c r="P13" s="11" t="n"/>
      <c r="Q13" s="20">
        <f>IF(P13="","",P13*N(Produits!$D$11))</f>
        <v/>
      </c>
      <c r="R13" s="11" t="n"/>
      <c r="S13" s="11" t="n"/>
      <c r="T13" s="21">
        <f>IF(COUNT(G13,K13,O13,S13)=0,"",SUM(G13,K13,O13,S13))</f>
        <v/>
      </c>
      <c r="U13" s="22">
        <f>IF(T13="","",T13*N(Produits!$D$11))</f>
        <v/>
      </c>
    </row>
    <row r="14">
      <c r="A14" s="17">
        <f>IF(Produits!$A$12="","",Produits!$A$12)</f>
        <v/>
      </c>
      <c r="B14" s="18">
        <f>IF(Produits!$A$12="","",Produits!$B$12)</f>
        <v/>
      </c>
      <c r="C14" s="19">
        <f>IF(Produits!$A$12="","",Produits!$C$12)</f>
        <v/>
      </c>
      <c r="D14" s="8" t="n">
        <v>40</v>
      </c>
      <c r="E14" s="20">
        <f>IF(D14="","",D14*N(Produits!$D$12))</f>
        <v/>
      </c>
      <c r="F14" s="8" t="n">
        <v>90</v>
      </c>
      <c r="G14" s="8" t="n">
        <v>90</v>
      </c>
      <c r="H14" s="8" t="n">
        <v>50</v>
      </c>
      <c r="I14" s="20">
        <f>IF(H14="","",H14*N(Produits!$D$12))</f>
        <v/>
      </c>
      <c r="J14" s="8" t="n">
        <v>60</v>
      </c>
      <c r="K14" s="8" t="n">
        <v>60</v>
      </c>
      <c r="L14" s="11" t="n"/>
      <c r="M14" s="20">
        <f>IF(L14="","",L14*N(Produits!$D$12))</f>
        <v/>
      </c>
      <c r="N14" s="11" t="n"/>
      <c r="O14" s="11" t="n"/>
      <c r="P14" s="11" t="n"/>
      <c r="Q14" s="20">
        <f>IF(P14="","",P14*N(Produits!$D$12))</f>
        <v/>
      </c>
      <c r="R14" s="11" t="n"/>
      <c r="S14" s="11" t="n"/>
      <c r="T14" s="21">
        <f>IF(COUNT(G14,K14,O14,S14)=0,"",SUM(G14,K14,O14,S14))</f>
        <v/>
      </c>
      <c r="U14" s="22">
        <f>IF(T14="","",T14*N(Produits!$D$12))</f>
        <v/>
      </c>
    </row>
    <row r="15">
      <c r="A15" s="17">
        <f>IF(Produits!$A$13="","",Produits!$A$13)</f>
        <v/>
      </c>
      <c r="B15" s="18">
        <f>IF(Produits!$A$13="","",Produits!$B$13)</f>
        <v/>
      </c>
      <c r="C15" s="19">
        <f>IF(Produits!$A$13="","",Produits!$C$13)</f>
        <v/>
      </c>
      <c r="D15" s="8" t="n">
        <v>1.5</v>
      </c>
      <c r="E15" s="20">
        <f>IF(D15="","",D15*N(Produits!$D$13))</f>
        <v/>
      </c>
      <c r="F15" s="8" t="n">
        <v>3</v>
      </c>
      <c r="G15" s="8" t="n">
        <v>2</v>
      </c>
      <c r="H15" s="8" t="n">
        <v>2</v>
      </c>
      <c r="I15" s="20">
        <f>IF(H15="","",H15*N(Produits!$D$13))</f>
        <v/>
      </c>
      <c r="J15" s="8" t="n">
        <v>2</v>
      </c>
      <c r="K15" s="8" t="n">
        <v>2</v>
      </c>
      <c r="L15" s="11" t="n"/>
      <c r="M15" s="20">
        <f>IF(L15="","",L15*N(Produits!$D$13))</f>
        <v/>
      </c>
      <c r="N15" s="11" t="n"/>
      <c r="O15" s="11" t="n"/>
      <c r="P15" s="11" t="n"/>
      <c r="Q15" s="20">
        <f>IF(P15="","",P15*N(Produits!$D$13))</f>
        <v/>
      </c>
      <c r="R15" s="11" t="n"/>
      <c r="S15" s="11" t="n"/>
      <c r="T15" s="21">
        <f>IF(COUNT(G15,K15,O15,S15)=0,"",SUM(G15,K15,O15,S15))</f>
        <v/>
      </c>
      <c r="U15" s="22">
        <f>IF(T15="","",T15*N(Produits!$D$13))</f>
        <v/>
      </c>
    </row>
    <row r="16">
      <c r="A16" s="17">
        <f>IF(Produits!$A$14="","",Produits!$A$14)</f>
        <v/>
      </c>
      <c r="B16" s="18">
        <f>IF(Produits!$A$14="","",Produits!$B$14)</f>
        <v/>
      </c>
      <c r="C16" s="19">
        <f>IF(Produits!$A$14="","",Produits!$C$14)</f>
        <v/>
      </c>
      <c r="D16" s="8" t="n">
        <v>2</v>
      </c>
      <c r="E16" s="20">
        <f>IF(D16="","",D16*N(Produits!$D$14))</f>
        <v/>
      </c>
      <c r="F16" s="8" t="n">
        <v>2</v>
      </c>
      <c r="G16" s="8" t="n">
        <v>2</v>
      </c>
      <c r="H16" s="8" t="n">
        <v>2</v>
      </c>
      <c r="I16" s="20">
        <f>IF(H16="","",H16*N(Produits!$D$14))</f>
        <v/>
      </c>
      <c r="J16" s="8" t="n">
        <v>2</v>
      </c>
      <c r="K16" s="8" t="n">
        <v>2</v>
      </c>
      <c r="L16" s="11" t="n"/>
      <c r="M16" s="20">
        <f>IF(L16="","",L16*N(Produits!$D$14))</f>
        <v/>
      </c>
      <c r="N16" s="11" t="n"/>
      <c r="O16" s="11" t="n"/>
      <c r="P16" s="11" t="n"/>
      <c r="Q16" s="20">
        <f>IF(P16="","",P16*N(Produits!$D$14))</f>
        <v/>
      </c>
      <c r="R16" s="11" t="n"/>
      <c r="S16" s="11" t="n"/>
      <c r="T16" s="21">
        <f>IF(COUNT(G16,K16,O16,S16)=0,"",SUM(G16,K16,O16,S16))</f>
        <v/>
      </c>
      <c r="U16" s="22">
        <f>IF(T16="","",T16*N(Produits!$D$14))</f>
        <v/>
      </c>
    </row>
    <row r="17">
      <c r="A17" s="17">
        <f>IF(Produits!$A$15="","",Produits!$A$15)</f>
        <v/>
      </c>
      <c r="B17" s="18">
        <f>IF(Produits!$A$15="","",Produits!$B$15)</f>
        <v/>
      </c>
      <c r="C17" s="19">
        <f>IF(Produits!$A$15="","",Produits!$C$15)</f>
        <v/>
      </c>
      <c r="D17" s="8" t="n">
        <v>0.4</v>
      </c>
      <c r="E17" s="20">
        <f>IF(D17="","",D17*N(Produits!$D$15))</f>
        <v/>
      </c>
      <c r="F17" s="8" t="n">
        <v>1</v>
      </c>
      <c r="G17" s="8" t="n">
        <v>1</v>
      </c>
      <c r="H17" s="8" t="n">
        <v>0.6</v>
      </c>
      <c r="I17" s="20">
        <f>IF(H17="","",H17*N(Produits!$D$15))</f>
        <v/>
      </c>
      <c r="J17" s="8" t="n">
        <v>0</v>
      </c>
      <c r="K17" s="8" t="n">
        <v>0</v>
      </c>
      <c r="L17" s="11" t="n"/>
      <c r="M17" s="20">
        <f>IF(L17="","",L17*N(Produits!$D$15))</f>
        <v/>
      </c>
      <c r="N17" s="11" t="n"/>
      <c r="O17" s="11" t="n"/>
      <c r="P17" s="11" t="n"/>
      <c r="Q17" s="20">
        <f>IF(P17="","",P17*N(Produits!$D$15))</f>
        <v/>
      </c>
      <c r="R17" s="11" t="n"/>
      <c r="S17" s="11" t="n"/>
      <c r="T17" s="21">
        <f>IF(COUNT(G17,K17,O17,S17)=0,"",SUM(G17,K17,O17,S17))</f>
        <v/>
      </c>
      <c r="U17" s="22">
        <f>IF(T17="","",T17*N(Produits!$D$15))</f>
        <v/>
      </c>
    </row>
    <row r="18">
      <c r="A18" s="17">
        <f>IF(Produits!$A$16="","",Produits!$A$16)</f>
        <v/>
      </c>
      <c r="B18" s="18">
        <f>IF(Produits!$A$16="","",Produits!$B$16)</f>
        <v/>
      </c>
      <c r="C18" s="19">
        <f>IF(Produits!$A$16="","",Produits!$C$16)</f>
        <v/>
      </c>
      <c r="D18" s="8" t="n">
        <v>6</v>
      </c>
      <c r="E18" s="20">
        <f>IF(D18="","",D18*N(Produits!$D$16))</f>
        <v/>
      </c>
      <c r="F18" s="8" t="n">
        <v>0</v>
      </c>
      <c r="G18" s="8" t="n">
        <v>0</v>
      </c>
      <c r="H18" s="8" t="n">
        <v>6</v>
      </c>
      <c r="I18" s="20">
        <f>IF(H18="","",H18*N(Produits!$D$16))</f>
        <v/>
      </c>
      <c r="J18" s="8" t="n">
        <v>0</v>
      </c>
      <c r="K18" s="8" t="n">
        <v>0</v>
      </c>
      <c r="L18" s="11" t="n"/>
      <c r="M18" s="20">
        <f>IF(L18="","",L18*N(Produits!$D$16))</f>
        <v/>
      </c>
      <c r="N18" s="11" t="n"/>
      <c r="O18" s="11" t="n"/>
      <c r="P18" s="11" t="n"/>
      <c r="Q18" s="20">
        <f>IF(P18="","",P18*N(Produits!$D$16))</f>
        <v/>
      </c>
      <c r="R18" s="11" t="n"/>
      <c r="S18" s="11" t="n"/>
      <c r="T18" s="21">
        <f>IF(COUNT(G18,K18,O18,S18)=0,"",SUM(G18,K18,O18,S18))</f>
        <v/>
      </c>
      <c r="U18" s="22">
        <f>IF(T18="","",T18*N(Produits!$D$16))</f>
        <v/>
      </c>
    </row>
    <row r="19">
      <c r="A19" s="17">
        <f>IF(Produits!$A$17="","",Produits!$A$17)</f>
        <v/>
      </c>
      <c r="B19" s="18">
        <f>IF(Produits!$A$17="","",Produits!$B$17)</f>
        <v/>
      </c>
      <c r="C19" s="19">
        <f>IF(Produits!$A$17="","",Produits!$C$17)</f>
        <v/>
      </c>
      <c r="D19" s="11" t="n"/>
      <c r="E19" s="20">
        <f>IF(D19="","",D19*N(Produits!$D$17))</f>
        <v/>
      </c>
      <c r="F19" s="11" t="n"/>
      <c r="G19" s="11" t="n"/>
      <c r="H19" s="11" t="n"/>
      <c r="I19" s="20">
        <f>IF(H19="","",H19*N(Produits!$D$17))</f>
        <v/>
      </c>
      <c r="J19" s="11" t="n"/>
      <c r="K19" s="11" t="n"/>
      <c r="L19" s="11" t="n"/>
      <c r="M19" s="20">
        <f>IF(L19="","",L19*N(Produits!$D$17))</f>
        <v/>
      </c>
      <c r="N19" s="11" t="n"/>
      <c r="O19" s="11" t="n"/>
      <c r="P19" s="11" t="n"/>
      <c r="Q19" s="20">
        <f>IF(P19="","",P19*N(Produits!$D$17))</f>
        <v/>
      </c>
      <c r="R19" s="11" t="n"/>
      <c r="S19" s="11" t="n"/>
      <c r="T19" s="21">
        <f>IF(COUNT(G19,K19,O19,S19)=0,"",SUM(G19,K19,O19,S19))</f>
        <v/>
      </c>
      <c r="U19" s="22">
        <f>IF(T19="","",T19*N(Produits!$D$17))</f>
        <v/>
      </c>
    </row>
    <row r="20">
      <c r="A20" s="17">
        <f>IF(Produits!$A$18="","",Produits!$A$18)</f>
        <v/>
      </c>
      <c r="B20" s="18">
        <f>IF(Produits!$A$18="","",Produits!$B$18)</f>
        <v/>
      </c>
      <c r="C20" s="19">
        <f>IF(Produits!$A$18="","",Produits!$C$18)</f>
        <v/>
      </c>
      <c r="D20" s="11" t="n"/>
      <c r="E20" s="20">
        <f>IF(D20="","",D20*N(Produits!$D$18))</f>
        <v/>
      </c>
      <c r="F20" s="11" t="n"/>
      <c r="G20" s="11" t="n"/>
      <c r="H20" s="11" t="n"/>
      <c r="I20" s="20">
        <f>IF(H20="","",H20*N(Produits!$D$18))</f>
        <v/>
      </c>
      <c r="J20" s="11" t="n"/>
      <c r="K20" s="11" t="n"/>
      <c r="L20" s="11" t="n"/>
      <c r="M20" s="20">
        <f>IF(L20="","",L20*N(Produits!$D$18))</f>
        <v/>
      </c>
      <c r="N20" s="11" t="n"/>
      <c r="O20" s="11" t="n"/>
      <c r="P20" s="11" t="n"/>
      <c r="Q20" s="20">
        <f>IF(P20="","",P20*N(Produits!$D$18))</f>
        <v/>
      </c>
      <c r="R20" s="11" t="n"/>
      <c r="S20" s="11" t="n"/>
      <c r="T20" s="21">
        <f>IF(COUNT(G20,K20,O20,S20)=0,"",SUM(G20,K20,O20,S20))</f>
        <v/>
      </c>
      <c r="U20" s="22">
        <f>IF(T20="","",T20*N(Produits!$D$18))</f>
        <v/>
      </c>
    </row>
    <row r="21">
      <c r="A21" s="17">
        <f>IF(Produits!$A$19="","",Produits!$A$19)</f>
        <v/>
      </c>
      <c r="B21" s="18">
        <f>IF(Produits!$A$19="","",Produits!$B$19)</f>
        <v/>
      </c>
      <c r="C21" s="19">
        <f>IF(Produits!$A$19="","",Produits!$C$19)</f>
        <v/>
      </c>
      <c r="D21" s="11" t="n"/>
      <c r="E21" s="20">
        <f>IF(D21="","",D21*N(Produits!$D$19))</f>
        <v/>
      </c>
      <c r="F21" s="11" t="n"/>
      <c r="G21" s="11" t="n"/>
      <c r="H21" s="11" t="n"/>
      <c r="I21" s="20">
        <f>IF(H21="","",H21*N(Produits!$D$19))</f>
        <v/>
      </c>
      <c r="J21" s="11" t="n"/>
      <c r="K21" s="11" t="n"/>
      <c r="L21" s="11" t="n"/>
      <c r="M21" s="20">
        <f>IF(L21="","",L21*N(Produits!$D$19))</f>
        <v/>
      </c>
      <c r="N21" s="11" t="n"/>
      <c r="O21" s="11" t="n"/>
      <c r="P21" s="11" t="n"/>
      <c r="Q21" s="20">
        <f>IF(P21="","",P21*N(Produits!$D$19))</f>
        <v/>
      </c>
      <c r="R21" s="11" t="n"/>
      <c r="S21" s="11" t="n"/>
      <c r="T21" s="21">
        <f>IF(COUNT(G21,K21,O21,S21)=0,"",SUM(G21,K21,O21,S21))</f>
        <v/>
      </c>
      <c r="U21" s="22">
        <f>IF(T21="","",T21*N(Produits!$D$19))</f>
        <v/>
      </c>
    </row>
    <row r="22">
      <c r="A22" s="17">
        <f>IF(Produits!$A$20="","",Produits!$A$20)</f>
        <v/>
      </c>
      <c r="B22" s="18">
        <f>IF(Produits!$A$20="","",Produits!$B$20)</f>
        <v/>
      </c>
      <c r="C22" s="19">
        <f>IF(Produits!$A$20="","",Produits!$C$20)</f>
        <v/>
      </c>
      <c r="D22" s="11" t="n"/>
      <c r="E22" s="20">
        <f>IF(D22="","",D22*N(Produits!$D$20))</f>
        <v/>
      </c>
      <c r="F22" s="11" t="n"/>
      <c r="G22" s="11" t="n"/>
      <c r="H22" s="11" t="n"/>
      <c r="I22" s="20">
        <f>IF(H22="","",H22*N(Produits!$D$20))</f>
        <v/>
      </c>
      <c r="J22" s="11" t="n"/>
      <c r="K22" s="11" t="n"/>
      <c r="L22" s="11" t="n"/>
      <c r="M22" s="20">
        <f>IF(L22="","",L22*N(Produits!$D$20))</f>
        <v/>
      </c>
      <c r="N22" s="11" t="n"/>
      <c r="O22" s="11" t="n"/>
      <c r="P22" s="11" t="n"/>
      <c r="Q22" s="20">
        <f>IF(P22="","",P22*N(Produits!$D$20))</f>
        <v/>
      </c>
      <c r="R22" s="11" t="n"/>
      <c r="S22" s="11" t="n"/>
      <c r="T22" s="21">
        <f>IF(COUNT(G22,K22,O22,S22)=0,"",SUM(G22,K22,O22,S22))</f>
        <v/>
      </c>
      <c r="U22" s="22">
        <f>IF(T22="","",T22*N(Produits!$D$20))</f>
        <v/>
      </c>
    </row>
    <row r="23">
      <c r="A23" s="17">
        <f>IF(Produits!$A$21="","",Produits!$A$21)</f>
        <v/>
      </c>
      <c r="B23" s="18">
        <f>IF(Produits!$A$21="","",Produits!$B$21)</f>
        <v/>
      </c>
      <c r="C23" s="19">
        <f>IF(Produits!$A$21="","",Produits!$C$21)</f>
        <v/>
      </c>
      <c r="D23" s="11" t="n"/>
      <c r="E23" s="20">
        <f>IF(D23="","",D23*N(Produits!$D$21))</f>
        <v/>
      </c>
      <c r="F23" s="11" t="n"/>
      <c r="G23" s="11" t="n"/>
      <c r="H23" s="11" t="n"/>
      <c r="I23" s="20">
        <f>IF(H23="","",H23*N(Produits!$D$21))</f>
        <v/>
      </c>
      <c r="J23" s="11" t="n"/>
      <c r="K23" s="11" t="n"/>
      <c r="L23" s="11" t="n"/>
      <c r="M23" s="20">
        <f>IF(L23="","",L23*N(Produits!$D$21))</f>
        <v/>
      </c>
      <c r="N23" s="11" t="n"/>
      <c r="O23" s="11" t="n"/>
      <c r="P23" s="11" t="n"/>
      <c r="Q23" s="20">
        <f>IF(P23="","",P23*N(Produits!$D$21))</f>
        <v/>
      </c>
      <c r="R23" s="11" t="n"/>
      <c r="S23" s="11" t="n"/>
      <c r="T23" s="21">
        <f>IF(COUNT(G23,K23,O23,S23)=0,"",SUM(G23,K23,O23,S23))</f>
        <v/>
      </c>
      <c r="U23" s="22">
        <f>IF(T23="","",T23*N(Produits!$D$21))</f>
        <v/>
      </c>
    </row>
    <row r="24">
      <c r="A24" s="17">
        <f>IF(Produits!$A$22="","",Produits!$A$22)</f>
        <v/>
      </c>
      <c r="B24" s="18">
        <f>IF(Produits!$A$22="","",Produits!$B$22)</f>
        <v/>
      </c>
      <c r="C24" s="19">
        <f>IF(Produits!$A$22="","",Produits!$C$22)</f>
        <v/>
      </c>
      <c r="D24" s="11" t="n"/>
      <c r="E24" s="20">
        <f>IF(D24="","",D24*N(Produits!$D$22))</f>
        <v/>
      </c>
      <c r="F24" s="11" t="n"/>
      <c r="G24" s="11" t="n"/>
      <c r="H24" s="11" t="n"/>
      <c r="I24" s="20">
        <f>IF(H24="","",H24*N(Produits!$D$22))</f>
        <v/>
      </c>
      <c r="J24" s="11" t="n"/>
      <c r="K24" s="11" t="n"/>
      <c r="L24" s="11" t="n"/>
      <c r="M24" s="20">
        <f>IF(L24="","",L24*N(Produits!$D$22))</f>
        <v/>
      </c>
      <c r="N24" s="11" t="n"/>
      <c r="O24" s="11" t="n"/>
      <c r="P24" s="11" t="n"/>
      <c r="Q24" s="20">
        <f>IF(P24="","",P24*N(Produits!$D$22))</f>
        <v/>
      </c>
      <c r="R24" s="11" t="n"/>
      <c r="S24" s="11" t="n"/>
      <c r="T24" s="21">
        <f>IF(COUNT(G24,K24,O24,S24)=0,"",SUM(G24,K24,O24,S24))</f>
        <v/>
      </c>
      <c r="U24" s="22">
        <f>IF(T24="","",T24*N(Produits!$D$22))</f>
        <v/>
      </c>
    </row>
    <row r="25">
      <c r="A25" s="17">
        <f>IF(Produits!$A$23="","",Produits!$A$23)</f>
        <v/>
      </c>
      <c r="B25" s="18">
        <f>IF(Produits!$A$23="","",Produits!$B$23)</f>
        <v/>
      </c>
      <c r="C25" s="19">
        <f>IF(Produits!$A$23="","",Produits!$C$23)</f>
        <v/>
      </c>
      <c r="D25" s="11" t="n"/>
      <c r="E25" s="20">
        <f>IF(D25="","",D25*N(Produits!$D$23))</f>
        <v/>
      </c>
      <c r="F25" s="11" t="n"/>
      <c r="G25" s="11" t="n"/>
      <c r="H25" s="11" t="n"/>
      <c r="I25" s="20">
        <f>IF(H25="","",H25*N(Produits!$D$23))</f>
        <v/>
      </c>
      <c r="J25" s="11" t="n"/>
      <c r="K25" s="11" t="n"/>
      <c r="L25" s="11" t="n"/>
      <c r="M25" s="20">
        <f>IF(L25="","",L25*N(Produits!$D$23))</f>
        <v/>
      </c>
      <c r="N25" s="11" t="n"/>
      <c r="O25" s="11" t="n"/>
      <c r="P25" s="11" t="n"/>
      <c r="Q25" s="20">
        <f>IF(P25="","",P25*N(Produits!$D$23))</f>
        <v/>
      </c>
      <c r="R25" s="11" t="n"/>
      <c r="S25" s="11" t="n"/>
      <c r="T25" s="21">
        <f>IF(COUNT(G25,K25,O25,S25)=0,"",SUM(G25,K25,O25,S25))</f>
        <v/>
      </c>
      <c r="U25" s="22">
        <f>IF(T25="","",T25*N(Produits!$D$23))</f>
        <v/>
      </c>
    </row>
    <row r="26">
      <c r="A26" s="17">
        <f>IF(Produits!$A$24="","",Produits!$A$24)</f>
        <v/>
      </c>
      <c r="B26" s="18">
        <f>IF(Produits!$A$24="","",Produits!$B$24)</f>
        <v/>
      </c>
      <c r="C26" s="19">
        <f>IF(Produits!$A$24="","",Produits!$C$24)</f>
        <v/>
      </c>
      <c r="D26" s="11" t="n"/>
      <c r="E26" s="20">
        <f>IF(D26="","",D26*N(Produits!$D$24))</f>
        <v/>
      </c>
      <c r="F26" s="11" t="n"/>
      <c r="G26" s="11" t="n"/>
      <c r="H26" s="11" t="n"/>
      <c r="I26" s="20">
        <f>IF(H26="","",H26*N(Produits!$D$24))</f>
        <v/>
      </c>
      <c r="J26" s="11" t="n"/>
      <c r="K26" s="11" t="n"/>
      <c r="L26" s="11" t="n"/>
      <c r="M26" s="20">
        <f>IF(L26="","",L26*N(Produits!$D$24))</f>
        <v/>
      </c>
      <c r="N26" s="11" t="n"/>
      <c r="O26" s="11" t="n"/>
      <c r="P26" s="11" t="n"/>
      <c r="Q26" s="20">
        <f>IF(P26="","",P26*N(Produits!$D$24))</f>
        <v/>
      </c>
      <c r="R26" s="11" t="n"/>
      <c r="S26" s="11" t="n"/>
      <c r="T26" s="21">
        <f>IF(COUNT(G26,K26,O26,S26)=0,"",SUM(G26,K26,O26,S26))</f>
        <v/>
      </c>
      <c r="U26" s="22">
        <f>IF(T26="","",T26*N(Produits!$D$24))</f>
        <v/>
      </c>
    </row>
    <row r="27">
      <c r="A27" s="17">
        <f>IF(Produits!$A$25="","",Produits!$A$25)</f>
        <v/>
      </c>
      <c r="B27" s="18">
        <f>IF(Produits!$A$25="","",Produits!$B$25)</f>
        <v/>
      </c>
      <c r="C27" s="19">
        <f>IF(Produits!$A$25="","",Produits!$C$25)</f>
        <v/>
      </c>
      <c r="D27" s="11" t="n"/>
      <c r="E27" s="20">
        <f>IF(D27="","",D27*N(Produits!$D$25))</f>
        <v/>
      </c>
      <c r="F27" s="11" t="n"/>
      <c r="G27" s="11" t="n"/>
      <c r="H27" s="11" t="n"/>
      <c r="I27" s="20">
        <f>IF(H27="","",H27*N(Produits!$D$25))</f>
        <v/>
      </c>
      <c r="J27" s="11" t="n"/>
      <c r="K27" s="11" t="n"/>
      <c r="L27" s="11" t="n"/>
      <c r="M27" s="20">
        <f>IF(L27="","",L27*N(Produits!$D$25))</f>
        <v/>
      </c>
      <c r="N27" s="11" t="n"/>
      <c r="O27" s="11" t="n"/>
      <c r="P27" s="11" t="n"/>
      <c r="Q27" s="20">
        <f>IF(P27="","",P27*N(Produits!$D$25))</f>
        <v/>
      </c>
      <c r="R27" s="11" t="n"/>
      <c r="S27" s="11" t="n"/>
      <c r="T27" s="21">
        <f>IF(COUNT(G27,K27,O27,S27)=0,"",SUM(G27,K27,O27,S27))</f>
        <v/>
      </c>
      <c r="U27" s="22">
        <f>IF(T27="","",T27*N(Produits!$D$25))</f>
        <v/>
      </c>
    </row>
    <row r="28">
      <c r="A28" s="17">
        <f>IF(Produits!$A$26="","",Produits!$A$26)</f>
        <v/>
      </c>
      <c r="B28" s="18">
        <f>IF(Produits!$A$26="","",Produits!$B$26)</f>
        <v/>
      </c>
      <c r="C28" s="19">
        <f>IF(Produits!$A$26="","",Produits!$C$26)</f>
        <v/>
      </c>
      <c r="D28" s="11" t="n"/>
      <c r="E28" s="20">
        <f>IF(D28="","",D28*N(Produits!$D$26))</f>
        <v/>
      </c>
      <c r="F28" s="11" t="n"/>
      <c r="G28" s="11" t="n"/>
      <c r="H28" s="11" t="n"/>
      <c r="I28" s="20">
        <f>IF(H28="","",H28*N(Produits!$D$26))</f>
        <v/>
      </c>
      <c r="J28" s="11" t="n"/>
      <c r="K28" s="11" t="n"/>
      <c r="L28" s="11" t="n"/>
      <c r="M28" s="20">
        <f>IF(L28="","",L28*N(Produits!$D$26))</f>
        <v/>
      </c>
      <c r="N28" s="11" t="n"/>
      <c r="O28" s="11" t="n"/>
      <c r="P28" s="11" t="n"/>
      <c r="Q28" s="20">
        <f>IF(P28="","",P28*N(Produits!$D$26))</f>
        <v/>
      </c>
      <c r="R28" s="11" t="n"/>
      <c r="S28" s="11" t="n"/>
      <c r="T28" s="21">
        <f>IF(COUNT(G28,K28,O28,S28)=0,"",SUM(G28,K28,O28,S28))</f>
        <v/>
      </c>
      <c r="U28" s="22">
        <f>IF(T28="","",T28*N(Produits!$D$26))</f>
        <v/>
      </c>
    </row>
    <row r="29">
      <c r="A29" s="17">
        <f>IF(Produits!$A$27="","",Produits!$A$27)</f>
        <v/>
      </c>
      <c r="B29" s="18">
        <f>IF(Produits!$A$27="","",Produits!$B$27)</f>
        <v/>
      </c>
      <c r="C29" s="19">
        <f>IF(Produits!$A$27="","",Produits!$C$27)</f>
        <v/>
      </c>
      <c r="D29" s="11" t="n"/>
      <c r="E29" s="20">
        <f>IF(D29="","",D29*N(Produits!$D$27))</f>
        <v/>
      </c>
      <c r="F29" s="11" t="n"/>
      <c r="G29" s="11" t="n"/>
      <c r="H29" s="11" t="n"/>
      <c r="I29" s="20">
        <f>IF(H29="","",H29*N(Produits!$D$27))</f>
        <v/>
      </c>
      <c r="J29" s="11" t="n"/>
      <c r="K29" s="11" t="n"/>
      <c r="L29" s="11" t="n"/>
      <c r="M29" s="20">
        <f>IF(L29="","",L29*N(Produits!$D$27))</f>
        <v/>
      </c>
      <c r="N29" s="11" t="n"/>
      <c r="O29" s="11" t="n"/>
      <c r="P29" s="11" t="n"/>
      <c r="Q29" s="20">
        <f>IF(P29="","",P29*N(Produits!$D$27))</f>
        <v/>
      </c>
      <c r="R29" s="11" t="n"/>
      <c r="S29" s="11" t="n"/>
      <c r="T29" s="21">
        <f>IF(COUNT(G29,K29,O29,S29)=0,"",SUM(G29,K29,O29,S29))</f>
        <v/>
      </c>
      <c r="U29" s="22">
        <f>IF(T29="","",T29*N(Produits!$D$27))</f>
        <v/>
      </c>
    </row>
    <row r="30">
      <c r="A30" s="17">
        <f>IF(Produits!$A$28="","",Produits!$A$28)</f>
        <v/>
      </c>
      <c r="B30" s="18">
        <f>IF(Produits!$A$28="","",Produits!$B$28)</f>
        <v/>
      </c>
      <c r="C30" s="19">
        <f>IF(Produits!$A$28="","",Produits!$C$28)</f>
        <v/>
      </c>
      <c r="D30" s="11" t="n"/>
      <c r="E30" s="20">
        <f>IF(D30="","",D30*N(Produits!$D$28))</f>
        <v/>
      </c>
      <c r="F30" s="11" t="n"/>
      <c r="G30" s="11" t="n"/>
      <c r="H30" s="11" t="n"/>
      <c r="I30" s="20">
        <f>IF(H30="","",H30*N(Produits!$D$28))</f>
        <v/>
      </c>
      <c r="J30" s="11" t="n"/>
      <c r="K30" s="11" t="n"/>
      <c r="L30" s="11" t="n"/>
      <c r="M30" s="20">
        <f>IF(L30="","",L30*N(Produits!$D$28))</f>
        <v/>
      </c>
      <c r="N30" s="11" t="n"/>
      <c r="O30" s="11" t="n"/>
      <c r="P30" s="11" t="n"/>
      <c r="Q30" s="20">
        <f>IF(P30="","",P30*N(Produits!$D$28))</f>
        <v/>
      </c>
      <c r="R30" s="11" t="n"/>
      <c r="S30" s="11" t="n"/>
      <c r="T30" s="21">
        <f>IF(COUNT(G30,K30,O30,S30)=0,"",SUM(G30,K30,O30,S30))</f>
        <v/>
      </c>
      <c r="U30" s="22">
        <f>IF(T30="","",T30*N(Produits!$D$28))</f>
        <v/>
      </c>
    </row>
    <row r="31">
      <c r="A31" s="17">
        <f>IF(Produits!$A$29="","",Produits!$A$29)</f>
        <v/>
      </c>
      <c r="B31" s="18">
        <f>IF(Produits!$A$29="","",Produits!$B$29)</f>
        <v/>
      </c>
      <c r="C31" s="19">
        <f>IF(Produits!$A$29="","",Produits!$C$29)</f>
        <v/>
      </c>
      <c r="D31" s="11" t="n"/>
      <c r="E31" s="20">
        <f>IF(D31="","",D31*N(Produits!$D$29))</f>
        <v/>
      </c>
      <c r="F31" s="11" t="n"/>
      <c r="G31" s="11" t="n"/>
      <c r="H31" s="11" t="n"/>
      <c r="I31" s="20">
        <f>IF(H31="","",H31*N(Produits!$D$29))</f>
        <v/>
      </c>
      <c r="J31" s="11" t="n"/>
      <c r="K31" s="11" t="n"/>
      <c r="L31" s="11" t="n"/>
      <c r="M31" s="20">
        <f>IF(L31="","",L31*N(Produits!$D$29))</f>
        <v/>
      </c>
      <c r="N31" s="11" t="n"/>
      <c r="O31" s="11" t="n"/>
      <c r="P31" s="11" t="n"/>
      <c r="Q31" s="20">
        <f>IF(P31="","",P31*N(Produits!$D$29))</f>
        <v/>
      </c>
      <c r="R31" s="11" t="n"/>
      <c r="S31" s="11" t="n"/>
      <c r="T31" s="21">
        <f>IF(COUNT(G31,K31,O31,S31)=0,"",SUM(G31,K31,O31,S31))</f>
        <v/>
      </c>
      <c r="U31" s="22">
        <f>IF(T31="","",T31*N(Produits!$D$29))</f>
        <v/>
      </c>
    </row>
    <row r="32">
      <c r="A32" s="17">
        <f>IF(Produits!$A$30="","",Produits!$A$30)</f>
        <v/>
      </c>
      <c r="B32" s="18">
        <f>IF(Produits!$A$30="","",Produits!$B$30)</f>
        <v/>
      </c>
      <c r="C32" s="19">
        <f>IF(Produits!$A$30="","",Produits!$C$30)</f>
        <v/>
      </c>
      <c r="D32" s="11" t="n"/>
      <c r="E32" s="20">
        <f>IF(D32="","",D32*N(Produits!$D$30))</f>
        <v/>
      </c>
      <c r="F32" s="11" t="n"/>
      <c r="G32" s="11" t="n"/>
      <c r="H32" s="11" t="n"/>
      <c r="I32" s="20">
        <f>IF(H32="","",H32*N(Produits!$D$30))</f>
        <v/>
      </c>
      <c r="J32" s="11" t="n"/>
      <c r="K32" s="11" t="n"/>
      <c r="L32" s="11" t="n"/>
      <c r="M32" s="20">
        <f>IF(L32="","",L32*N(Produits!$D$30))</f>
        <v/>
      </c>
      <c r="N32" s="11" t="n"/>
      <c r="O32" s="11" t="n"/>
      <c r="P32" s="11" t="n"/>
      <c r="Q32" s="20">
        <f>IF(P32="","",P32*N(Produits!$D$30))</f>
        <v/>
      </c>
      <c r="R32" s="11" t="n"/>
      <c r="S32" s="11" t="n"/>
      <c r="T32" s="21">
        <f>IF(COUNT(G32,K32,O32,S32)=0,"",SUM(G32,K32,O32,S32))</f>
        <v/>
      </c>
      <c r="U32" s="22">
        <f>IF(T32="","",T32*N(Produits!$D$30))</f>
        <v/>
      </c>
    </row>
    <row r="33">
      <c r="A33" s="17">
        <f>IF(Produits!$A$31="","",Produits!$A$31)</f>
        <v/>
      </c>
      <c r="B33" s="18">
        <f>IF(Produits!$A$31="","",Produits!$B$31)</f>
        <v/>
      </c>
      <c r="C33" s="19">
        <f>IF(Produits!$A$31="","",Produits!$C$31)</f>
        <v/>
      </c>
      <c r="D33" s="11" t="n"/>
      <c r="E33" s="20">
        <f>IF(D33="","",D33*N(Produits!$D$31))</f>
        <v/>
      </c>
      <c r="F33" s="11" t="n"/>
      <c r="G33" s="11" t="n"/>
      <c r="H33" s="11" t="n"/>
      <c r="I33" s="20">
        <f>IF(H33="","",H33*N(Produits!$D$31))</f>
        <v/>
      </c>
      <c r="J33" s="11" t="n"/>
      <c r="K33" s="11" t="n"/>
      <c r="L33" s="11" t="n"/>
      <c r="M33" s="20">
        <f>IF(L33="","",L33*N(Produits!$D$31))</f>
        <v/>
      </c>
      <c r="N33" s="11" t="n"/>
      <c r="O33" s="11" t="n"/>
      <c r="P33" s="11" t="n"/>
      <c r="Q33" s="20">
        <f>IF(P33="","",P33*N(Produits!$D$31))</f>
        <v/>
      </c>
      <c r="R33" s="11" t="n"/>
      <c r="S33" s="11" t="n"/>
      <c r="T33" s="21">
        <f>IF(COUNT(G33,K33,O33,S33)=0,"",SUM(G33,K33,O33,S33))</f>
        <v/>
      </c>
      <c r="U33" s="22">
        <f>IF(T33="","",T33*N(Produits!$D$31))</f>
        <v/>
      </c>
    </row>
    <row r="34">
      <c r="A34" s="17">
        <f>IF(Produits!$A$32="","",Produits!$A$32)</f>
        <v/>
      </c>
      <c r="B34" s="18">
        <f>IF(Produits!$A$32="","",Produits!$B$32)</f>
        <v/>
      </c>
      <c r="C34" s="19">
        <f>IF(Produits!$A$32="","",Produits!$C$32)</f>
        <v/>
      </c>
      <c r="D34" s="11" t="n"/>
      <c r="E34" s="20">
        <f>IF(D34="","",D34*N(Produits!$D$32))</f>
        <v/>
      </c>
      <c r="F34" s="11" t="n"/>
      <c r="G34" s="11" t="n"/>
      <c r="H34" s="11" t="n"/>
      <c r="I34" s="20">
        <f>IF(H34="","",H34*N(Produits!$D$32))</f>
        <v/>
      </c>
      <c r="J34" s="11" t="n"/>
      <c r="K34" s="11" t="n"/>
      <c r="L34" s="11" t="n"/>
      <c r="M34" s="20">
        <f>IF(L34="","",L34*N(Produits!$D$32))</f>
        <v/>
      </c>
      <c r="N34" s="11" t="n"/>
      <c r="O34" s="11" t="n"/>
      <c r="P34" s="11" t="n"/>
      <c r="Q34" s="20">
        <f>IF(P34="","",P34*N(Produits!$D$32))</f>
        <v/>
      </c>
      <c r="R34" s="11" t="n"/>
      <c r="S34" s="11" t="n"/>
      <c r="T34" s="21">
        <f>IF(COUNT(G34,K34,O34,S34)=0,"",SUM(G34,K34,O34,S34))</f>
        <v/>
      </c>
      <c r="U34" s="22">
        <f>IF(T34="","",T34*N(Produits!$D$32))</f>
        <v/>
      </c>
    </row>
    <row r="35">
      <c r="A35" s="17">
        <f>IF(Produits!$A$33="","",Produits!$A$33)</f>
        <v/>
      </c>
      <c r="B35" s="18">
        <f>IF(Produits!$A$33="","",Produits!$B$33)</f>
        <v/>
      </c>
      <c r="C35" s="19">
        <f>IF(Produits!$A$33="","",Produits!$C$33)</f>
        <v/>
      </c>
      <c r="D35" s="11" t="n"/>
      <c r="E35" s="20">
        <f>IF(D35="","",D35*N(Produits!$D$33))</f>
        <v/>
      </c>
      <c r="F35" s="11" t="n"/>
      <c r="G35" s="11" t="n"/>
      <c r="H35" s="11" t="n"/>
      <c r="I35" s="20">
        <f>IF(H35="","",H35*N(Produits!$D$33))</f>
        <v/>
      </c>
      <c r="J35" s="11" t="n"/>
      <c r="K35" s="11" t="n"/>
      <c r="L35" s="11" t="n"/>
      <c r="M35" s="20">
        <f>IF(L35="","",L35*N(Produits!$D$33))</f>
        <v/>
      </c>
      <c r="N35" s="11" t="n"/>
      <c r="O35" s="11" t="n"/>
      <c r="P35" s="11" t="n"/>
      <c r="Q35" s="20">
        <f>IF(P35="","",P35*N(Produits!$D$33))</f>
        <v/>
      </c>
      <c r="R35" s="11" t="n"/>
      <c r="S35" s="11" t="n"/>
      <c r="T35" s="21">
        <f>IF(COUNT(G35,K35,O35,S35)=0,"",SUM(G35,K35,O35,S35))</f>
        <v/>
      </c>
      <c r="U35" s="22">
        <f>IF(T35="","",T35*N(Produits!$D$33))</f>
        <v/>
      </c>
    </row>
    <row r="36">
      <c r="A36" s="17">
        <f>IF(Produits!$A$34="","",Produits!$A$34)</f>
        <v/>
      </c>
      <c r="B36" s="18">
        <f>IF(Produits!$A$34="","",Produits!$B$34)</f>
        <v/>
      </c>
      <c r="C36" s="19">
        <f>IF(Produits!$A$34="","",Produits!$C$34)</f>
        <v/>
      </c>
      <c r="D36" s="11" t="n"/>
      <c r="E36" s="20">
        <f>IF(D36="","",D36*N(Produits!$D$34))</f>
        <v/>
      </c>
      <c r="F36" s="11" t="n"/>
      <c r="G36" s="11" t="n"/>
      <c r="H36" s="11" t="n"/>
      <c r="I36" s="20">
        <f>IF(H36="","",H36*N(Produits!$D$34))</f>
        <v/>
      </c>
      <c r="J36" s="11" t="n"/>
      <c r="K36" s="11" t="n"/>
      <c r="L36" s="11" t="n"/>
      <c r="M36" s="20">
        <f>IF(L36="","",L36*N(Produits!$D$34))</f>
        <v/>
      </c>
      <c r="N36" s="11" t="n"/>
      <c r="O36" s="11" t="n"/>
      <c r="P36" s="11" t="n"/>
      <c r="Q36" s="20">
        <f>IF(P36="","",P36*N(Produits!$D$34))</f>
        <v/>
      </c>
      <c r="R36" s="11" t="n"/>
      <c r="S36" s="11" t="n"/>
      <c r="T36" s="21">
        <f>IF(COUNT(G36,K36,O36,S36)=0,"",SUM(G36,K36,O36,S36))</f>
        <v/>
      </c>
      <c r="U36" s="22">
        <f>IF(T36="","",T36*N(Produits!$D$34))</f>
        <v/>
      </c>
    </row>
    <row r="37">
      <c r="A37" s="17">
        <f>IF(Produits!$A$35="","",Produits!$A$35)</f>
        <v/>
      </c>
      <c r="B37" s="18">
        <f>IF(Produits!$A$35="","",Produits!$B$35)</f>
        <v/>
      </c>
      <c r="C37" s="19">
        <f>IF(Produits!$A$35="","",Produits!$C$35)</f>
        <v/>
      </c>
      <c r="D37" s="11" t="n"/>
      <c r="E37" s="20">
        <f>IF(D37="","",D37*N(Produits!$D$35))</f>
        <v/>
      </c>
      <c r="F37" s="11" t="n"/>
      <c r="G37" s="11" t="n"/>
      <c r="H37" s="11" t="n"/>
      <c r="I37" s="20">
        <f>IF(H37="","",H37*N(Produits!$D$35))</f>
        <v/>
      </c>
      <c r="J37" s="11" t="n"/>
      <c r="K37" s="11" t="n"/>
      <c r="L37" s="11" t="n"/>
      <c r="M37" s="20">
        <f>IF(L37="","",L37*N(Produits!$D$35))</f>
        <v/>
      </c>
      <c r="N37" s="11" t="n"/>
      <c r="O37" s="11" t="n"/>
      <c r="P37" s="11" t="n"/>
      <c r="Q37" s="20">
        <f>IF(P37="","",P37*N(Produits!$D$35))</f>
        <v/>
      </c>
      <c r="R37" s="11" t="n"/>
      <c r="S37" s="11" t="n"/>
      <c r="T37" s="21">
        <f>IF(COUNT(G37,K37,O37,S37)=0,"",SUM(G37,K37,O37,S37))</f>
        <v/>
      </c>
      <c r="U37" s="22">
        <f>IF(T37="","",T37*N(Produits!$D$35))</f>
        <v/>
      </c>
    </row>
    <row r="38">
      <c r="A38" s="17">
        <f>IF(Produits!$A$36="","",Produits!$A$36)</f>
        <v/>
      </c>
      <c r="B38" s="18">
        <f>IF(Produits!$A$36="","",Produits!$B$36)</f>
        <v/>
      </c>
      <c r="C38" s="19">
        <f>IF(Produits!$A$36="","",Produits!$C$36)</f>
        <v/>
      </c>
      <c r="D38" s="11" t="n"/>
      <c r="E38" s="20">
        <f>IF(D38="","",D38*N(Produits!$D$36))</f>
        <v/>
      </c>
      <c r="F38" s="11" t="n"/>
      <c r="G38" s="11" t="n"/>
      <c r="H38" s="11" t="n"/>
      <c r="I38" s="20">
        <f>IF(H38="","",H38*N(Produits!$D$36))</f>
        <v/>
      </c>
      <c r="J38" s="11" t="n"/>
      <c r="K38" s="11" t="n"/>
      <c r="L38" s="11" t="n"/>
      <c r="M38" s="20">
        <f>IF(L38="","",L38*N(Produits!$D$36))</f>
        <v/>
      </c>
      <c r="N38" s="11" t="n"/>
      <c r="O38" s="11" t="n"/>
      <c r="P38" s="11" t="n"/>
      <c r="Q38" s="20">
        <f>IF(P38="","",P38*N(Produits!$D$36))</f>
        <v/>
      </c>
      <c r="R38" s="11" t="n"/>
      <c r="S38" s="11" t="n"/>
      <c r="T38" s="21">
        <f>IF(COUNT(G38,K38,O38,S38)=0,"",SUM(G38,K38,O38,S38))</f>
        <v/>
      </c>
      <c r="U38" s="22">
        <f>IF(T38="","",T38*N(Produits!$D$36))</f>
        <v/>
      </c>
    </row>
    <row r="39">
      <c r="A39" s="17">
        <f>IF(Produits!$A$37="","",Produits!$A$37)</f>
        <v/>
      </c>
      <c r="B39" s="18">
        <f>IF(Produits!$A$37="","",Produits!$B$37)</f>
        <v/>
      </c>
      <c r="C39" s="19">
        <f>IF(Produits!$A$37="","",Produits!$C$37)</f>
        <v/>
      </c>
      <c r="D39" s="11" t="n"/>
      <c r="E39" s="20">
        <f>IF(D39="","",D39*N(Produits!$D$37))</f>
        <v/>
      </c>
      <c r="F39" s="11" t="n"/>
      <c r="G39" s="11" t="n"/>
      <c r="H39" s="11" t="n"/>
      <c r="I39" s="20">
        <f>IF(H39="","",H39*N(Produits!$D$37))</f>
        <v/>
      </c>
      <c r="J39" s="11" t="n"/>
      <c r="K39" s="11" t="n"/>
      <c r="L39" s="11" t="n"/>
      <c r="M39" s="20">
        <f>IF(L39="","",L39*N(Produits!$D$37))</f>
        <v/>
      </c>
      <c r="N39" s="11" t="n"/>
      <c r="O39" s="11" t="n"/>
      <c r="P39" s="11" t="n"/>
      <c r="Q39" s="20">
        <f>IF(P39="","",P39*N(Produits!$D$37))</f>
        <v/>
      </c>
      <c r="R39" s="11" t="n"/>
      <c r="S39" s="11" t="n"/>
      <c r="T39" s="21">
        <f>IF(COUNT(G39,K39,O39,S39)=0,"",SUM(G39,K39,O39,S39))</f>
        <v/>
      </c>
      <c r="U39" s="22">
        <f>IF(T39="","",T39*N(Produits!$D$37))</f>
        <v/>
      </c>
    </row>
    <row r="40">
      <c r="A40" s="17">
        <f>IF(Produits!$A$38="","",Produits!$A$38)</f>
        <v/>
      </c>
      <c r="B40" s="18">
        <f>IF(Produits!$A$38="","",Produits!$B$38)</f>
        <v/>
      </c>
      <c r="C40" s="19">
        <f>IF(Produits!$A$38="","",Produits!$C$38)</f>
        <v/>
      </c>
      <c r="D40" s="11" t="n"/>
      <c r="E40" s="20">
        <f>IF(D40="","",D40*N(Produits!$D$38))</f>
        <v/>
      </c>
      <c r="F40" s="11" t="n"/>
      <c r="G40" s="11" t="n"/>
      <c r="H40" s="11" t="n"/>
      <c r="I40" s="20">
        <f>IF(H40="","",H40*N(Produits!$D$38))</f>
        <v/>
      </c>
      <c r="J40" s="11" t="n"/>
      <c r="K40" s="11" t="n"/>
      <c r="L40" s="11" t="n"/>
      <c r="M40" s="20">
        <f>IF(L40="","",L40*N(Produits!$D$38))</f>
        <v/>
      </c>
      <c r="N40" s="11" t="n"/>
      <c r="O40" s="11" t="n"/>
      <c r="P40" s="11" t="n"/>
      <c r="Q40" s="20">
        <f>IF(P40="","",P40*N(Produits!$D$38))</f>
        <v/>
      </c>
      <c r="R40" s="11" t="n"/>
      <c r="S40" s="11" t="n"/>
      <c r="T40" s="21">
        <f>IF(COUNT(G40,K40,O40,S40)=0,"",SUM(G40,K40,O40,S40))</f>
        <v/>
      </c>
      <c r="U40" s="22">
        <f>IF(T40="","",T40*N(Produits!$D$38))</f>
        <v/>
      </c>
    </row>
    <row r="41">
      <c r="A41" s="17">
        <f>IF(Produits!$A$39="","",Produits!$A$39)</f>
        <v/>
      </c>
      <c r="B41" s="18">
        <f>IF(Produits!$A$39="","",Produits!$B$39)</f>
        <v/>
      </c>
      <c r="C41" s="19">
        <f>IF(Produits!$A$39="","",Produits!$C$39)</f>
        <v/>
      </c>
      <c r="D41" s="11" t="n"/>
      <c r="E41" s="20">
        <f>IF(D41="","",D41*N(Produits!$D$39))</f>
        <v/>
      </c>
      <c r="F41" s="11" t="n"/>
      <c r="G41" s="11" t="n"/>
      <c r="H41" s="11" t="n"/>
      <c r="I41" s="20">
        <f>IF(H41="","",H41*N(Produits!$D$39))</f>
        <v/>
      </c>
      <c r="J41" s="11" t="n"/>
      <c r="K41" s="11" t="n"/>
      <c r="L41" s="11" t="n"/>
      <c r="M41" s="20">
        <f>IF(L41="","",L41*N(Produits!$D$39))</f>
        <v/>
      </c>
      <c r="N41" s="11" t="n"/>
      <c r="O41" s="11" t="n"/>
      <c r="P41" s="11" t="n"/>
      <c r="Q41" s="20">
        <f>IF(P41="","",P41*N(Produits!$D$39))</f>
        <v/>
      </c>
      <c r="R41" s="11" t="n"/>
      <c r="S41" s="11" t="n"/>
      <c r="T41" s="21">
        <f>IF(COUNT(G41,K41,O41,S41)=0,"",SUM(G41,K41,O41,S41))</f>
        <v/>
      </c>
      <c r="U41" s="22">
        <f>IF(T41="","",T41*N(Produits!$D$39))</f>
        <v/>
      </c>
    </row>
    <row r="42">
      <c r="A42" s="17">
        <f>IF(Produits!$A$40="","",Produits!$A$40)</f>
        <v/>
      </c>
      <c r="B42" s="18">
        <f>IF(Produits!$A$40="","",Produits!$B$40)</f>
        <v/>
      </c>
      <c r="C42" s="19">
        <f>IF(Produits!$A$40="","",Produits!$C$40)</f>
        <v/>
      </c>
      <c r="D42" s="11" t="n"/>
      <c r="E42" s="20">
        <f>IF(D42="","",D42*N(Produits!$D$40))</f>
        <v/>
      </c>
      <c r="F42" s="11" t="n"/>
      <c r="G42" s="11" t="n"/>
      <c r="H42" s="11" t="n"/>
      <c r="I42" s="20">
        <f>IF(H42="","",H42*N(Produits!$D$40))</f>
        <v/>
      </c>
      <c r="J42" s="11" t="n"/>
      <c r="K42" s="11" t="n"/>
      <c r="L42" s="11" t="n"/>
      <c r="M42" s="20">
        <f>IF(L42="","",L42*N(Produits!$D$40))</f>
        <v/>
      </c>
      <c r="N42" s="11" t="n"/>
      <c r="O42" s="11" t="n"/>
      <c r="P42" s="11" t="n"/>
      <c r="Q42" s="20">
        <f>IF(P42="","",P42*N(Produits!$D$40))</f>
        <v/>
      </c>
      <c r="R42" s="11" t="n"/>
      <c r="S42" s="11" t="n"/>
      <c r="T42" s="21">
        <f>IF(COUNT(G42,K42,O42,S42)=0,"",SUM(G42,K42,O42,S42))</f>
        <v/>
      </c>
      <c r="U42" s="22">
        <f>IF(T42="","",T42*N(Produits!$D$40))</f>
        <v/>
      </c>
    </row>
    <row r="43">
      <c r="A43" s="17">
        <f>IF(Produits!$A$41="","",Produits!$A$41)</f>
        <v/>
      </c>
      <c r="B43" s="18">
        <f>IF(Produits!$A$41="","",Produits!$B$41)</f>
        <v/>
      </c>
      <c r="C43" s="19">
        <f>IF(Produits!$A$41="","",Produits!$C$41)</f>
        <v/>
      </c>
      <c r="D43" s="11" t="n"/>
      <c r="E43" s="20">
        <f>IF(D43="","",D43*N(Produits!$D$41))</f>
        <v/>
      </c>
      <c r="F43" s="11" t="n"/>
      <c r="G43" s="11" t="n"/>
      <c r="H43" s="11" t="n"/>
      <c r="I43" s="20">
        <f>IF(H43="","",H43*N(Produits!$D$41))</f>
        <v/>
      </c>
      <c r="J43" s="11" t="n"/>
      <c r="K43" s="11" t="n"/>
      <c r="L43" s="11" t="n"/>
      <c r="M43" s="20">
        <f>IF(L43="","",L43*N(Produits!$D$41))</f>
        <v/>
      </c>
      <c r="N43" s="11" t="n"/>
      <c r="O43" s="11" t="n"/>
      <c r="P43" s="11" t="n"/>
      <c r="Q43" s="20">
        <f>IF(P43="","",P43*N(Produits!$D$41))</f>
        <v/>
      </c>
      <c r="R43" s="11" t="n"/>
      <c r="S43" s="11" t="n"/>
      <c r="T43" s="21">
        <f>IF(COUNT(G43,K43,O43,S43)=0,"",SUM(G43,K43,O43,S43))</f>
        <v/>
      </c>
      <c r="U43" s="22">
        <f>IF(T43="","",T43*N(Produits!$D$41))</f>
        <v/>
      </c>
    </row>
    <row r="44">
      <c r="A44" s="17">
        <f>IF(Produits!$A$42="","",Produits!$A$42)</f>
        <v/>
      </c>
      <c r="B44" s="18">
        <f>IF(Produits!$A$42="","",Produits!$B$42)</f>
        <v/>
      </c>
      <c r="C44" s="19">
        <f>IF(Produits!$A$42="","",Produits!$C$42)</f>
        <v/>
      </c>
      <c r="D44" s="11" t="n"/>
      <c r="E44" s="20">
        <f>IF(D44="","",D44*N(Produits!$D$42))</f>
        <v/>
      </c>
      <c r="F44" s="11" t="n"/>
      <c r="G44" s="11" t="n"/>
      <c r="H44" s="11" t="n"/>
      <c r="I44" s="20">
        <f>IF(H44="","",H44*N(Produits!$D$42))</f>
        <v/>
      </c>
      <c r="J44" s="11" t="n"/>
      <c r="K44" s="11" t="n"/>
      <c r="L44" s="11" t="n"/>
      <c r="M44" s="20">
        <f>IF(L44="","",L44*N(Produits!$D$42))</f>
        <v/>
      </c>
      <c r="N44" s="11" t="n"/>
      <c r="O44" s="11" t="n"/>
      <c r="P44" s="11" t="n"/>
      <c r="Q44" s="20">
        <f>IF(P44="","",P44*N(Produits!$D$42))</f>
        <v/>
      </c>
      <c r="R44" s="11" t="n"/>
      <c r="S44" s="11" t="n"/>
      <c r="T44" s="21">
        <f>IF(COUNT(G44,K44,O44,S44)=0,"",SUM(G44,K44,O44,S44))</f>
        <v/>
      </c>
      <c r="U44" s="22">
        <f>IF(T44="","",T44*N(Produits!$D$42))</f>
        <v/>
      </c>
    </row>
    <row r="45">
      <c r="A45" s="17">
        <f>IF(Produits!$A$43="","",Produits!$A$43)</f>
        <v/>
      </c>
      <c r="B45" s="18">
        <f>IF(Produits!$A$43="","",Produits!$B$43)</f>
        <v/>
      </c>
      <c r="C45" s="19">
        <f>IF(Produits!$A$43="","",Produits!$C$43)</f>
        <v/>
      </c>
      <c r="D45" s="11" t="n"/>
      <c r="E45" s="20">
        <f>IF(D45="","",D45*N(Produits!$D$43))</f>
        <v/>
      </c>
      <c r="F45" s="11" t="n"/>
      <c r="G45" s="11" t="n"/>
      <c r="H45" s="11" t="n"/>
      <c r="I45" s="20">
        <f>IF(H45="","",H45*N(Produits!$D$43))</f>
        <v/>
      </c>
      <c r="J45" s="11" t="n"/>
      <c r="K45" s="11" t="n"/>
      <c r="L45" s="11" t="n"/>
      <c r="M45" s="20">
        <f>IF(L45="","",L45*N(Produits!$D$43))</f>
        <v/>
      </c>
      <c r="N45" s="11" t="n"/>
      <c r="O45" s="11" t="n"/>
      <c r="P45" s="11" t="n"/>
      <c r="Q45" s="20">
        <f>IF(P45="","",P45*N(Produits!$D$43))</f>
        <v/>
      </c>
      <c r="R45" s="11" t="n"/>
      <c r="S45" s="11" t="n"/>
      <c r="T45" s="21">
        <f>IF(COUNT(G45,K45,O45,S45)=0,"",SUM(G45,K45,O45,S45))</f>
        <v/>
      </c>
      <c r="U45" s="22">
        <f>IF(T45="","",T45*N(Produits!$D$43))</f>
        <v/>
      </c>
    </row>
    <row r="46">
      <c r="A46" s="17">
        <f>IF(Produits!$A$44="","",Produits!$A$44)</f>
        <v/>
      </c>
      <c r="B46" s="18">
        <f>IF(Produits!$A$44="","",Produits!$B$44)</f>
        <v/>
      </c>
      <c r="C46" s="19">
        <f>IF(Produits!$A$44="","",Produits!$C$44)</f>
        <v/>
      </c>
      <c r="D46" s="11" t="n"/>
      <c r="E46" s="20">
        <f>IF(D46="","",D46*N(Produits!$D$44))</f>
        <v/>
      </c>
      <c r="F46" s="11" t="n"/>
      <c r="G46" s="11" t="n"/>
      <c r="H46" s="11" t="n"/>
      <c r="I46" s="20">
        <f>IF(H46="","",H46*N(Produits!$D$44))</f>
        <v/>
      </c>
      <c r="J46" s="11" t="n"/>
      <c r="K46" s="11" t="n"/>
      <c r="L46" s="11" t="n"/>
      <c r="M46" s="20">
        <f>IF(L46="","",L46*N(Produits!$D$44))</f>
        <v/>
      </c>
      <c r="N46" s="11" t="n"/>
      <c r="O46" s="11" t="n"/>
      <c r="P46" s="11" t="n"/>
      <c r="Q46" s="20">
        <f>IF(P46="","",P46*N(Produits!$D$44))</f>
        <v/>
      </c>
      <c r="R46" s="11" t="n"/>
      <c r="S46" s="11" t="n"/>
      <c r="T46" s="21">
        <f>IF(COUNT(G46,K46,O46,S46)=0,"",SUM(G46,K46,O46,S46))</f>
        <v/>
      </c>
      <c r="U46" s="22">
        <f>IF(T46="","",T46*N(Produits!$D$44))</f>
        <v/>
      </c>
    </row>
    <row r="47">
      <c r="A47" s="6" t="inlineStr">
        <is>
          <t>Valeur totale du stock</t>
        </is>
      </c>
      <c r="B47" s="13" t="n"/>
      <c r="C47" s="13" t="n"/>
      <c r="E47" s="23">
        <f>SUM(E7:E46)</f>
        <v/>
      </c>
      <c r="I47" s="23">
        <f>SUM(I7:I46)</f>
        <v/>
      </c>
      <c r="M47" s="23">
        <f>SUM(M7:M46)</f>
        <v/>
      </c>
      <c r="Q47" s="23">
        <f>SUM(Q7:Q46)</f>
        <v/>
      </c>
      <c r="U47" s="23">
        <f>SUM(U7:U46)</f>
        <v/>
      </c>
    </row>
  </sheetData>
  <mergeCells count="13">
    <mergeCell ref="L5:O5"/>
    <mergeCell ref="H4:K4"/>
    <mergeCell ref="P5:S5"/>
    <mergeCell ref="T4:U5"/>
    <mergeCell ref="A4:A6"/>
    <mergeCell ref="A47:C47"/>
    <mergeCell ref="B4:B6"/>
    <mergeCell ref="L4:O4"/>
    <mergeCell ref="P4:S4"/>
    <mergeCell ref="D5:G5"/>
    <mergeCell ref="C4:C6"/>
    <mergeCell ref="H5:K5"/>
    <mergeCell ref="D4:G4"/>
  </mergeCells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P7:P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R7:R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S7:S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3" customWidth="1" min="4" max="4"/>
    <col width="13" customWidth="1" min="5" max="5"/>
  </cols>
  <sheetData>
    <row r="1" ht="26" customHeight="1">
      <c r="A1" s="1" t="inlineStr">
        <is>
          <t>Inventaire</t>
        </is>
      </c>
    </row>
    <row r="2">
      <c r="A2" s="2" t="inlineStr">
        <is>
          <t>Le jour de l'inventaire : compte tout, tape les quantités, la valeur se calcule.</t>
        </is>
      </c>
    </row>
    <row r="3">
      <c r="A3" s="24" t="inlineStr">
        <is>
          <t>Date de l'inventaire :</t>
        </is>
      </c>
      <c r="B3" s="25">
        <f>DATE(2026,12,31)</f>
        <v/>
      </c>
    </row>
    <row r="5">
      <c r="A5" s="6" t="inlineStr">
        <is>
          <t>Produit</t>
        </is>
      </c>
      <c r="B5" s="6" t="inlineStr">
        <is>
          <t>Unité</t>
        </is>
      </c>
      <c r="C5" s="6" t="inlineStr">
        <is>
          <t>Quantité comptée</t>
        </is>
      </c>
      <c r="D5" s="6" t="inlineStr">
        <is>
          <t>Prix unitaire</t>
        </is>
      </c>
      <c r="E5" s="6" t="inlineStr">
        <is>
          <t>Valeur</t>
        </is>
      </c>
    </row>
    <row r="6">
      <c r="A6" s="17">
        <f>IF(Produits!$A$5="","",Produits!$A$5)</f>
        <v/>
      </c>
      <c r="B6" s="19">
        <f>IF(Produits!$A$5="","",Produits!$C$5)</f>
        <v/>
      </c>
      <c r="C6" s="11" t="n"/>
      <c r="D6" s="20">
        <f>IF(A6="","",N(Produits!D5))</f>
        <v/>
      </c>
      <c r="E6" s="20">
        <f>IF(C6="","",C6*N(D6))</f>
        <v/>
      </c>
    </row>
    <row r="7">
      <c r="A7" s="17">
        <f>IF(Produits!$A$6="","",Produits!$A$6)</f>
        <v/>
      </c>
      <c r="B7" s="19">
        <f>IF(Produits!$A$6="","",Produits!$C$6)</f>
        <v/>
      </c>
      <c r="C7" s="11" t="n"/>
      <c r="D7" s="20">
        <f>IF(A7="","",N(Produits!D6))</f>
        <v/>
      </c>
      <c r="E7" s="20">
        <f>IF(C7="","",C7*N(D7))</f>
        <v/>
      </c>
    </row>
    <row r="8">
      <c r="A8" s="17">
        <f>IF(Produits!$A$7="","",Produits!$A$7)</f>
        <v/>
      </c>
      <c r="B8" s="19">
        <f>IF(Produits!$A$7="","",Produits!$C$7)</f>
        <v/>
      </c>
      <c r="C8" s="11" t="n"/>
      <c r="D8" s="20">
        <f>IF(A8="","",N(Produits!D7))</f>
        <v/>
      </c>
      <c r="E8" s="20">
        <f>IF(C8="","",C8*N(D8))</f>
        <v/>
      </c>
    </row>
    <row r="9">
      <c r="A9" s="17">
        <f>IF(Produits!$A$8="","",Produits!$A$8)</f>
        <v/>
      </c>
      <c r="B9" s="19">
        <f>IF(Produits!$A$8="","",Produits!$C$8)</f>
        <v/>
      </c>
      <c r="C9" s="11" t="n"/>
      <c r="D9" s="20">
        <f>IF(A9="","",N(Produits!D8))</f>
        <v/>
      </c>
      <c r="E9" s="20">
        <f>IF(C9="","",C9*N(D9))</f>
        <v/>
      </c>
    </row>
    <row r="10">
      <c r="A10" s="17">
        <f>IF(Produits!$A$9="","",Produits!$A$9)</f>
        <v/>
      </c>
      <c r="B10" s="19">
        <f>IF(Produits!$A$9="","",Produits!$C$9)</f>
        <v/>
      </c>
      <c r="C10" s="11" t="n"/>
      <c r="D10" s="20">
        <f>IF(A10="","",N(Produits!D9))</f>
        <v/>
      </c>
      <c r="E10" s="20">
        <f>IF(C10="","",C10*N(D10))</f>
        <v/>
      </c>
    </row>
    <row r="11">
      <c r="A11" s="17">
        <f>IF(Produits!$A$10="","",Produits!$A$10)</f>
        <v/>
      </c>
      <c r="B11" s="19">
        <f>IF(Produits!$A$10="","",Produits!$C$10)</f>
        <v/>
      </c>
      <c r="C11" s="11" t="n"/>
      <c r="D11" s="20">
        <f>IF(A11="","",N(Produits!D10))</f>
        <v/>
      </c>
      <c r="E11" s="20">
        <f>IF(C11="","",C11*N(D11))</f>
        <v/>
      </c>
    </row>
    <row r="12">
      <c r="A12" s="17">
        <f>IF(Produits!$A$11="","",Produits!$A$11)</f>
        <v/>
      </c>
      <c r="B12" s="19">
        <f>IF(Produits!$A$11="","",Produits!$C$11)</f>
        <v/>
      </c>
      <c r="C12" s="11" t="n"/>
      <c r="D12" s="20">
        <f>IF(A12="","",N(Produits!D11))</f>
        <v/>
      </c>
      <c r="E12" s="20">
        <f>IF(C12="","",C12*N(D12))</f>
        <v/>
      </c>
    </row>
    <row r="13">
      <c r="A13" s="17">
        <f>IF(Produits!$A$12="","",Produits!$A$12)</f>
        <v/>
      </c>
      <c r="B13" s="19">
        <f>IF(Produits!$A$12="","",Produits!$C$12)</f>
        <v/>
      </c>
      <c r="C13" s="11" t="n"/>
      <c r="D13" s="20">
        <f>IF(A13="","",N(Produits!D12))</f>
        <v/>
      </c>
      <c r="E13" s="20">
        <f>IF(C13="","",C13*N(D13))</f>
        <v/>
      </c>
    </row>
    <row r="14">
      <c r="A14" s="17">
        <f>IF(Produits!$A$13="","",Produits!$A$13)</f>
        <v/>
      </c>
      <c r="B14" s="19">
        <f>IF(Produits!$A$13="","",Produits!$C$13)</f>
        <v/>
      </c>
      <c r="C14" s="11" t="n"/>
      <c r="D14" s="20">
        <f>IF(A14="","",N(Produits!D13))</f>
        <v/>
      </c>
      <c r="E14" s="20">
        <f>IF(C14="","",C14*N(D14))</f>
        <v/>
      </c>
    </row>
    <row r="15">
      <c r="A15" s="17">
        <f>IF(Produits!$A$14="","",Produits!$A$14)</f>
        <v/>
      </c>
      <c r="B15" s="19">
        <f>IF(Produits!$A$14="","",Produits!$C$14)</f>
        <v/>
      </c>
      <c r="C15" s="11" t="n"/>
      <c r="D15" s="20">
        <f>IF(A15="","",N(Produits!D14))</f>
        <v/>
      </c>
      <c r="E15" s="20">
        <f>IF(C15="","",C15*N(D15))</f>
        <v/>
      </c>
    </row>
    <row r="16">
      <c r="A16" s="17">
        <f>IF(Produits!$A$15="","",Produits!$A$15)</f>
        <v/>
      </c>
      <c r="B16" s="19">
        <f>IF(Produits!$A$15="","",Produits!$C$15)</f>
        <v/>
      </c>
      <c r="C16" s="11" t="n"/>
      <c r="D16" s="20">
        <f>IF(A16="","",N(Produits!D15))</f>
        <v/>
      </c>
      <c r="E16" s="20">
        <f>IF(C16="","",C16*N(D16))</f>
        <v/>
      </c>
    </row>
    <row r="17">
      <c r="A17" s="17">
        <f>IF(Produits!$A$16="","",Produits!$A$16)</f>
        <v/>
      </c>
      <c r="B17" s="19">
        <f>IF(Produits!$A$16="","",Produits!$C$16)</f>
        <v/>
      </c>
      <c r="C17" s="11" t="n"/>
      <c r="D17" s="20">
        <f>IF(A17="","",N(Produits!D16))</f>
        <v/>
      </c>
      <c r="E17" s="20">
        <f>IF(C17="","",C17*N(D17))</f>
        <v/>
      </c>
    </row>
    <row r="18">
      <c r="A18" s="17">
        <f>IF(Produits!$A$17="","",Produits!$A$17)</f>
        <v/>
      </c>
      <c r="B18" s="19">
        <f>IF(Produits!$A$17="","",Produits!$C$17)</f>
        <v/>
      </c>
      <c r="C18" s="11" t="n"/>
      <c r="D18" s="20">
        <f>IF(A18="","",N(Produits!D17))</f>
        <v/>
      </c>
      <c r="E18" s="20">
        <f>IF(C18="","",C18*N(D18))</f>
        <v/>
      </c>
    </row>
    <row r="19">
      <c r="A19" s="17">
        <f>IF(Produits!$A$18="","",Produits!$A$18)</f>
        <v/>
      </c>
      <c r="B19" s="19">
        <f>IF(Produits!$A$18="","",Produits!$C$18)</f>
        <v/>
      </c>
      <c r="C19" s="11" t="n"/>
      <c r="D19" s="20">
        <f>IF(A19="","",N(Produits!D18))</f>
        <v/>
      </c>
      <c r="E19" s="20">
        <f>IF(C19="","",C19*N(D19))</f>
        <v/>
      </c>
    </row>
    <row r="20">
      <c r="A20" s="17">
        <f>IF(Produits!$A$19="","",Produits!$A$19)</f>
        <v/>
      </c>
      <c r="B20" s="19">
        <f>IF(Produits!$A$19="","",Produits!$C$19)</f>
        <v/>
      </c>
      <c r="C20" s="11" t="n"/>
      <c r="D20" s="20">
        <f>IF(A20="","",N(Produits!D19))</f>
        <v/>
      </c>
      <c r="E20" s="20">
        <f>IF(C20="","",C20*N(D20))</f>
        <v/>
      </c>
    </row>
    <row r="21">
      <c r="A21" s="17">
        <f>IF(Produits!$A$20="","",Produits!$A$20)</f>
        <v/>
      </c>
      <c r="B21" s="19">
        <f>IF(Produits!$A$20="","",Produits!$C$20)</f>
        <v/>
      </c>
      <c r="C21" s="11" t="n"/>
      <c r="D21" s="20">
        <f>IF(A21="","",N(Produits!D20))</f>
        <v/>
      </c>
      <c r="E21" s="20">
        <f>IF(C21="","",C21*N(D21))</f>
        <v/>
      </c>
    </row>
    <row r="22">
      <c r="A22" s="17">
        <f>IF(Produits!$A$21="","",Produits!$A$21)</f>
        <v/>
      </c>
      <c r="B22" s="19">
        <f>IF(Produits!$A$21="","",Produits!$C$21)</f>
        <v/>
      </c>
      <c r="C22" s="11" t="n"/>
      <c r="D22" s="20">
        <f>IF(A22="","",N(Produits!D21))</f>
        <v/>
      </c>
      <c r="E22" s="20">
        <f>IF(C22="","",C22*N(D22))</f>
        <v/>
      </c>
    </row>
    <row r="23">
      <c r="A23" s="17">
        <f>IF(Produits!$A$22="","",Produits!$A$22)</f>
        <v/>
      </c>
      <c r="B23" s="19">
        <f>IF(Produits!$A$22="","",Produits!$C$22)</f>
        <v/>
      </c>
      <c r="C23" s="11" t="n"/>
      <c r="D23" s="20">
        <f>IF(A23="","",N(Produits!D22))</f>
        <v/>
      </c>
      <c r="E23" s="20">
        <f>IF(C23="","",C23*N(D23))</f>
        <v/>
      </c>
    </row>
    <row r="24">
      <c r="A24" s="17">
        <f>IF(Produits!$A$23="","",Produits!$A$23)</f>
        <v/>
      </c>
      <c r="B24" s="19">
        <f>IF(Produits!$A$23="","",Produits!$C$23)</f>
        <v/>
      </c>
      <c r="C24" s="11" t="n"/>
      <c r="D24" s="20">
        <f>IF(A24="","",N(Produits!D23))</f>
        <v/>
      </c>
      <c r="E24" s="20">
        <f>IF(C24="","",C24*N(D24))</f>
        <v/>
      </c>
    </row>
    <row r="25">
      <c r="A25" s="17">
        <f>IF(Produits!$A$24="","",Produits!$A$24)</f>
        <v/>
      </c>
      <c r="B25" s="19">
        <f>IF(Produits!$A$24="","",Produits!$C$24)</f>
        <v/>
      </c>
      <c r="C25" s="11" t="n"/>
      <c r="D25" s="20">
        <f>IF(A25="","",N(Produits!D24))</f>
        <v/>
      </c>
      <c r="E25" s="20">
        <f>IF(C25="","",C25*N(D25))</f>
        <v/>
      </c>
    </row>
    <row r="26">
      <c r="A26" s="17">
        <f>IF(Produits!$A$25="","",Produits!$A$25)</f>
        <v/>
      </c>
      <c r="B26" s="19">
        <f>IF(Produits!$A$25="","",Produits!$C$25)</f>
        <v/>
      </c>
      <c r="C26" s="11" t="n"/>
      <c r="D26" s="20">
        <f>IF(A26="","",N(Produits!D25))</f>
        <v/>
      </c>
      <c r="E26" s="20">
        <f>IF(C26="","",C26*N(D26))</f>
        <v/>
      </c>
    </row>
    <row r="27">
      <c r="A27" s="17">
        <f>IF(Produits!$A$26="","",Produits!$A$26)</f>
        <v/>
      </c>
      <c r="B27" s="19">
        <f>IF(Produits!$A$26="","",Produits!$C$26)</f>
        <v/>
      </c>
      <c r="C27" s="11" t="n"/>
      <c r="D27" s="20">
        <f>IF(A27="","",N(Produits!D26))</f>
        <v/>
      </c>
      <c r="E27" s="20">
        <f>IF(C27="","",C27*N(D27))</f>
        <v/>
      </c>
    </row>
    <row r="28">
      <c r="A28" s="17">
        <f>IF(Produits!$A$27="","",Produits!$A$27)</f>
        <v/>
      </c>
      <c r="B28" s="19">
        <f>IF(Produits!$A$27="","",Produits!$C$27)</f>
        <v/>
      </c>
      <c r="C28" s="11" t="n"/>
      <c r="D28" s="20">
        <f>IF(A28="","",N(Produits!D27))</f>
        <v/>
      </c>
      <c r="E28" s="20">
        <f>IF(C28="","",C28*N(D28))</f>
        <v/>
      </c>
    </row>
    <row r="29">
      <c r="A29" s="17">
        <f>IF(Produits!$A$28="","",Produits!$A$28)</f>
        <v/>
      </c>
      <c r="B29" s="19">
        <f>IF(Produits!$A$28="","",Produits!$C$28)</f>
        <v/>
      </c>
      <c r="C29" s="11" t="n"/>
      <c r="D29" s="20">
        <f>IF(A29="","",N(Produits!D28))</f>
        <v/>
      </c>
      <c r="E29" s="20">
        <f>IF(C29="","",C29*N(D29))</f>
        <v/>
      </c>
    </row>
    <row r="30">
      <c r="A30" s="17">
        <f>IF(Produits!$A$29="","",Produits!$A$29)</f>
        <v/>
      </c>
      <c r="B30" s="19">
        <f>IF(Produits!$A$29="","",Produits!$C$29)</f>
        <v/>
      </c>
      <c r="C30" s="11" t="n"/>
      <c r="D30" s="20">
        <f>IF(A30="","",N(Produits!D29))</f>
        <v/>
      </c>
      <c r="E30" s="20">
        <f>IF(C30="","",C30*N(D30))</f>
        <v/>
      </c>
    </row>
    <row r="31">
      <c r="A31" s="17">
        <f>IF(Produits!$A$30="","",Produits!$A$30)</f>
        <v/>
      </c>
      <c r="B31" s="19">
        <f>IF(Produits!$A$30="","",Produits!$C$30)</f>
        <v/>
      </c>
      <c r="C31" s="11" t="n"/>
      <c r="D31" s="20">
        <f>IF(A31="","",N(Produits!D30))</f>
        <v/>
      </c>
      <c r="E31" s="20">
        <f>IF(C31="","",C31*N(D31))</f>
        <v/>
      </c>
    </row>
    <row r="32">
      <c r="A32" s="17">
        <f>IF(Produits!$A$31="","",Produits!$A$31)</f>
        <v/>
      </c>
      <c r="B32" s="19">
        <f>IF(Produits!$A$31="","",Produits!$C$31)</f>
        <v/>
      </c>
      <c r="C32" s="11" t="n"/>
      <c r="D32" s="20">
        <f>IF(A32="","",N(Produits!D31))</f>
        <v/>
      </c>
      <c r="E32" s="20">
        <f>IF(C32="","",C32*N(D32))</f>
        <v/>
      </c>
    </row>
    <row r="33">
      <c r="A33" s="17">
        <f>IF(Produits!$A$32="","",Produits!$A$32)</f>
        <v/>
      </c>
      <c r="B33" s="19">
        <f>IF(Produits!$A$32="","",Produits!$C$32)</f>
        <v/>
      </c>
      <c r="C33" s="11" t="n"/>
      <c r="D33" s="20">
        <f>IF(A33="","",N(Produits!D32))</f>
        <v/>
      </c>
      <c r="E33" s="20">
        <f>IF(C33="","",C33*N(D33))</f>
        <v/>
      </c>
    </row>
    <row r="34">
      <c r="A34" s="17">
        <f>IF(Produits!$A$33="","",Produits!$A$33)</f>
        <v/>
      </c>
      <c r="B34" s="19">
        <f>IF(Produits!$A$33="","",Produits!$C$33)</f>
        <v/>
      </c>
      <c r="C34" s="11" t="n"/>
      <c r="D34" s="20">
        <f>IF(A34="","",N(Produits!D33))</f>
        <v/>
      </c>
      <c r="E34" s="20">
        <f>IF(C34="","",C34*N(D34))</f>
        <v/>
      </c>
    </row>
    <row r="35">
      <c r="A35" s="17">
        <f>IF(Produits!$A$34="","",Produits!$A$34)</f>
        <v/>
      </c>
      <c r="B35" s="19">
        <f>IF(Produits!$A$34="","",Produits!$C$34)</f>
        <v/>
      </c>
      <c r="C35" s="11" t="n"/>
      <c r="D35" s="20">
        <f>IF(A35="","",N(Produits!D34))</f>
        <v/>
      </c>
      <c r="E35" s="20">
        <f>IF(C35="","",C35*N(D35))</f>
        <v/>
      </c>
    </row>
    <row r="36">
      <c r="A36" s="17">
        <f>IF(Produits!$A$35="","",Produits!$A$35)</f>
        <v/>
      </c>
      <c r="B36" s="19">
        <f>IF(Produits!$A$35="","",Produits!$C$35)</f>
        <v/>
      </c>
      <c r="C36" s="11" t="n"/>
      <c r="D36" s="20">
        <f>IF(A36="","",N(Produits!D35))</f>
        <v/>
      </c>
      <c r="E36" s="20">
        <f>IF(C36="","",C36*N(D36))</f>
        <v/>
      </c>
    </row>
    <row r="37">
      <c r="A37" s="17">
        <f>IF(Produits!$A$36="","",Produits!$A$36)</f>
        <v/>
      </c>
      <c r="B37" s="19">
        <f>IF(Produits!$A$36="","",Produits!$C$36)</f>
        <v/>
      </c>
      <c r="C37" s="11" t="n"/>
      <c r="D37" s="20">
        <f>IF(A37="","",N(Produits!D36))</f>
        <v/>
      </c>
      <c r="E37" s="20">
        <f>IF(C37="","",C37*N(D37))</f>
        <v/>
      </c>
    </row>
    <row r="38">
      <c r="A38" s="17">
        <f>IF(Produits!$A$37="","",Produits!$A$37)</f>
        <v/>
      </c>
      <c r="B38" s="19">
        <f>IF(Produits!$A$37="","",Produits!$C$37)</f>
        <v/>
      </c>
      <c r="C38" s="11" t="n"/>
      <c r="D38" s="20">
        <f>IF(A38="","",N(Produits!D37))</f>
        <v/>
      </c>
      <c r="E38" s="20">
        <f>IF(C38="","",C38*N(D38))</f>
        <v/>
      </c>
    </row>
    <row r="39">
      <c r="A39" s="17">
        <f>IF(Produits!$A$38="","",Produits!$A$38)</f>
        <v/>
      </c>
      <c r="B39" s="19">
        <f>IF(Produits!$A$38="","",Produits!$C$38)</f>
        <v/>
      </c>
      <c r="C39" s="11" t="n"/>
      <c r="D39" s="20">
        <f>IF(A39="","",N(Produits!D38))</f>
        <v/>
      </c>
      <c r="E39" s="20">
        <f>IF(C39="","",C39*N(D39))</f>
        <v/>
      </c>
    </row>
    <row r="40">
      <c r="A40" s="17">
        <f>IF(Produits!$A$39="","",Produits!$A$39)</f>
        <v/>
      </c>
      <c r="B40" s="19">
        <f>IF(Produits!$A$39="","",Produits!$C$39)</f>
        <v/>
      </c>
      <c r="C40" s="11" t="n"/>
      <c r="D40" s="20">
        <f>IF(A40="","",N(Produits!D39))</f>
        <v/>
      </c>
      <c r="E40" s="20">
        <f>IF(C40="","",C40*N(D40))</f>
        <v/>
      </c>
    </row>
    <row r="41">
      <c r="A41" s="17">
        <f>IF(Produits!$A$40="","",Produits!$A$40)</f>
        <v/>
      </c>
      <c r="B41" s="19">
        <f>IF(Produits!$A$40="","",Produits!$C$40)</f>
        <v/>
      </c>
      <c r="C41" s="11" t="n"/>
      <c r="D41" s="20">
        <f>IF(A41="","",N(Produits!D40))</f>
        <v/>
      </c>
      <c r="E41" s="20">
        <f>IF(C41="","",C41*N(D41))</f>
        <v/>
      </c>
    </row>
    <row r="42">
      <c r="A42" s="17">
        <f>IF(Produits!$A$41="","",Produits!$A$41)</f>
        <v/>
      </c>
      <c r="B42" s="19">
        <f>IF(Produits!$A$41="","",Produits!$C$41)</f>
        <v/>
      </c>
      <c r="C42" s="11" t="n"/>
      <c r="D42" s="20">
        <f>IF(A42="","",N(Produits!D41))</f>
        <v/>
      </c>
      <c r="E42" s="20">
        <f>IF(C42="","",C42*N(D42))</f>
        <v/>
      </c>
    </row>
    <row r="43">
      <c r="A43" s="17">
        <f>IF(Produits!$A$42="","",Produits!$A$42)</f>
        <v/>
      </c>
      <c r="B43" s="19">
        <f>IF(Produits!$A$42="","",Produits!$C$42)</f>
        <v/>
      </c>
      <c r="C43" s="11" t="n"/>
      <c r="D43" s="20">
        <f>IF(A43="","",N(Produits!D42))</f>
        <v/>
      </c>
      <c r="E43" s="20">
        <f>IF(C43="","",C43*N(D43))</f>
        <v/>
      </c>
    </row>
    <row r="44">
      <c r="A44" s="17">
        <f>IF(Produits!$A$43="","",Produits!$A$43)</f>
        <v/>
      </c>
      <c r="B44" s="19">
        <f>IF(Produits!$A$43="","",Produits!$C$43)</f>
        <v/>
      </c>
      <c r="C44" s="11" t="n"/>
      <c r="D44" s="20">
        <f>IF(A44="","",N(Produits!D43))</f>
        <v/>
      </c>
      <c r="E44" s="20">
        <f>IF(C44="","",C44*N(D44))</f>
        <v/>
      </c>
    </row>
    <row r="45">
      <c r="A45" s="17">
        <f>IF(Produits!$A$44="","",Produits!$A$44)</f>
        <v/>
      </c>
      <c r="B45" s="19">
        <f>IF(Produits!$A$44="","",Produits!$C$44)</f>
        <v/>
      </c>
      <c r="C45" s="11" t="n"/>
      <c r="D45" s="20">
        <f>IF(A45="","",N(Produits!D44))</f>
        <v/>
      </c>
      <c r="E45" s="20">
        <f>IF(C45="","",C45*N(D45))</f>
        <v/>
      </c>
    </row>
    <row r="46">
      <c r="A46" s="6" t="inlineStr">
        <is>
          <t>Valeur totale</t>
        </is>
      </c>
      <c r="B46" s="13" t="n"/>
      <c r="C46" s="13" t="n"/>
      <c r="D46" s="13" t="n"/>
      <c r="E46" s="23">
        <f>SUM(E6:E45)</f>
        <v/>
      </c>
    </row>
  </sheetData>
  <mergeCells count="1">
    <mergeCell ref="A46:D46"/>
  </mergeCells>
  <dataValidations count="1">
    <dataValidation sqref="C6:C45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6" customHeight="1">
      <c r="A1" s="1" t="inlineStr">
        <is>
          <t>Dépenses par fournisseur — Octobre 2026</t>
        </is>
      </c>
    </row>
    <row r="2">
      <c r="A2" s="2" t="inlineStr">
        <is>
          <t>Quantités reçues × prix unitaire</t>
        </is>
      </c>
    </row>
    <row r="4">
      <c r="A4" s="6" t="inlineStr">
        <is>
          <t>Fournisseur</t>
        </is>
      </c>
      <c r="B4" s="6" t="inlineStr">
        <is>
          <t>Dépensé ce mois-ci</t>
        </is>
      </c>
    </row>
    <row r="5">
      <c r="A5" s="7" t="inlineStr">
        <is>
          <t>Metro</t>
        </is>
      </c>
      <c r="B5" s="20">
        <f>IF(A5="","",SUMIF('Octobre 2026'!$B$7:$B$46,A5,'Octobre 2026'!$U$7:$U$46))</f>
        <v/>
      </c>
    </row>
    <row r="6">
      <c r="A6" s="7" t="inlineStr">
        <is>
          <t>Crèmerie</t>
        </is>
      </c>
      <c r="B6" s="20">
        <f>IF(A6="","",SUMIF('Octobre 2026'!$B$7:$B$46,A6,'Octobre 2026'!$U$7:$U$46))</f>
        <v/>
      </c>
    </row>
    <row r="7">
      <c r="A7" s="7" t="inlineStr">
        <is>
          <t>Transgourmet</t>
        </is>
      </c>
      <c r="B7" s="20">
        <f>IF(A7="","",SUMIF('Octobre 2026'!$B$7:$B$46,A7,'Octobre 2026'!$U$7:$U$46))</f>
        <v/>
      </c>
    </row>
    <row r="8">
      <c r="A8" s="10" t="n"/>
      <c r="B8" s="20">
        <f>IF(A8="","",SUMIF('Octobre 2026'!$B$7:$B$46,A8,'Octobre 2026'!$U$7:$U$46))</f>
        <v/>
      </c>
    </row>
    <row r="9">
      <c r="A9" s="10" t="n"/>
      <c r="B9" s="20">
        <f>IF(A9="","",SUMIF('Octobre 2026'!$B$7:$B$46,A9,'Octobre 2026'!$U$7:$U$46))</f>
        <v/>
      </c>
    </row>
    <row r="10">
      <c r="A10" s="10" t="n"/>
      <c r="B10" s="20">
        <f>IF(A10="","",SUMIF('Octobre 2026'!$B$7:$B$46,A10,'Octobre 2026'!$U$7:$U$46))</f>
        <v/>
      </c>
    </row>
    <row r="11">
      <c r="A11" s="6" t="inlineStr">
        <is>
          <t>Total</t>
        </is>
      </c>
      <c r="B11" s="23">
        <f>SUM(B5:B10)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2026-09-24T19:35:42Z</dcterms:created>
  <dcterms:modified xmlns:dcterms="http://purl.org/dc/terms/" xmlns:xsi="http://www.w3.org/2001/XMLSchema-instance" xsi:type="dcterms:W3CDTF">2026-09-24T19:35:42Z</dcterms:modified>
</cp:coreProperties>
</file>