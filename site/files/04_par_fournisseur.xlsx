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Fournisseurs" sheetId="2" state="visible" r:id="rId2"/>
    <sheet xmlns:r="http://schemas.openxmlformats.org/officeDocument/2006/relationships" name="Metro" sheetId="3" state="visible" r:id="rId3"/>
    <sheet xmlns:r="http://schemas.openxmlformats.org/officeDocument/2006/relationships" name="Crèmerie" sheetId="4" state="visible" r:id="rId4"/>
    <sheet xmlns:r="http://schemas.openxmlformats.org/officeDocument/2006/relationships" name="Transgourmet" sheetId="5" state="visible" r:id="rId5"/>
    <sheet xmlns:r="http://schemas.openxmlformats.org/officeDocument/2006/relationships" name="Récap fournisseu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7A4069"/>
      <sz val="16"/>
    </font>
    <font>
      <name val="Arial"/>
      <i val="1"/>
      <color rgb="00666666"/>
      <sz val="9"/>
    </font>
    <font>
      <name val="Arial"/>
      <b val="1"/>
      <color rgb="007A4069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7A4069"/>
      </patternFill>
    </fill>
    <fill>
      <patternFill patternType="solid">
        <fgColor rgb="00FFF6D5"/>
      </patternFill>
    </fill>
    <fill>
      <patternFill patternType="solid">
        <fgColor rgb="00E4D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0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4 · Par fournisseur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Un onglet par fournisseur, avec ses produits. Quand tu fais ta commande, tu as sous les yeux tout ce que tu dois demander à ce fournisseur-là, et ses coordonnées. Pratique si tu passes tes commandes par téléphone.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Onglet Fournisseurs : nom, contact, jour de commande, jour de livraison.</t>
        </is>
      </c>
    </row>
    <row r="7">
      <c r="A7" s="5" t="inlineStr"/>
      <c r="B7" s="4" t="inlineStr">
        <is>
          <t>2. Dans chaque onglet fournisseur, écris ses produits dans la colonne Produit (cases jaunes).</t>
        </is>
      </c>
    </row>
    <row r="8">
      <c r="A8" s="5" t="inlineStr"/>
      <c r="B8" s="4" t="inlineStr">
        <is>
          <t>3. Chaque semaine : Stock, Commandé, puis Reçu à la livraison. Le total du mois se calcule.</t>
        </is>
      </c>
    </row>
    <row r="9">
      <c r="A9" s="5" t="inlineStr"/>
      <c r="B9" s="4" t="inlineStr">
        <is>
          <t>4. Nouveau fournisseur : clic droit sur un onglet fournisseur &gt; Dupliquer, puis renomme-le.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Fournisseurs — carnet d'adresses et jours de commande/livraison.</t>
        </is>
      </c>
    </row>
    <row r="12">
      <c r="A12" s="5" t="inlineStr"/>
      <c r="B12" s="4" t="inlineStr">
        <is>
          <t>Metro, Crèmerie, Transgourmet — un onglet par fournisseur avec ses produits.</t>
        </is>
      </c>
    </row>
    <row r="13">
      <c r="A13" s="5" t="inlineStr"/>
      <c r="B13" s="4" t="inlineStr">
        <is>
          <t>Récap fournisseurs — combien de produits, combien de livraisons incomplètes, par fournisseur.</t>
        </is>
      </c>
    </row>
    <row r="14">
      <c r="A14" s="5" t="inlineStr"/>
      <c r="B14" s="4" t="inlineStr"/>
    </row>
    <row r="15">
      <c r="A15" s="5" t="inlineStr">
        <is>
          <t>Couleurs</t>
        </is>
      </c>
      <c r="B15" s="4" t="inlineStr">
        <is>
          <t>Cases jaunes = à remplir. Cases blanches = calculées toutes seules, ne pas y toucher.</t>
        </is>
      </c>
    </row>
    <row r="16">
      <c r="A16" s="5" t="inlineStr"/>
      <c r="B16" s="4" t="inlineStr">
        <is>
          <t>Chiffres en bleu = exemple pour montrer le fonctionnement, à effacer.</t>
        </is>
      </c>
    </row>
    <row r="17">
      <c r="A17" s="5" t="inlineStr"/>
      <c r="B17" s="4" t="inlineStr">
        <is>
          <t>Rouge = il manque quelque chose (livraison incomplète, stock trop bas).</t>
        </is>
      </c>
    </row>
    <row r="18">
      <c r="A18" s="5" t="inlineStr"/>
      <c r="B18" s="4" t="inlineStr"/>
    </row>
    <row r="19">
      <c r="A19" s="5" t="inlineStr">
        <is>
          <t>Google Sheets</t>
        </is>
      </c>
      <c r="B19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  <col width="16" customWidth="1" min="5" max="5"/>
    <col width="16" customWidth="1" min="6" max="6"/>
    <col width="30" customWidth="1" min="7" max="7"/>
  </cols>
  <sheetData>
    <row r="1" ht="26" customHeight="1">
      <c r="A1" s="1" t="inlineStr">
        <is>
          <t>Mes fournisseurs</t>
        </is>
      </c>
    </row>
    <row r="2">
      <c r="A2" s="2" t="inlineStr">
        <is>
          <t>Carnet d'adresses</t>
        </is>
      </c>
    </row>
    <row r="4">
      <c r="A4" s="6" t="inlineStr">
        <is>
          <t>Fournisseur</t>
        </is>
      </c>
      <c r="B4" s="6" t="inlineStr">
        <is>
          <t>Contact / commercial</t>
        </is>
      </c>
      <c r="C4" s="6" t="inlineStr">
        <is>
          <t>Téléphone</t>
        </is>
      </c>
      <c r="D4" s="6" t="inlineStr">
        <is>
          <t>E-mail</t>
        </is>
      </c>
      <c r="E4" s="6" t="inlineStr">
        <is>
          <t>Jour de commande</t>
        </is>
      </c>
      <c r="F4" s="6" t="inlineStr">
        <is>
          <t>Jour de livraison</t>
        </is>
      </c>
      <c r="G4" s="6" t="inlineStr">
        <is>
          <t>Notes</t>
        </is>
      </c>
    </row>
    <row r="5">
      <c r="A5" s="7" t="inlineStr">
        <is>
          <t>Metro</t>
        </is>
      </c>
      <c r="B5" s="7" t="inlineStr">
        <is>
          <t>Commercial Metro</t>
        </is>
      </c>
      <c r="C5" s="7" t="inlineStr">
        <is>
          <t>01 23 45 67 89</t>
        </is>
      </c>
      <c r="D5" s="8" t="n"/>
      <c r="E5" s="7" t="inlineStr">
        <is>
          <t>vendredi</t>
        </is>
      </c>
      <c r="F5" s="7" t="inlineStr">
        <is>
          <t>lundi</t>
        </is>
      </c>
      <c r="G5" s="8" t="n"/>
    </row>
    <row r="6">
      <c r="A6" s="7" t="inlineStr">
        <is>
          <t>Crèmerie</t>
        </is>
      </c>
      <c r="B6" s="7" t="inlineStr">
        <is>
          <t>Crèmerie du quartier</t>
        </is>
      </c>
      <c r="C6" s="7" t="inlineStr">
        <is>
          <t>01 98 76 54 32</t>
        </is>
      </c>
      <c r="D6" s="8" t="n"/>
      <c r="E6" s="7" t="inlineStr">
        <is>
          <t>vendredi</t>
        </is>
      </c>
      <c r="F6" s="7" t="inlineStr">
        <is>
          <t>lundi</t>
        </is>
      </c>
      <c r="G6" s="8" t="n"/>
    </row>
    <row r="7">
      <c r="A7" s="7" t="inlineStr">
        <is>
          <t>Transgourmet</t>
        </is>
      </c>
      <c r="B7" s="7" t="inlineStr">
        <is>
          <t>Transgourmet</t>
        </is>
      </c>
      <c r="C7" s="7" t="inlineStr">
        <is>
          <t>01 11 22 33 44</t>
        </is>
      </c>
      <c r="D7" s="8" t="n"/>
      <c r="E7" s="7" t="inlineStr">
        <is>
          <t>jeudi</t>
        </is>
      </c>
      <c r="F7" s="7" t="inlineStr">
        <is>
          <t>lundi</t>
        </is>
      </c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</sheetData>
  <dataValidations count="1">
    <dataValidation sqref="E5:F14" showDropDown="0" showInputMessage="0" showErrorMessage="0" allowBlank="1" type="list">
      <formula1>"lundi,mardi,mercredi,jeudi,vendredi,samedi,dimanche"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1" customWidth="1" min="15" max="15"/>
    <col width="11" customWidth="1" min="16" max="16"/>
    <col width="11" customWidth="1" min="17" max="17"/>
  </cols>
  <sheetData>
    <row r="1" ht="26" customHeight="1">
      <c r="A1" s="1" t="inlineStr">
        <is>
          <t>Metro</t>
        </is>
      </c>
    </row>
    <row r="2">
      <c r="A2" s="2" t="inlineStr">
        <is>
          <t>Commande le vendredi · Livraison le lundi · Tél. 01 23 45 67 89</t>
        </is>
      </c>
    </row>
    <row r="4">
      <c r="A4" s="6" t="inlineStr">
        <is>
          <t>Produit</t>
        </is>
      </c>
      <c r="B4" s="6" t="inlineStr">
        <is>
          <t>Unité</t>
        </is>
      </c>
      <c r="C4" s="6" t="inlineStr">
        <is>
          <t>Semaine 1</t>
        </is>
      </c>
      <c r="D4" s="9" t="n"/>
      <c r="E4" s="9" t="n"/>
      <c r="F4" s="6" t="inlineStr">
        <is>
          <t>Semaine 2</t>
        </is>
      </c>
      <c r="G4" s="9" t="n"/>
      <c r="H4" s="9" t="n"/>
      <c r="I4" s="6" t="inlineStr">
        <is>
          <t>Semaine 3</t>
        </is>
      </c>
      <c r="J4" s="9" t="n"/>
      <c r="K4" s="9" t="n"/>
      <c r="L4" s="6" t="inlineStr">
        <is>
          <t>Semaine 4</t>
        </is>
      </c>
      <c r="M4" s="9" t="n"/>
      <c r="N4" s="9" t="n"/>
      <c r="O4" s="6" t="inlineStr">
        <is>
          <t>Total du mois</t>
        </is>
      </c>
      <c r="P4" s="9" t="n"/>
      <c r="Q4" s="9" t="n"/>
    </row>
    <row r="5">
      <c r="A5" s="9" t="n"/>
      <c r="B5" s="9" t="n"/>
      <c r="C5" s="10" t="n"/>
      <c r="D5" s="11" t="n"/>
      <c r="E5" s="11" t="n"/>
      <c r="F5" s="10" t="n"/>
      <c r="G5" s="11" t="n"/>
      <c r="H5" s="11" t="n"/>
      <c r="I5" s="10" t="n"/>
      <c r="J5" s="11" t="n"/>
      <c r="K5" s="11" t="n"/>
      <c r="L5" s="10" t="n"/>
      <c r="M5" s="11" t="n"/>
      <c r="N5" s="11" t="n"/>
      <c r="O5" s="9" t="n"/>
      <c r="P5" s="9" t="n"/>
      <c r="Q5" s="9" t="n"/>
    </row>
    <row r="6">
      <c r="A6" s="9" t="n"/>
      <c r="B6" s="9" t="n"/>
      <c r="C6" s="12" t="inlineStr">
        <is>
          <t>Stock</t>
        </is>
      </c>
      <c r="D6" s="12" t="inlineStr">
        <is>
          <t>Commandé</t>
        </is>
      </c>
      <c r="E6" s="12" t="inlineStr">
        <is>
          <t>Reçu</t>
        </is>
      </c>
      <c r="F6" s="12" t="inlineStr">
        <is>
          <t>Stock</t>
        </is>
      </c>
      <c r="G6" s="12" t="inlineStr">
        <is>
          <t>Commandé</t>
        </is>
      </c>
      <c r="H6" s="12" t="inlineStr">
        <is>
          <t>Reçu</t>
        </is>
      </c>
      <c r="I6" s="12" t="inlineStr">
        <is>
          <t>Stock</t>
        </is>
      </c>
      <c r="J6" s="12" t="inlineStr">
        <is>
          <t>Commandé</t>
        </is>
      </c>
      <c r="K6" s="12" t="inlineStr">
        <is>
          <t>Reçu</t>
        </is>
      </c>
      <c r="L6" s="12" t="inlineStr">
        <is>
          <t>Stock</t>
        </is>
      </c>
      <c r="M6" s="12" t="inlineStr">
        <is>
          <t>Commandé</t>
        </is>
      </c>
      <c r="N6" s="12" t="inlineStr">
        <is>
          <t>Reçu</t>
        </is>
      </c>
      <c r="O6" s="12" t="inlineStr">
        <is>
          <t>Commandé</t>
        </is>
      </c>
      <c r="P6" s="12" t="inlineStr">
        <is>
          <t>Reçu</t>
        </is>
      </c>
      <c r="Q6" s="12" t="inlineStr">
        <is>
          <t>Manque</t>
        </is>
      </c>
    </row>
    <row r="7">
      <c r="A7" s="7" t="inlineStr">
        <is>
          <t>Farine T55</t>
        </is>
      </c>
      <c r="B7" s="13" t="inlineStr">
        <is>
          <t>kg</t>
        </is>
      </c>
      <c r="C7" s="13" t="n">
        <v>8</v>
      </c>
      <c r="D7" s="13" t="n">
        <v>10</v>
      </c>
      <c r="E7" s="13" t="n">
        <v>7</v>
      </c>
      <c r="F7" s="13" t="n">
        <v>5</v>
      </c>
      <c r="G7" s="13" t="n">
        <v>10</v>
      </c>
      <c r="H7" s="13" t="n">
        <v>10</v>
      </c>
      <c r="I7" s="14" t="n"/>
      <c r="J7" s="14" t="n"/>
      <c r="K7" s="14" t="n"/>
      <c r="L7" s="14" t="n"/>
      <c r="M7" s="14" t="n"/>
      <c r="N7" s="14" t="n"/>
      <c r="O7" s="15">
        <f>IF(COUNT(D7,G7,J7,M7)=0,"",SUM(D7,G7,J7,M7))</f>
        <v/>
      </c>
      <c r="P7" s="15">
        <f>IF(COUNT(E7,H7,K7,N7)=0,"",SUM(E7,H7,K7,N7))</f>
        <v/>
      </c>
      <c r="Q7" s="15">
        <f>IF(OR(O7="",P7=""),"",P7-O7)</f>
        <v/>
      </c>
    </row>
    <row r="8">
      <c r="A8" s="7" t="inlineStr">
        <is>
          <t>Farine T45</t>
        </is>
      </c>
      <c r="B8" s="13" t="inlineStr">
        <is>
          <t>kg</t>
        </is>
      </c>
      <c r="C8" s="13" t="n">
        <v>2</v>
      </c>
      <c r="D8" s="13" t="n">
        <v>5</v>
      </c>
      <c r="E8" s="13" t="n">
        <v>5</v>
      </c>
      <c r="F8" s="13" t="n">
        <v>3</v>
      </c>
      <c r="G8" s="13" t="n">
        <v>3</v>
      </c>
      <c r="H8" s="13" t="n">
        <v>3</v>
      </c>
      <c r="I8" s="14" t="n"/>
      <c r="J8" s="14" t="n"/>
      <c r="K8" s="14" t="n"/>
      <c r="L8" s="14" t="n"/>
      <c r="M8" s="14" t="n"/>
      <c r="N8" s="14" t="n"/>
      <c r="O8" s="15">
        <f>IF(COUNT(D8,G8,J8,M8)=0,"",SUM(D8,G8,J8,M8))</f>
        <v/>
      </c>
      <c r="P8" s="15">
        <f>IF(COUNT(E8,H8,K8,N8)=0,"",SUM(E8,H8,K8,N8))</f>
        <v/>
      </c>
      <c r="Q8" s="15">
        <f>IF(OR(O8="",P8=""),"",P8-O8)</f>
        <v/>
      </c>
    </row>
    <row r="9">
      <c r="A9" s="7" t="inlineStr">
        <is>
          <t>Sucre semoule</t>
        </is>
      </c>
      <c r="B9" s="13" t="inlineStr">
        <is>
          <t>kg</t>
        </is>
      </c>
      <c r="C9" s="13" t="n">
        <v>6</v>
      </c>
      <c r="D9" s="13" t="n">
        <v>10</v>
      </c>
      <c r="E9" s="13" t="n">
        <v>10</v>
      </c>
      <c r="F9" s="13" t="n">
        <v>7</v>
      </c>
      <c r="G9" s="13" t="n">
        <v>5</v>
      </c>
      <c r="H9" s="13" t="n">
        <v>5</v>
      </c>
      <c r="I9" s="14" t="n"/>
      <c r="J9" s="14" t="n"/>
      <c r="K9" s="14" t="n"/>
      <c r="L9" s="14" t="n"/>
      <c r="M9" s="14" t="n"/>
      <c r="N9" s="14" t="n"/>
      <c r="O9" s="15">
        <f>IF(COUNT(D9,G9,J9,M9)=0,"",SUM(D9,G9,J9,M9))</f>
        <v/>
      </c>
      <c r="P9" s="15">
        <f>IF(COUNT(E9,H9,K9,N9)=0,"",SUM(E9,H9,K9,N9))</f>
        <v/>
      </c>
      <c r="Q9" s="15">
        <f>IF(OR(O9="",P9=""),"",P9-O9)</f>
        <v/>
      </c>
    </row>
    <row r="10">
      <c r="A10" s="7" t="inlineStr">
        <is>
          <t>Sucre glace</t>
        </is>
      </c>
      <c r="B10" s="13" t="inlineStr">
        <is>
          <t>kg</t>
        </is>
      </c>
      <c r="C10" s="13" t="n">
        <v>1</v>
      </c>
      <c r="D10" s="13" t="n">
        <v>3</v>
      </c>
      <c r="E10" s="13" t="n">
        <v>3</v>
      </c>
      <c r="F10" s="13" t="n">
        <v>2</v>
      </c>
      <c r="G10" s="13" t="n">
        <v>0</v>
      </c>
      <c r="H10" s="13" t="n">
        <v>0</v>
      </c>
      <c r="I10" s="14" t="n"/>
      <c r="J10" s="14" t="n"/>
      <c r="K10" s="14" t="n"/>
      <c r="L10" s="14" t="n"/>
      <c r="M10" s="14" t="n"/>
      <c r="N10" s="14" t="n"/>
      <c r="O10" s="15">
        <f>IF(COUNT(D10,G10,J10,M10)=0,"",SUM(D10,G10,J10,M10))</f>
        <v/>
      </c>
      <c r="P10" s="15">
        <f>IF(COUNT(E10,H10,K10,N10)=0,"",SUM(E10,H10,K10,N10))</f>
        <v/>
      </c>
      <c r="Q10" s="15">
        <f>IF(OR(O10="",P10=""),"",P10-O10)</f>
        <v/>
      </c>
    </row>
    <row r="11">
      <c r="A11" s="8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5">
        <f>IF(COUNT(D11,G11,J11,M11)=0,"",SUM(D11,G11,J11,M11))</f>
        <v/>
      </c>
      <c r="P11" s="15">
        <f>IF(COUNT(E11,H11,K11,N11)=0,"",SUM(E11,H11,K11,N11))</f>
        <v/>
      </c>
      <c r="Q11" s="15">
        <f>IF(OR(O11="",P11=""),"",P11-O11)</f>
        <v/>
      </c>
    </row>
    <row r="12">
      <c r="A12" s="8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5">
        <f>IF(COUNT(D12,G12,J12,M12)=0,"",SUM(D12,G12,J12,M12))</f>
        <v/>
      </c>
      <c r="P12" s="15">
        <f>IF(COUNT(E12,H12,K12,N12)=0,"",SUM(E12,H12,K12,N12))</f>
        <v/>
      </c>
      <c r="Q12" s="15">
        <f>IF(OR(O12="",P12=""),"",P12-O12)</f>
        <v/>
      </c>
    </row>
    <row r="13">
      <c r="A13" s="8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5">
        <f>IF(COUNT(D13,G13,J13,M13)=0,"",SUM(D13,G13,J13,M13))</f>
        <v/>
      </c>
      <c r="P13" s="15">
        <f>IF(COUNT(E13,H13,K13,N13)=0,"",SUM(E13,H13,K13,N13))</f>
        <v/>
      </c>
      <c r="Q13" s="15">
        <f>IF(OR(O13="",P13=""),"",P13-O13)</f>
        <v/>
      </c>
    </row>
    <row r="14">
      <c r="A14" s="8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>
        <f>IF(COUNT(D14,G14,J14,M14)=0,"",SUM(D14,G14,J14,M14))</f>
        <v/>
      </c>
      <c r="P14" s="15">
        <f>IF(COUNT(E14,H14,K14,N14)=0,"",SUM(E14,H14,K14,N14))</f>
        <v/>
      </c>
      <c r="Q14" s="15">
        <f>IF(OR(O14="",P14=""),"",P14-O14)</f>
        <v/>
      </c>
    </row>
    <row r="15">
      <c r="A15" s="8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5">
        <f>IF(COUNT(D15,G15,J15,M15)=0,"",SUM(D15,G15,J15,M15))</f>
        <v/>
      </c>
      <c r="P15" s="15">
        <f>IF(COUNT(E15,H15,K15,N15)=0,"",SUM(E15,H15,K15,N15))</f>
        <v/>
      </c>
      <c r="Q15" s="15">
        <f>IF(OR(O15="",P15=""),"",P15-O15)</f>
        <v/>
      </c>
    </row>
    <row r="16">
      <c r="A16" s="8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5">
        <f>IF(COUNT(D16,G16,J16,M16)=0,"",SUM(D16,G16,J16,M16))</f>
        <v/>
      </c>
      <c r="P16" s="15">
        <f>IF(COUNT(E16,H16,K16,N16)=0,"",SUM(E16,H16,K16,N16))</f>
        <v/>
      </c>
      <c r="Q16" s="15">
        <f>IF(OR(O16="",P16=""),"",P16-O16)</f>
        <v/>
      </c>
    </row>
    <row r="17">
      <c r="A17" s="8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5">
        <f>IF(COUNT(D17,G17,J17,M17)=0,"",SUM(D17,G17,J17,M17))</f>
        <v/>
      </c>
      <c r="P17" s="15">
        <f>IF(COUNT(E17,H17,K17,N17)=0,"",SUM(E17,H17,K17,N17))</f>
        <v/>
      </c>
      <c r="Q17" s="15">
        <f>IF(OR(O17="",P17=""),"",P17-O17)</f>
        <v/>
      </c>
    </row>
    <row r="18">
      <c r="A18" s="8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5">
        <f>IF(COUNT(D18,G18,J18,M18)=0,"",SUM(D18,G18,J18,M18))</f>
        <v/>
      </c>
      <c r="P18" s="15">
        <f>IF(COUNT(E18,H18,K18,N18)=0,"",SUM(E18,H18,K18,N18))</f>
        <v/>
      </c>
      <c r="Q18" s="15">
        <f>IF(OR(O18="",P18=""),"",P18-O18)</f>
        <v/>
      </c>
    </row>
    <row r="19">
      <c r="A19" s="8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5">
        <f>IF(COUNT(D19,G19,J19,M19)=0,"",SUM(D19,G19,J19,M19))</f>
        <v/>
      </c>
      <c r="P19" s="15">
        <f>IF(COUNT(E19,H19,K19,N19)=0,"",SUM(E19,H19,K19,N19))</f>
        <v/>
      </c>
      <c r="Q19" s="15">
        <f>IF(OR(O19="",P19=""),"",P19-O19)</f>
        <v/>
      </c>
    </row>
    <row r="20">
      <c r="A20" s="8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>
        <f>IF(COUNT(D20,G20,J20,M20)=0,"",SUM(D20,G20,J20,M20))</f>
        <v/>
      </c>
      <c r="P20" s="15">
        <f>IF(COUNT(E20,H20,K20,N20)=0,"",SUM(E20,H20,K20,N20))</f>
        <v/>
      </c>
      <c r="Q20" s="15">
        <f>IF(OR(O20="",P20=""),"",P20-O20)</f>
        <v/>
      </c>
    </row>
    <row r="21">
      <c r="A21" s="8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5">
        <f>IF(COUNT(D21,G21,J21,M21)=0,"",SUM(D21,G21,J21,M21))</f>
        <v/>
      </c>
      <c r="P21" s="15">
        <f>IF(COUNT(E21,H21,K21,N21)=0,"",SUM(E21,H21,K21,N21))</f>
        <v/>
      </c>
      <c r="Q21" s="15">
        <f>IF(OR(O21="",P21=""),"",P21-O21)</f>
        <v/>
      </c>
    </row>
    <row r="22">
      <c r="A22" s="8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5">
        <f>IF(COUNT(D22,G22,J22,M22)=0,"",SUM(D22,G22,J22,M22))</f>
        <v/>
      </c>
      <c r="P22" s="15">
        <f>IF(COUNT(E22,H22,K22,N22)=0,"",SUM(E22,H22,K22,N22))</f>
        <v/>
      </c>
      <c r="Q22" s="15">
        <f>IF(OR(O22="",P22=""),"",P22-O22)</f>
        <v/>
      </c>
    </row>
    <row r="23">
      <c r="A23" s="8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5">
        <f>IF(COUNT(D23,G23,J23,M23)=0,"",SUM(D23,G23,J23,M23))</f>
        <v/>
      </c>
      <c r="P23" s="15">
        <f>IF(COUNT(E23,H23,K23,N23)=0,"",SUM(E23,H23,K23,N23))</f>
        <v/>
      </c>
      <c r="Q23" s="15">
        <f>IF(OR(O23="",P23=""),"",P23-O23)</f>
        <v/>
      </c>
    </row>
    <row r="24">
      <c r="A24" s="8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5">
        <f>IF(COUNT(D24,G24,J24,M24)=0,"",SUM(D24,G24,J24,M24))</f>
        <v/>
      </c>
      <c r="P24" s="15">
        <f>IF(COUNT(E24,H24,K24,N24)=0,"",SUM(E24,H24,K24,N24))</f>
        <v/>
      </c>
      <c r="Q24" s="15">
        <f>IF(OR(O24="",P24=""),"",P24-O24)</f>
        <v/>
      </c>
    </row>
    <row r="25">
      <c r="A25" s="8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5">
        <f>IF(COUNT(D25,G25,J25,M25)=0,"",SUM(D25,G25,J25,M25))</f>
        <v/>
      </c>
      <c r="P25" s="15">
        <f>IF(COUNT(E25,H25,K25,N25)=0,"",SUM(E25,H25,K25,N25))</f>
        <v/>
      </c>
      <c r="Q25" s="15">
        <f>IF(OR(O25="",P25=""),"",P25-O25)</f>
        <v/>
      </c>
    </row>
    <row r="26">
      <c r="A26" s="8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>
        <f>IF(COUNT(D26,G26,J26,M26)=0,"",SUM(D26,G26,J26,M26))</f>
        <v/>
      </c>
      <c r="P26" s="15">
        <f>IF(COUNT(E26,H26,K26,N26)=0,"",SUM(E26,H26,K26,N26))</f>
        <v/>
      </c>
      <c r="Q26" s="15">
        <f>IF(OR(O26="",P26=""),"",P26-O26)</f>
        <v/>
      </c>
    </row>
  </sheetData>
  <mergeCells count="11">
    <mergeCell ref="A4:A6"/>
    <mergeCell ref="F5:H5"/>
    <mergeCell ref="C5:E5"/>
    <mergeCell ref="B4:B6"/>
    <mergeCell ref="I5:K5"/>
    <mergeCell ref="L5:N5"/>
    <mergeCell ref="C4:E4"/>
    <mergeCell ref="F4:H4"/>
    <mergeCell ref="I4:K4"/>
    <mergeCell ref="L4:N4"/>
    <mergeCell ref="O4:Q5"/>
  </mergeCells>
  <conditionalFormatting sqref="Q7:Q26">
    <cfRule type="expression" priority="1" dxfId="0">
      <formula>AND(ISNUMBER(Q7),Q7&lt;0)</formula>
    </cfRule>
  </conditionalFormatting>
  <dataValidations count="1">
    <dataValidation sqref="C7:N2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1" customWidth="1" min="15" max="15"/>
    <col width="11" customWidth="1" min="16" max="16"/>
    <col width="11" customWidth="1" min="17" max="17"/>
  </cols>
  <sheetData>
    <row r="1" ht="26" customHeight="1">
      <c r="A1" s="1" t="inlineStr">
        <is>
          <t>Crèmerie</t>
        </is>
      </c>
    </row>
    <row r="2">
      <c r="A2" s="2" t="inlineStr">
        <is>
          <t>Commande le vendredi · Livraison le lundi · Tél. 01 98 76 54 32</t>
        </is>
      </c>
    </row>
    <row r="4">
      <c r="A4" s="6" t="inlineStr">
        <is>
          <t>Produit</t>
        </is>
      </c>
      <c r="B4" s="6" t="inlineStr">
        <is>
          <t>Unité</t>
        </is>
      </c>
      <c r="C4" s="6" t="inlineStr">
        <is>
          <t>Semaine 1</t>
        </is>
      </c>
      <c r="D4" s="9" t="n"/>
      <c r="E4" s="9" t="n"/>
      <c r="F4" s="6" t="inlineStr">
        <is>
          <t>Semaine 2</t>
        </is>
      </c>
      <c r="G4" s="9" t="n"/>
      <c r="H4" s="9" t="n"/>
      <c r="I4" s="6" t="inlineStr">
        <is>
          <t>Semaine 3</t>
        </is>
      </c>
      <c r="J4" s="9" t="n"/>
      <c r="K4" s="9" t="n"/>
      <c r="L4" s="6" t="inlineStr">
        <is>
          <t>Semaine 4</t>
        </is>
      </c>
      <c r="M4" s="9" t="n"/>
      <c r="N4" s="9" t="n"/>
      <c r="O4" s="6" t="inlineStr">
        <is>
          <t>Total du mois</t>
        </is>
      </c>
      <c r="P4" s="9" t="n"/>
      <c r="Q4" s="9" t="n"/>
    </row>
    <row r="5">
      <c r="A5" s="9" t="n"/>
      <c r="B5" s="9" t="n"/>
      <c r="C5" s="10" t="n"/>
      <c r="D5" s="11" t="n"/>
      <c r="E5" s="11" t="n"/>
      <c r="F5" s="10" t="n"/>
      <c r="G5" s="11" t="n"/>
      <c r="H5" s="11" t="n"/>
      <c r="I5" s="10" t="n"/>
      <c r="J5" s="11" t="n"/>
      <c r="K5" s="11" t="n"/>
      <c r="L5" s="10" t="n"/>
      <c r="M5" s="11" t="n"/>
      <c r="N5" s="11" t="n"/>
      <c r="O5" s="9" t="n"/>
      <c r="P5" s="9" t="n"/>
      <c r="Q5" s="9" t="n"/>
    </row>
    <row r="6">
      <c r="A6" s="9" t="n"/>
      <c r="B6" s="9" t="n"/>
      <c r="C6" s="12" t="inlineStr">
        <is>
          <t>Stock</t>
        </is>
      </c>
      <c r="D6" s="12" t="inlineStr">
        <is>
          <t>Commandé</t>
        </is>
      </c>
      <c r="E6" s="12" t="inlineStr">
        <is>
          <t>Reçu</t>
        </is>
      </c>
      <c r="F6" s="12" t="inlineStr">
        <is>
          <t>Stock</t>
        </is>
      </c>
      <c r="G6" s="12" t="inlineStr">
        <is>
          <t>Commandé</t>
        </is>
      </c>
      <c r="H6" s="12" t="inlineStr">
        <is>
          <t>Reçu</t>
        </is>
      </c>
      <c r="I6" s="12" t="inlineStr">
        <is>
          <t>Stock</t>
        </is>
      </c>
      <c r="J6" s="12" t="inlineStr">
        <is>
          <t>Commandé</t>
        </is>
      </c>
      <c r="K6" s="12" t="inlineStr">
        <is>
          <t>Reçu</t>
        </is>
      </c>
      <c r="L6" s="12" t="inlineStr">
        <is>
          <t>Stock</t>
        </is>
      </c>
      <c r="M6" s="12" t="inlineStr">
        <is>
          <t>Commandé</t>
        </is>
      </c>
      <c r="N6" s="12" t="inlineStr">
        <is>
          <t>Reçu</t>
        </is>
      </c>
      <c r="O6" s="12" t="inlineStr">
        <is>
          <t>Commandé</t>
        </is>
      </c>
      <c r="P6" s="12" t="inlineStr">
        <is>
          <t>Reçu</t>
        </is>
      </c>
      <c r="Q6" s="12" t="inlineStr">
        <is>
          <t>Manque</t>
        </is>
      </c>
    </row>
    <row r="7">
      <c r="A7" s="7" t="inlineStr">
        <is>
          <t>Beurre doux</t>
        </is>
      </c>
      <c r="B7" s="13" t="inlineStr">
        <is>
          <t>kg</t>
        </is>
      </c>
      <c r="C7" s="13" t="n">
        <v>3</v>
      </c>
      <c r="D7" s="13" t="n">
        <v>5</v>
      </c>
      <c r="E7" s="13" t="n">
        <v>5</v>
      </c>
      <c r="F7" s="13" t="n">
        <v>4</v>
      </c>
      <c r="G7" s="13" t="n">
        <v>5</v>
      </c>
      <c r="H7" s="13" t="n">
        <v>5</v>
      </c>
      <c r="I7" s="14" t="n"/>
      <c r="J7" s="14" t="n"/>
      <c r="K7" s="14" t="n"/>
      <c r="L7" s="14" t="n"/>
      <c r="M7" s="14" t="n"/>
      <c r="N7" s="14" t="n"/>
      <c r="O7" s="15">
        <f>IF(COUNT(D7,G7,J7,M7)=0,"",SUM(D7,G7,J7,M7))</f>
        <v/>
      </c>
      <c r="P7" s="15">
        <f>IF(COUNT(E7,H7,K7,N7)=0,"",SUM(E7,H7,K7,N7))</f>
        <v/>
      </c>
      <c r="Q7" s="15">
        <f>IF(OR(O7="",P7=""),"",P7-O7)</f>
        <v/>
      </c>
    </row>
    <row r="8">
      <c r="A8" s="7" t="inlineStr">
        <is>
          <t>Crème liquide 35%</t>
        </is>
      </c>
      <c r="B8" s="13" t="inlineStr">
        <is>
          <t>L</t>
        </is>
      </c>
      <c r="C8" s="13" t="n">
        <v>4</v>
      </c>
      <c r="D8" s="13" t="n">
        <v>12</v>
      </c>
      <c r="E8" s="13" t="n">
        <v>12</v>
      </c>
      <c r="F8" s="13" t="n">
        <v>5</v>
      </c>
      <c r="G8" s="13" t="n">
        <v>10</v>
      </c>
      <c r="H8" s="13" t="n">
        <v>10</v>
      </c>
      <c r="I8" s="14" t="n"/>
      <c r="J8" s="14" t="n"/>
      <c r="K8" s="14" t="n"/>
      <c r="L8" s="14" t="n"/>
      <c r="M8" s="14" t="n"/>
      <c r="N8" s="14" t="n"/>
      <c r="O8" s="15">
        <f>IF(COUNT(D8,G8,J8,M8)=0,"",SUM(D8,G8,J8,M8))</f>
        <v/>
      </c>
      <c r="P8" s="15">
        <f>IF(COUNT(E8,H8,K8,N8)=0,"",SUM(E8,H8,K8,N8))</f>
        <v/>
      </c>
      <c r="Q8" s="15">
        <f>IF(OR(O8="",P8=""),"",P8-O8)</f>
        <v/>
      </c>
    </row>
    <row r="9">
      <c r="A9" s="7" t="inlineStr">
        <is>
          <t>Lait entier</t>
        </is>
      </c>
      <c r="B9" s="13" t="inlineStr">
        <is>
          <t>L</t>
        </is>
      </c>
      <c r="C9" s="13" t="n">
        <v>3</v>
      </c>
      <c r="D9" s="13" t="n">
        <v>6</v>
      </c>
      <c r="E9" s="13" t="n">
        <v>6</v>
      </c>
      <c r="F9" s="13" t="n">
        <v>4</v>
      </c>
      <c r="G9" s="13" t="n">
        <v>6</v>
      </c>
      <c r="H9" s="13" t="n">
        <v>6</v>
      </c>
      <c r="I9" s="14" t="n"/>
      <c r="J9" s="14" t="n"/>
      <c r="K9" s="14" t="n"/>
      <c r="L9" s="14" t="n"/>
      <c r="M9" s="14" t="n"/>
      <c r="N9" s="14" t="n"/>
      <c r="O9" s="15">
        <f>IF(COUNT(D9,G9,J9,M9)=0,"",SUM(D9,G9,J9,M9))</f>
        <v/>
      </c>
      <c r="P9" s="15">
        <f>IF(COUNT(E9,H9,K9,N9)=0,"",SUM(E9,H9,K9,N9))</f>
        <v/>
      </c>
      <c r="Q9" s="15">
        <f>IF(OR(O9="",P9=""),"",P9-O9)</f>
        <v/>
      </c>
    </row>
    <row r="10">
      <c r="A10" s="7" t="inlineStr">
        <is>
          <t>Oeufs</t>
        </is>
      </c>
      <c r="B10" s="13" t="inlineStr">
        <is>
          <t>pièce</t>
        </is>
      </c>
      <c r="C10" s="13" t="n">
        <v>40</v>
      </c>
      <c r="D10" s="13" t="n">
        <v>90</v>
      </c>
      <c r="E10" s="13" t="n">
        <v>90</v>
      </c>
      <c r="F10" s="13" t="n">
        <v>50</v>
      </c>
      <c r="G10" s="13" t="n">
        <v>60</v>
      </c>
      <c r="H10" s="13" t="n">
        <v>60</v>
      </c>
      <c r="I10" s="14" t="n"/>
      <c r="J10" s="14" t="n"/>
      <c r="K10" s="14" t="n"/>
      <c r="L10" s="14" t="n"/>
      <c r="M10" s="14" t="n"/>
      <c r="N10" s="14" t="n"/>
      <c r="O10" s="15">
        <f>IF(COUNT(D10,G10,J10,M10)=0,"",SUM(D10,G10,J10,M10))</f>
        <v/>
      </c>
      <c r="P10" s="15">
        <f>IF(COUNT(E10,H10,K10,N10)=0,"",SUM(E10,H10,K10,N10))</f>
        <v/>
      </c>
      <c r="Q10" s="15">
        <f>IF(OR(O10="",P10=""),"",P10-O10)</f>
        <v/>
      </c>
    </row>
    <row r="11">
      <c r="A11" s="8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5">
        <f>IF(COUNT(D11,G11,J11,M11)=0,"",SUM(D11,G11,J11,M11))</f>
        <v/>
      </c>
      <c r="P11" s="15">
        <f>IF(COUNT(E11,H11,K11,N11)=0,"",SUM(E11,H11,K11,N11))</f>
        <v/>
      </c>
      <c r="Q11" s="15">
        <f>IF(OR(O11="",P11=""),"",P11-O11)</f>
        <v/>
      </c>
    </row>
    <row r="12">
      <c r="A12" s="8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5">
        <f>IF(COUNT(D12,G12,J12,M12)=0,"",SUM(D12,G12,J12,M12))</f>
        <v/>
      </c>
      <c r="P12" s="15">
        <f>IF(COUNT(E12,H12,K12,N12)=0,"",SUM(E12,H12,K12,N12))</f>
        <v/>
      </c>
      <c r="Q12" s="15">
        <f>IF(OR(O12="",P12=""),"",P12-O12)</f>
        <v/>
      </c>
    </row>
    <row r="13">
      <c r="A13" s="8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5">
        <f>IF(COUNT(D13,G13,J13,M13)=0,"",SUM(D13,G13,J13,M13))</f>
        <v/>
      </c>
      <c r="P13" s="15">
        <f>IF(COUNT(E13,H13,K13,N13)=0,"",SUM(E13,H13,K13,N13))</f>
        <v/>
      </c>
      <c r="Q13" s="15">
        <f>IF(OR(O13="",P13=""),"",P13-O13)</f>
        <v/>
      </c>
    </row>
    <row r="14">
      <c r="A14" s="8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>
        <f>IF(COUNT(D14,G14,J14,M14)=0,"",SUM(D14,G14,J14,M14))</f>
        <v/>
      </c>
      <c r="P14" s="15">
        <f>IF(COUNT(E14,H14,K14,N14)=0,"",SUM(E14,H14,K14,N14))</f>
        <v/>
      </c>
      <c r="Q14" s="15">
        <f>IF(OR(O14="",P14=""),"",P14-O14)</f>
        <v/>
      </c>
    </row>
    <row r="15">
      <c r="A15" s="8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5">
        <f>IF(COUNT(D15,G15,J15,M15)=0,"",SUM(D15,G15,J15,M15))</f>
        <v/>
      </c>
      <c r="P15" s="15">
        <f>IF(COUNT(E15,H15,K15,N15)=0,"",SUM(E15,H15,K15,N15))</f>
        <v/>
      </c>
      <c r="Q15" s="15">
        <f>IF(OR(O15="",P15=""),"",P15-O15)</f>
        <v/>
      </c>
    </row>
    <row r="16">
      <c r="A16" s="8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5">
        <f>IF(COUNT(D16,G16,J16,M16)=0,"",SUM(D16,G16,J16,M16))</f>
        <v/>
      </c>
      <c r="P16" s="15">
        <f>IF(COUNT(E16,H16,K16,N16)=0,"",SUM(E16,H16,K16,N16))</f>
        <v/>
      </c>
      <c r="Q16" s="15">
        <f>IF(OR(O16="",P16=""),"",P16-O16)</f>
        <v/>
      </c>
    </row>
    <row r="17">
      <c r="A17" s="8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5">
        <f>IF(COUNT(D17,G17,J17,M17)=0,"",SUM(D17,G17,J17,M17))</f>
        <v/>
      </c>
      <c r="P17" s="15">
        <f>IF(COUNT(E17,H17,K17,N17)=0,"",SUM(E17,H17,K17,N17))</f>
        <v/>
      </c>
      <c r="Q17" s="15">
        <f>IF(OR(O17="",P17=""),"",P17-O17)</f>
        <v/>
      </c>
    </row>
    <row r="18">
      <c r="A18" s="8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5">
        <f>IF(COUNT(D18,G18,J18,M18)=0,"",SUM(D18,G18,J18,M18))</f>
        <v/>
      </c>
      <c r="P18" s="15">
        <f>IF(COUNT(E18,H18,K18,N18)=0,"",SUM(E18,H18,K18,N18))</f>
        <v/>
      </c>
      <c r="Q18" s="15">
        <f>IF(OR(O18="",P18=""),"",P18-O18)</f>
        <v/>
      </c>
    </row>
    <row r="19">
      <c r="A19" s="8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5">
        <f>IF(COUNT(D19,G19,J19,M19)=0,"",SUM(D19,G19,J19,M19))</f>
        <v/>
      </c>
      <c r="P19" s="15">
        <f>IF(COUNT(E19,H19,K19,N19)=0,"",SUM(E19,H19,K19,N19))</f>
        <v/>
      </c>
      <c r="Q19" s="15">
        <f>IF(OR(O19="",P19=""),"",P19-O19)</f>
        <v/>
      </c>
    </row>
    <row r="20">
      <c r="A20" s="8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>
        <f>IF(COUNT(D20,G20,J20,M20)=0,"",SUM(D20,G20,J20,M20))</f>
        <v/>
      </c>
      <c r="P20" s="15">
        <f>IF(COUNT(E20,H20,K20,N20)=0,"",SUM(E20,H20,K20,N20))</f>
        <v/>
      </c>
      <c r="Q20" s="15">
        <f>IF(OR(O20="",P20=""),"",P20-O20)</f>
        <v/>
      </c>
    </row>
    <row r="21">
      <c r="A21" s="8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5">
        <f>IF(COUNT(D21,G21,J21,M21)=0,"",SUM(D21,G21,J21,M21))</f>
        <v/>
      </c>
      <c r="P21" s="15">
        <f>IF(COUNT(E21,H21,K21,N21)=0,"",SUM(E21,H21,K21,N21))</f>
        <v/>
      </c>
      <c r="Q21" s="15">
        <f>IF(OR(O21="",P21=""),"",P21-O21)</f>
        <v/>
      </c>
    </row>
    <row r="22">
      <c r="A22" s="8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5">
        <f>IF(COUNT(D22,G22,J22,M22)=0,"",SUM(D22,G22,J22,M22))</f>
        <v/>
      </c>
      <c r="P22" s="15">
        <f>IF(COUNT(E22,H22,K22,N22)=0,"",SUM(E22,H22,K22,N22))</f>
        <v/>
      </c>
      <c r="Q22" s="15">
        <f>IF(OR(O22="",P22=""),"",P22-O22)</f>
        <v/>
      </c>
    </row>
    <row r="23">
      <c r="A23" s="8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5">
        <f>IF(COUNT(D23,G23,J23,M23)=0,"",SUM(D23,G23,J23,M23))</f>
        <v/>
      </c>
      <c r="P23" s="15">
        <f>IF(COUNT(E23,H23,K23,N23)=0,"",SUM(E23,H23,K23,N23))</f>
        <v/>
      </c>
      <c r="Q23" s="15">
        <f>IF(OR(O23="",P23=""),"",P23-O23)</f>
        <v/>
      </c>
    </row>
    <row r="24">
      <c r="A24" s="8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5">
        <f>IF(COUNT(D24,G24,J24,M24)=0,"",SUM(D24,G24,J24,M24))</f>
        <v/>
      </c>
      <c r="P24" s="15">
        <f>IF(COUNT(E24,H24,K24,N24)=0,"",SUM(E24,H24,K24,N24))</f>
        <v/>
      </c>
      <c r="Q24" s="15">
        <f>IF(OR(O24="",P24=""),"",P24-O24)</f>
        <v/>
      </c>
    </row>
    <row r="25">
      <c r="A25" s="8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5">
        <f>IF(COUNT(D25,G25,J25,M25)=0,"",SUM(D25,G25,J25,M25))</f>
        <v/>
      </c>
      <c r="P25" s="15">
        <f>IF(COUNT(E25,H25,K25,N25)=0,"",SUM(E25,H25,K25,N25))</f>
        <v/>
      </c>
      <c r="Q25" s="15">
        <f>IF(OR(O25="",P25=""),"",P25-O25)</f>
        <v/>
      </c>
    </row>
    <row r="26">
      <c r="A26" s="8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>
        <f>IF(COUNT(D26,G26,J26,M26)=0,"",SUM(D26,G26,J26,M26))</f>
        <v/>
      </c>
      <c r="P26" s="15">
        <f>IF(COUNT(E26,H26,K26,N26)=0,"",SUM(E26,H26,K26,N26))</f>
        <v/>
      </c>
      <c r="Q26" s="15">
        <f>IF(OR(O26="",P26=""),"",P26-O26)</f>
        <v/>
      </c>
    </row>
  </sheetData>
  <mergeCells count="11">
    <mergeCell ref="A4:A6"/>
    <mergeCell ref="F5:H5"/>
    <mergeCell ref="C5:E5"/>
    <mergeCell ref="B4:B6"/>
    <mergeCell ref="I5:K5"/>
    <mergeCell ref="L5:N5"/>
    <mergeCell ref="C4:E4"/>
    <mergeCell ref="F4:H4"/>
    <mergeCell ref="I4:K4"/>
    <mergeCell ref="L4:N4"/>
    <mergeCell ref="O4:Q5"/>
  </mergeCells>
  <conditionalFormatting sqref="Q7:Q26">
    <cfRule type="expression" priority="1" dxfId="0">
      <formula>AND(ISNUMBER(Q7),Q7&lt;0)</formula>
    </cfRule>
  </conditionalFormatting>
  <dataValidations count="1">
    <dataValidation sqref="C7:N2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1" customWidth="1" min="15" max="15"/>
    <col width="11" customWidth="1" min="16" max="16"/>
    <col width="11" customWidth="1" min="17" max="17"/>
  </cols>
  <sheetData>
    <row r="1" ht="26" customHeight="1">
      <c r="A1" s="1" t="inlineStr">
        <is>
          <t>Transgourmet</t>
        </is>
      </c>
    </row>
    <row r="2">
      <c r="A2" s="2" t="inlineStr">
        <is>
          <t>Commande le jeudi · Livraison le lundi · Tél. 01 11 22 33 44</t>
        </is>
      </c>
    </row>
    <row r="4">
      <c r="A4" s="6" t="inlineStr">
        <is>
          <t>Produit</t>
        </is>
      </c>
      <c r="B4" s="6" t="inlineStr">
        <is>
          <t>Unité</t>
        </is>
      </c>
      <c r="C4" s="6" t="inlineStr">
        <is>
          <t>Semaine 1</t>
        </is>
      </c>
      <c r="D4" s="9" t="n"/>
      <c r="E4" s="9" t="n"/>
      <c r="F4" s="6" t="inlineStr">
        <is>
          <t>Semaine 2</t>
        </is>
      </c>
      <c r="G4" s="9" t="n"/>
      <c r="H4" s="9" t="n"/>
      <c r="I4" s="6" t="inlineStr">
        <is>
          <t>Semaine 3</t>
        </is>
      </c>
      <c r="J4" s="9" t="n"/>
      <c r="K4" s="9" t="n"/>
      <c r="L4" s="6" t="inlineStr">
        <is>
          <t>Semaine 4</t>
        </is>
      </c>
      <c r="M4" s="9" t="n"/>
      <c r="N4" s="9" t="n"/>
      <c r="O4" s="6" t="inlineStr">
        <is>
          <t>Total du mois</t>
        </is>
      </c>
      <c r="P4" s="9" t="n"/>
      <c r="Q4" s="9" t="n"/>
    </row>
    <row r="5">
      <c r="A5" s="9" t="n"/>
      <c r="B5" s="9" t="n"/>
      <c r="C5" s="10" t="n"/>
      <c r="D5" s="11" t="n"/>
      <c r="E5" s="11" t="n"/>
      <c r="F5" s="10" t="n"/>
      <c r="G5" s="11" t="n"/>
      <c r="H5" s="11" t="n"/>
      <c r="I5" s="10" t="n"/>
      <c r="J5" s="11" t="n"/>
      <c r="K5" s="11" t="n"/>
      <c r="L5" s="10" t="n"/>
      <c r="M5" s="11" t="n"/>
      <c r="N5" s="11" t="n"/>
      <c r="O5" s="9" t="n"/>
      <c r="P5" s="9" t="n"/>
      <c r="Q5" s="9" t="n"/>
    </row>
    <row r="6">
      <c r="A6" s="9" t="n"/>
      <c r="B6" s="9" t="n"/>
      <c r="C6" s="12" t="inlineStr">
        <is>
          <t>Stock</t>
        </is>
      </c>
      <c r="D6" s="12" t="inlineStr">
        <is>
          <t>Commandé</t>
        </is>
      </c>
      <c r="E6" s="12" t="inlineStr">
        <is>
          <t>Reçu</t>
        </is>
      </c>
      <c r="F6" s="12" t="inlineStr">
        <is>
          <t>Stock</t>
        </is>
      </c>
      <c r="G6" s="12" t="inlineStr">
        <is>
          <t>Commandé</t>
        </is>
      </c>
      <c r="H6" s="12" t="inlineStr">
        <is>
          <t>Reçu</t>
        </is>
      </c>
      <c r="I6" s="12" t="inlineStr">
        <is>
          <t>Stock</t>
        </is>
      </c>
      <c r="J6" s="12" t="inlineStr">
        <is>
          <t>Commandé</t>
        </is>
      </c>
      <c r="K6" s="12" t="inlineStr">
        <is>
          <t>Reçu</t>
        </is>
      </c>
      <c r="L6" s="12" t="inlineStr">
        <is>
          <t>Stock</t>
        </is>
      </c>
      <c r="M6" s="12" t="inlineStr">
        <is>
          <t>Commandé</t>
        </is>
      </c>
      <c r="N6" s="12" t="inlineStr">
        <is>
          <t>Reçu</t>
        </is>
      </c>
      <c r="O6" s="12" t="inlineStr">
        <is>
          <t>Commandé</t>
        </is>
      </c>
      <c r="P6" s="12" t="inlineStr">
        <is>
          <t>Reçu</t>
        </is>
      </c>
      <c r="Q6" s="12" t="inlineStr">
        <is>
          <t>Manque</t>
        </is>
      </c>
    </row>
    <row r="7">
      <c r="A7" s="7" t="inlineStr">
        <is>
          <t>Chocolat blanc</t>
        </is>
      </c>
      <c r="B7" s="13" t="inlineStr">
        <is>
          <t>kg</t>
        </is>
      </c>
      <c r="C7" s="13" t="n">
        <v>1.5</v>
      </c>
      <c r="D7" s="13" t="n">
        <v>3</v>
      </c>
      <c r="E7" s="13" t="n">
        <v>2</v>
      </c>
      <c r="F7" s="13" t="n">
        <v>2</v>
      </c>
      <c r="G7" s="13" t="n">
        <v>2</v>
      </c>
      <c r="H7" s="13" t="n">
        <v>2</v>
      </c>
      <c r="I7" s="14" t="n"/>
      <c r="J7" s="14" t="n"/>
      <c r="K7" s="14" t="n"/>
      <c r="L7" s="14" t="n"/>
      <c r="M7" s="14" t="n"/>
      <c r="N7" s="14" t="n"/>
      <c r="O7" s="15">
        <f>IF(COUNT(D7,G7,J7,M7)=0,"",SUM(D7,G7,J7,M7))</f>
        <v/>
      </c>
      <c r="P7" s="15">
        <f>IF(COUNT(E7,H7,K7,N7)=0,"",SUM(E7,H7,K7,N7))</f>
        <v/>
      </c>
      <c r="Q7" s="15">
        <f>IF(OR(O7="",P7=""),"",P7-O7)</f>
        <v/>
      </c>
    </row>
    <row r="8">
      <c r="A8" s="7" t="inlineStr">
        <is>
          <t>Chocolat noir 70%</t>
        </is>
      </c>
      <c r="B8" s="13" t="inlineStr">
        <is>
          <t>kg</t>
        </is>
      </c>
      <c r="C8" s="13" t="n">
        <v>2</v>
      </c>
      <c r="D8" s="13" t="n">
        <v>2</v>
      </c>
      <c r="E8" s="13" t="n">
        <v>2</v>
      </c>
      <c r="F8" s="13" t="n">
        <v>2</v>
      </c>
      <c r="G8" s="13" t="n">
        <v>2</v>
      </c>
      <c r="H8" s="13" t="n">
        <v>2</v>
      </c>
      <c r="I8" s="14" t="n"/>
      <c r="J8" s="14" t="n"/>
      <c r="K8" s="14" t="n"/>
      <c r="L8" s="14" t="n"/>
      <c r="M8" s="14" t="n"/>
      <c r="N8" s="14" t="n"/>
      <c r="O8" s="15">
        <f>IF(COUNT(D8,G8,J8,M8)=0,"",SUM(D8,G8,J8,M8))</f>
        <v/>
      </c>
      <c r="P8" s="15">
        <f>IF(COUNT(E8,H8,K8,N8)=0,"",SUM(E8,H8,K8,N8))</f>
        <v/>
      </c>
      <c r="Q8" s="15">
        <f>IF(OR(O8="",P8=""),"",P8-O8)</f>
        <v/>
      </c>
    </row>
    <row r="9">
      <c r="A9" s="7" t="inlineStr">
        <is>
          <t>Levure chimique</t>
        </is>
      </c>
      <c r="B9" s="13" t="inlineStr">
        <is>
          <t>kg</t>
        </is>
      </c>
      <c r="C9" s="13" t="n">
        <v>0.4</v>
      </c>
      <c r="D9" s="13" t="n">
        <v>1</v>
      </c>
      <c r="E9" s="13" t="n">
        <v>1</v>
      </c>
      <c r="F9" s="13" t="n">
        <v>0.6</v>
      </c>
      <c r="G9" s="13" t="n">
        <v>0</v>
      </c>
      <c r="H9" s="13" t="n">
        <v>0</v>
      </c>
      <c r="I9" s="14" t="n"/>
      <c r="J9" s="14" t="n"/>
      <c r="K9" s="14" t="n"/>
      <c r="L9" s="14" t="n"/>
      <c r="M9" s="14" t="n"/>
      <c r="N9" s="14" t="n"/>
      <c r="O9" s="15">
        <f>IF(COUNT(D9,G9,J9,M9)=0,"",SUM(D9,G9,J9,M9))</f>
        <v/>
      </c>
      <c r="P9" s="15">
        <f>IF(COUNT(E9,H9,K9,N9)=0,"",SUM(E9,H9,K9,N9))</f>
        <v/>
      </c>
      <c r="Q9" s="15">
        <f>IF(OR(O9="",P9=""),"",P9-O9)</f>
        <v/>
      </c>
    </row>
    <row r="10">
      <c r="A10" s="7" t="inlineStr">
        <is>
          <t>Vanille (gousse)</t>
        </is>
      </c>
      <c r="B10" s="13" t="inlineStr">
        <is>
          <t>pièce</t>
        </is>
      </c>
      <c r="C10" s="13" t="n">
        <v>6</v>
      </c>
      <c r="D10" s="13" t="n">
        <v>0</v>
      </c>
      <c r="E10" s="13" t="n">
        <v>0</v>
      </c>
      <c r="F10" s="13" t="n">
        <v>6</v>
      </c>
      <c r="G10" s="13" t="n">
        <v>0</v>
      </c>
      <c r="H10" s="13" t="n">
        <v>0</v>
      </c>
      <c r="I10" s="14" t="n"/>
      <c r="J10" s="14" t="n"/>
      <c r="K10" s="14" t="n"/>
      <c r="L10" s="14" t="n"/>
      <c r="M10" s="14" t="n"/>
      <c r="N10" s="14" t="n"/>
      <c r="O10" s="15">
        <f>IF(COUNT(D10,G10,J10,M10)=0,"",SUM(D10,G10,J10,M10))</f>
        <v/>
      </c>
      <c r="P10" s="15">
        <f>IF(COUNT(E10,H10,K10,N10)=0,"",SUM(E10,H10,K10,N10))</f>
        <v/>
      </c>
      <c r="Q10" s="15">
        <f>IF(OR(O10="",P10=""),"",P10-O10)</f>
        <v/>
      </c>
    </row>
    <row r="11">
      <c r="A11" s="8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5">
        <f>IF(COUNT(D11,G11,J11,M11)=0,"",SUM(D11,G11,J11,M11))</f>
        <v/>
      </c>
      <c r="P11" s="15">
        <f>IF(COUNT(E11,H11,K11,N11)=0,"",SUM(E11,H11,K11,N11))</f>
        <v/>
      </c>
      <c r="Q11" s="15">
        <f>IF(OR(O11="",P11=""),"",P11-O11)</f>
        <v/>
      </c>
    </row>
    <row r="12">
      <c r="A12" s="8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5">
        <f>IF(COUNT(D12,G12,J12,M12)=0,"",SUM(D12,G12,J12,M12))</f>
        <v/>
      </c>
      <c r="P12" s="15">
        <f>IF(COUNT(E12,H12,K12,N12)=0,"",SUM(E12,H12,K12,N12))</f>
        <v/>
      </c>
      <c r="Q12" s="15">
        <f>IF(OR(O12="",P12=""),"",P12-O12)</f>
        <v/>
      </c>
    </row>
    <row r="13">
      <c r="A13" s="8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5">
        <f>IF(COUNT(D13,G13,J13,M13)=0,"",SUM(D13,G13,J13,M13))</f>
        <v/>
      </c>
      <c r="P13" s="15">
        <f>IF(COUNT(E13,H13,K13,N13)=0,"",SUM(E13,H13,K13,N13))</f>
        <v/>
      </c>
      <c r="Q13" s="15">
        <f>IF(OR(O13="",P13=""),"",P13-O13)</f>
        <v/>
      </c>
    </row>
    <row r="14">
      <c r="A14" s="8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>
        <f>IF(COUNT(D14,G14,J14,M14)=0,"",SUM(D14,G14,J14,M14))</f>
        <v/>
      </c>
      <c r="P14" s="15">
        <f>IF(COUNT(E14,H14,K14,N14)=0,"",SUM(E14,H14,K14,N14))</f>
        <v/>
      </c>
      <c r="Q14" s="15">
        <f>IF(OR(O14="",P14=""),"",P14-O14)</f>
        <v/>
      </c>
    </row>
    <row r="15">
      <c r="A15" s="8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5">
        <f>IF(COUNT(D15,G15,J15,M15)=0,"",SUM(D15,G15,J15,M15))</f>
        <v/>
      </c>
      <c r="P15" s="15">
        <f>IF(COUNT(E15,H15,K15,N15)=0,"",SUM(E15,H15,K15,N15))</f>
        <v/>
      </c>
      <c r="Q15" s="15">
        <f>IF(OR(O15="",P15=""),"",P15-O15)</f>
        <v/>
      </c>
    </row>
    <row r="16">
      <c r="A16" s="8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5">
        <f>IF(COUNT(D16,G16,J16,M16)=0,"",SUM(D16,G16,J16,M16))</f>
        <v/>
      </c>
      <c r="P16" s="15">
        <f>IF(COUNT(E16,H16,K16,N16)=0,"",SUM(E16,H16,K16,N16))</f>
        <v/>
      </c>
      <c r="Q16" s="15">
        <f>IF(OR(O16="",P16=""),"",P16-O16)</f>
        <v/>
      </c>
    </row>
    <row r="17">
      <c r="A17" s="8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5">
        <f>IF(COUNT(D17,G17,J17,M17)=0,"",SUM(D17,G17,J17,M17))</f>
        <v/>
      </c>
      <c r="P17" s="15">
        <f>IF(COUNT(E17,H17,K17,N17)=0,"",SUM(E17,H17,K17,N17))</f>
        <v/>
      </c>
      <c r="Q17" s="15">
        <f>IF(OR(O17="",P17=""),"",P17-O17)</f>
        <v/>
      </c>
    </row>
    <row r="18">
      <c r="A18" s="8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5">
        <f>IF(COUNT(D18,G18,J18,M18)=0,"",SUM(D18,G18,J18,M18))</f>
        <v/>
      </c>
      <c r="P18" s="15">
        <f>IF(COUNT(E18,H18,K18,N18)=0,"",SUM(E18,H18,K18,N18))</f>
        <v/>
      </c>
      <c r="Q18" s="15">
        <f>IF(OR(O18="",P18=""),"",P18-O18)</f>
        <v/>
      </c>
    </row>
    <row r="19">
      <c r="A19" s="8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5">
        <f>IF(COUNT(D19,G19,J19,M19)=0,"",SUM(D19,G19,J19,M19))</f>
        <v/>
      </c>
      <c r="P19" s="15">
        <f>IF(COUNT(E19,H19,K19,N19)=0,"",SUM(E19,H19,K19,N19))</f>
        <v/>
      </c>
      <c r="Q19" s="15">
        <f>IF(OR(O19="",P19=""),"",P19-O19)</f>
        <v/>
      </c>
    </row>
    <row r="20">
      <c r="A20" s="8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>
        <f>IF(COUNT(D20,G20,J20,M20)=0,"",SUM(D20,G20,J20,M20))</f>
        <v/>
      </c>
      <c r="P20" s="15">
        <f>IF(COUNT(E20,H20,K20,N20)=0,"",SUM(E20,H20,K20,N20))</f>
        <v/>
      </c>
      <c r="Q20" s="15">
        <f>IF(OR(O20="",P20=""),"",P20-O20)</f>
        <v/>
      </c>
    </row>
    <row r="21">
      <c r="A21" s="8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5">
        <f>IF(COUNT(D21,G21,J21,M21)=0,"",SUM(D21,G21,J21,M21))</f>
        <v/>
      </c>
      <c r="P21" s="15">
        <f>IF(COUNT(E21,H21,K21,N21)=0,"",SUM(E21,H21,K21,N21))</f>
        <v/>
      </c>
      <c r="Q21" s="15">
        <f>IF(OR(O21="",P21=""),"",P21-O21)</f>
        <v/>
      </c>
    </row>
    <row r="22">
      <c r="A22" s="8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5">
        <f>IF(COUNT(D22,G22,J22,M22)=0,"",SUM(D22,G22,J22,M22))</f>
        <v/>
      </c>
      <c r="P22" s="15">
        <f>IF(COUNT(E22,H22,K22,N22)=0,"",SUM(E22,H22,K22,N22))</f>
        <v/>
      </c>
      <c r="Q22" s="15">
        <f>IF(OR(O22="",P22=""),"",P22-O22)</f>
        <v/>
      </c>
    </row>
    <row r="23">
      <c r="A23" s="8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5">
        <f>IF(COUNT(D23,G23,J23,M23)=0,"",SUM(D23,G23,J23,M23))</f>
        <v/>
      </c>
      <c r="P23" s="15">
        <f>IF(COUNT(E23,H23,K23,N23)=0,"",SUM(E23,H23,K23,N23))</f>
        <v/>
      </c>
      <c r="Q23" s="15">
        <f>IF(OR(O23="",P23=""),"",P23-O23)</f>
        <v/>
      </c>
    </row>
    <row r="24">
      <c r="A24" s="8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5">
        <f>IF(COUNT(D24,G24,J24,M24)=0,"",SUM(D24,G24,J24,M24))</f>
        <v/>
      </c>
      <c r="P24" s="15">
        <f>IF(COUNT(E24,H24,K24,N24)=0,"",SUM(E24,H24,K24,N24))</f>
        <v/>
      </c>
      <c r="Q24" s="15">
        <f>IF(OR(O24="",P24=""),"",P24-O24)</f>
        <v/>
      </c>
    </row>
    <row r="25">
      <c r="A25" s="8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5">
        <f>IF(COUNT(D25,G25,J25,M25)=0,"",SUM(D25,G25,J25,M25))</f>
        <v/>
      </c>
      <c r="P25" s="15">
        <f>IF(COUNT(E25,H25,K25,N25)=0,"",SUM(E25,H25,K25,N25))</f>
        <v/>
      </c>
      <c r="Q25" s="15">
        <f>IF(OR(O25="",P25=""),"",P25-O25)</f>
        <v/>
      </c>
    </row>
    <row r="26">
      <c r="A26" s="8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>
        <f>IF(COUNT(D26,G26,J26,M26)=0,"",SUM(D26,G26,J26,M26))</f>
        <v/>
      </c>
      <c r="P26" s="15">
        <f>IF(COUNT(E26,H26,K26,N26)=0,"",SUM(E26,H26,K26,N26))</f>
        <v/>
      </c>
      <c r="Q26" s="15">
        <f>IF(OR(O26="",P26=""),"",P26-O26)</f>
        <v/>
      </c>
    </row>
  </sheetData>
  <mergeCells count="11">
    <mergeCell ref="A4:A6"/>
    <mergeCell ref="F5:H5"/>
    <mergeCell ref="C5:E5"/>
    <mergeCell ref="B4:B6"/>
    <mergeCell ref="I5:K5"/>
    <mergeCell ref="L5:N5"/>
    <mergeCell ref="C4:E4"/>
    <mergeCell ref="F4:H4"/>
    <mergeCell ref="I4:K4"/>
    <mergeCell ref="L4:N4"/>
    <mergeCell ref="O4:Q5"/>
  </mergeCells>
  <conditionalFormatting sqref="Q7:Q26">
    <cfRule type="expression" priority="1" dxfId="0">
      <formula>AND(ISNUMBER(Q7),Q7&lt;0)</formula>
    </cfRule>
  </conditionalFormatting>
  <dataValidations count="1">
    <dataValidation sqref="C7:N2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</cols>
  <sheetData>
    <row r="1" ht="26" customHeight="1">
      <c r="A1" s="1" t="inlineStr">
        <is>
          <t>Récap fournisseurs</t>
        </is>
      </c>
    </row>
    <row r="2">
      <c r="A2" s="2" t="inlineStr">
        <is>
          <t>Calculé — rien à remplir</t>
        </is>
      </c>
    </row>
    <row r="4">
      <c r="A4" s="6" t="inlineStr">
        <is>
          <t>Fournisseur</t>
        </is>
      </c>
      <c r="B4" s="6" t="inlineStr">
        <is>
          <t>Produits suivis</t>
        </is>
      </c>
      <c r="C4" s="6" t="inlineStr">
        <is>
          <t>Produits livrés incomplets ce mois</t>
        </is>
      </c>
    </row>
    <row r="5">
      <c r="A5" s="16" t="inlineStr">
        <is>
          <t>Metro</t>
        </is>
      </c>
      <c r="B5" s="17">
        <f>COUNTA('Metro'!A7:A26)</f>
        <v/>
      </c>
      <c r="C5" s="17">
        <f>COUNTIF('Metro'!Q7:Q26,"&lt;0")</f>
        <v/>
      </c>
    </row>
    <row r="6">
      <c r="A6" s="16" t="inlineStr">
        <is>
          <t>Crèmerie</t>
        </is>
      </c>
      <c r="B6" s="17">
        <f>COUNTA('Crèmerie'!A7:A26)</f>
        <v/>
      </c>
      <c r="C6" s="17">
        <f>COUNTIF('Crèmerie'!Q7:Q26,"&lt;0")</f>
        <v/>
      </c>
    </row>
    <row r="7">
      <c r="A7" s="16" t="inlineStr">
        <is>
          <t>Transgourmet</t>
        </is>
      </c>
      <c r="B7" s="17">
        <f>COUNTA('Transgourmet'!A7:A26)</f>
        <v/>
      </c>
      <c r="C7" s="17">
        <f>COUNTIF('Transgourmet'!Q7:Q26,"&lt;0")</f>
        <v/>
      </c>
    </row>
  </sheetData>
  <conditionalFormatting sqref="C5:C7">
    <cfRule type="expression" priority="1" dxfId="0">
      <formula>C5&gt;0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2026-09-24T19:35:40Z</dcterms:created>
  <dcterms:modified xmlns:dcterms="http://purl.org/dc/terms/" xmlns:xsi="http://www.w3.org/2001/XMLSchema-instance" xsi:type="dcterms:W3CDTF">2026-09-24T19:35:40Z</dcterms:modified>
</cp:coreProperties>
</file>