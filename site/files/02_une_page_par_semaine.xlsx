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Semaine 1" sheetId="3" state="visible" r:id="rId3"/>
    <sheet xmlns:r="http://schemas.openxmlformats.org/officeDocument/2006/relationships" name="Semaine 2" sheetId="4" state="visible" r:id="rId4"/>
    <sheet xmlns:r="http://schemas.openxmlformats.org/officeDocument/2006/relationships" name="Semaine 3" sheetId="5" state="visible" r:id="rId5"/>
    <sheet xmlns:r="http://schemas.openxmlformats.org/officeDocument/2006/relationships" name="Semaine 4" sheetId="6" state="visible" r:id="rId6"/>
    <sheet xmlns:r="http://schemas.openxmlformats.org/officeDocument/2006/relationships" name="Récap du mo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5E7D5B"/>
      <sz val="16"/>
    </font>
    <font>
      <name val="Arial"/>
      <i val="1"/>
      <color rgb="00666666"/>
      <sz val="9"/>
    </font>
    <font>
      <name val="Arial"/>
      <b val="1"/>
      <color rgb="005E7D5B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5E7D5B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2 · Une page par semaine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Chaque semaine a son propre onglet, avec seulement quelques colonnes : c'est lisible même sur téléphone. Un onglet Récap additionne les 4 semaines tout seul.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Chaque semaine, ouvre l'onglet de la semaine : Stock et Commandé le vendredi, Reçu à la livraison.</t>
        </is>
      </c>
    </row>
    <row r="8">
      <c r="A8" s="5" t="inlineStr"/>
      <c r="B8" s="4" t="inlineStr">
        <is>
          <t>3. L'onglet Récap du mois se met à jour tout seul : total commandé, total reçu, dernier stock compté.</t>
        </is>
      </c>
    </row>
    <row r="9">
      <c r="A9" s="5" t="inlineStr"/>
      <c r="B9" s="4" t="inlineStr">
        <is>
          <t>4. Nouveau mois : Fichier &gt; Faire une copie, puis efface les cases jaunes des 4 semaines.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Semaine 1 à Semaine 4 — une page par semaine.</t>
        </is>
      </c>
    </row>
    <row r="13">
      <c r="A13" s="5" t="inlineStr"/>
      <c r="B13" s="4" t="inlineStr">
        <is>
          <t>Récap du mois — les totaux, calculés.</t>
        </is>
      </c>
    </row>
    <row r="14">
      <c r="A14" s="5" t="inlineStr"/>
      <c r="B14" s="4" t="inlineStr"/>
    </row>
    <row r="15">
      <c r="A15" s="5" t="inlineStr">
        <is>
          <t>Couleurs</t>
        </is>
      </c>
      <c r="B15" s="4" t="inlineStr">
        <is>
          <t>Cases jaunes = à remplir. Cases blanches = calculées toutes seules, ne pas y toucher.</t>
        </is>
      </c>
    </row>
    <row r="16">
      <c r="A16" s="5" t="inlineStr"/>
      <c r="B16" s="4" t="inlineStr">
        <is>
          <t>Chiffres en bleu = exemple pour montrer le fonctionnement, à effacer.</t>
        </is>
      </c>
    </row>
    <row r="17">
      <c r="A17" s="5" t="inlineStr"/>
      <c r="B17" s="4" t="inlineStr">
        <is>
          <t>Rouge = il manque quelque chose (livraison incomplète, stock trop bas).</t>
        </is>
      </c>
    </row>
    <row r="18">
      <c r="A18" s="5" t="inlineStr"/>
      <c r="B18" s="4" t="inlineStr"/>
    </row>
    <row r="19">
      <c r="A19" s="5" t="inlineStr">
        <is>
          <t>Google Sheets</t>
        </is>
      </c>
      <c r="B19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8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</cols>
  <sheetData>
    <row r="1" ht="26" customHeight="1">
      <c r="A1" s="1" t="inlineStr">
        <is>
          <t>Semaine 1</t>
        </is>
      </c>
    </row>
    <row r="2">
      <c r="A2" s="2" t="inlineStr">
        <is>
          <t>Stock = ce qu'il reste · Commandé = ce que tu demandes · Reçu = ce qui est arrivé</t>
        </is>
      </c>
    </row>
    <row r="3">
      <c r="A3" s="11" t="inlineStr">
        <is>
          <t>Date du comptage :</t>
        </is>
      </c>
      <c r="B3" s="12" t="n"/>
    </row>
    <row r="5">
      <c r="A5" s="6" t="inlineStr">
        <is>
          <t>Produit</t>
        </is>
      </c>
      <c r="B5" s="6" t="inlineStr">
        <is>
          <t>Fournisseur</t>
        </is>
      </c>
      <c r="C5" s="6" t="inlineStr">
        <is>
          <t>Unité</t>
        </is>
      </c>
      <c r="D5" s="6" t="inlineStr">
        <is>
          <t>Stock</t>
        </is>
      </c>
      <c r="E5" s="6" t="inlineStr">
        <is>
          <t>Commandé</t>
        </is>
      </c>
      <c r="F5" s="6" t="inlineStr">
        <is>
          <t>Reçu</t>
        </is>
      </c>
      <c r="G5" s="6" t="inlineStr">
        <is>
          <t>Écart</t>
        </is>
      </c>
      <c r="H5" s="6" t="inlineStr">
        <is>
          <t>Total dispo</t>
        </is>
      </c>
    </row>
    <row r="6">
      <c r="A6" s="13">
        <f>IF(Produits!$A$5="","",Produits!$A$5)</f>
        <v/>
      </c>
      <c r="B6" s="14">
        <f>IF(Produits!$A$5="","",Produits!$B$5)</f>
        <v/>
      </c>
      <c r="C6" s="15">
        <f>IF(Produits!$A$5="","",Produits!$C$5)</f>
        <v/>
      </c>
      <c r="D6" s="8" t="n">
        <v>8</v>
      </c>
      <c r="E6" s="8" t="n">
        <v>10</v>
      </c>
      <c r="F6" s="8" t="n">
        <v>7</v>
      </c>
      <c r="G6" s="16">
        <f>IF(OR(E6="",F6=""),"",F6-E6)</f>
        <v/>
      </c>
      <c r="H6" s="16">
        <f>IF(AND(D6="",F6=""),"",N(D6)+N(F6))</f>
        <v/>
      </c>
    </row>
    <row r="7">
      <c r="A7" s="13">
        <f>IF(Produits!$A$6="","",Produits!$A$6)</f>
        <v/>
      </c>
      <c r="B7" s="14">
        <f>IF(Produits!$A$6="","",Produits!$B$6)</f>
        <v/>
      </c>
      <c r="C7" s="15">
        <f>IF(Produits!$A$6="","",Produits!$C$6)</f>
        <v/>
      </c>
      <c r="D7" s="8" t="n">
        <v>2</v>
      </c>
      <c r="E7" s="8" t="n">
        <v>5</v>
      </c>
      <c r="F7" s="8" t="n">
        <v>5</v>
      </c>
      <c r="G7" s="16">
        <f>IF(OR(E7="",F7=""),"",F7-E7)</f>
        <v/>
      </c>
      <c r="H7" s="16">
        <f>IF(AND(D7="",F7=""),"",N(D7)+N(F7))</f>
        <v/>
      </c>
    </row>
    <row r="8">
      <c r="A8" s="13">
        <f>IF(Produits!$A$7="","",Produits!$A$7)</f>
        <v/>
      </c>
      <c r="B8" s="14">
        <f>IF(Produits!$A$7="","",Produits!$B$7)</f>
        <v/>
      </c>
      <c r="C8" s="15">
        <f>IF(Produits!$A$7="","",Produits!$C$7)</f>
        <v/>
      </c>
      <c r="D8" s="8" t="n">
        <v>6</v>
      </c>
      <c r="E8" s="8" t="n">
        <v>10</v>
      </c>
      <c r="F8" s="8" t="n">
        <v>10</v>
      </c>
      <c r="G8" s="16">
        <f>IF(OR(E8="",F8=""),"",F8-E8)</f>
        <v/>
      </c>
      <c r="H8" s="16">
        <f>IF(AND(D8="",F8=""),"",N(D8)+N(F8))</f>
        <v/>
      </c>
    </row>
    <row r="9">
      <c r="A9" s="13">
        <f>IF(Produits!$A$8="","",Produits!$A$8)</f>
        <v/>
      </c>
      <c r="B9" s="14">
        <f>IF(Produits!$A$8="","",Produits!$B$8)</f>
        <v/>
      </c>
      <c r="C9" s="15">
        <f>IF(Produits!$A$8="","",Produits!$C$8)</f>
        <v/>
      </c>
      <c r="D9" s="8" t="n">
        <v>1</v>
      </c>
      <c r="E9" s="8" t="n">
        <v>3</v>
      </c>
      <c r="F9" s="8" t="n">
        <v>3</v>
      </c>
      <c r="G9" s="16">
        <f>IF(OR(E9="",F9=""),"",F9-E9)</f>
        <v/>
      </c>
      <c r="H9" s="16">
        <f>IF(AND(D9="",F9=""),"",N(D9)+N(F9))</f>
        <v/>
      </c>
    </row>
    <row r="10">
      <c r="A10" s="13">
        <f>IF(Produits!$A$9="","",Produits!$A$9)</f>
        <v/>
      </c>
      <c r="B10" s="14">
        <f>IF(Produits!$A$9="","",Produits!$B$9)</f>
        <v/>
      </c>
      <c r="C10" s="15">
        <f>IF(Produits!$A$9="","",Produits!$C$9)</f>
        <v/>
      </c>
      <c r="D10" s="8" t="n">
        <v>3</v>
      </c>
      <c r="E10" s="8" t="n">
        <v>5</v>
      </c>
      <c r="F10" s="8" t="n">
        <v>5</v>
      </c>
      <c r="G10" s="16">
        <f>IF(OR(E10="",F10=""),"",F10-E10)</f>
        <v/>
      </c>
      <c r="H10" s="16">
        <f>IF(AND(D10="",F10=""),"",N(D10)+N(F10))</f>
        <v/>
      </c>
    </row>
    <row r="11">
      <c r="A11" s="13">
        <f>IF(Produits!$A$10="","",Produits!$A$10)</f>
        <v/>
      </c>
      <c r="B11" s="14">
        <f>IF(Produits!$A$10="","",Produits!$B$10)</f>
        <v/>
      </c>
      <c r="C11" s="15">
        <f>IF(Produits!$A$10="","",Produits!$C$10)</f>
        <v/>
      </c>
      <c r="D11" s="8" t="n">
        <v>4</v>
      </c>
      <c r="E11" s="8" t="n">
        <v>12</v>
      </c>
      <c r="F11" s="8" t="n">
        <v>12</v>
      </c>
      <c r="G11" s="16">
        <f>IF(OR(E11="",F11=""),"",F11-E11)</f>
        <v/>
      </c>
      <c r="H11" s="16">
        <f>IF(AND(D11="",F11=""),"",N(D11)+N(F11))</f>
        <v/>
      </c>
    </row>
    <row r="12">
      <c r="A12" s="13">
        <f>IF(Produits!$A$11="","",Produits!$A$11)</f>
        <v/>
      </c>
      <c r="B12" s="14">
        <f>IF(Produits!$A$11="","",Produits!$B$11)</f>
        <v/>
      </c>
      <c r="C12" s="15">
        <f>IF(Produits!$A$11="","",Produits!$C$11)</f>
        <v/>
      </c>
      <c r="D12" s="8" t="n">
        <v>3</v>
      </c>
      <c r="E12" s="8" t="n">
        <v>6</v>
      </c>
      <c r="F12" s="8" t="n">
        <v>6</v>
      </c>
      <c r="G12" s="16">
        <f>IF(OR(E12="",F12=""),"",F12-E12)</f>
        <v/>
      </c>
      <c r="H12" s="16">
        <f>IF(AND(D12="",F12=""),"",N(D12)+N(F12))</f>
        <v/>
      </c>
    </row>
    <row r="13">
      <c r="A13" s="13">
        <f>IF(Produits!$A$12="","",Produits!$A$12)</f>
        <v/>
      </c>
      <c r="B13" s="14">
        <f>IF(Produits!$A$12="","",Produits!$B$12)</f>
        <v/>
      </c>
      <c r="C13" s="15">
        <f>IF(Produits!$A$12="","",Produits!$C$12)</f>
        <v/>
      </c>
      <c r="D13" s="8" t="n">
        <v>40</v>
      </c>
      <c r="E13" s="8" t="n">
        <v>90</v>
      </c>
      <c r="F13" s="8" t="n">
        <v>90</v>
      </c>
      <c r="G13" s="16">
        <f>IF(OR(E13="",F13=""),"",F13-E13)</f>
        <v/>
      </c>
      <c r="H13" s="16">
        <f>IF(AND(D13="",F13=""),"",N(D13)+N(F13))</f>
        <v/>
      </c>
    </row>
    <row r="14">
      <c r="A14" s="13">
        <f>IF(Produits!$A$13="","",Produits!$A$13)</f>
        <v/>
      </c>
      <c r="B14" s="14">
        <f>IF(Produits!$A$13="","",Produits!$B$13)</f>
        <v/>
      </c>
      <c r="C14" s="15">
        <f>IF(Produits!$A$13="","",Produits!$C$13)</f>
        <v/>
      </c>
      <c r="D14" s="8" t="n">
        <v>1.5</v>
      </c>
      <c r="E14" s="8" t="n">
        <v>3</v>
      </c>
      <c r="F14" s="8" t="n">
        <v>2</v>
      </c>
      <c r="G14" s="16">
        <f>IF(OR(E14="",F14=""),"",F14-E14)</f>
        <v/>
      </c>
      <c r="H14" s="16">
        <f>IF(AND(D14="",F14=""),"",N(D14)+N(F14))</f>
        <v/>
      </c>
    </row>
    <row r="15">
      <c r="A15" s="13">
        <f>IF(Produits!$A$14="","",Produits!$A$14)</f>
        <v/>
      </c>
      <c r="B15" s="14">
        <f>IF(Produits!$A$14="","",Produits!$B$14)</f>
        <v/>
      </c>
      <c r="C15" s="15">
        <f>IF(Produits!$A$14="","",Produits!$C$14)</f>
        <v/>
      </c>
      <c r="D15" s="8" t="n">
        <v>2</v>
      </c>
      <c r="E15" s="8" t="n">
        <v>2</v>
      </c>
      <c r="F15" s="8" t="n">
        <v>2</v>
      </c>
      <c r="G15" s="16">
        <f>IF(OR(E15="",F15=""),"",F15-E15)</f>
        <v/>
      </c>
      <c r="H15" s="16">
        <f>IF(AND(D15="",F15=""),"",N(D15)+N(F15))</f>
        <v/>
      </c>
    </row>
    <row r="16">
      <c r="A16" s="13">
        <f>IF(Produits!$A$15="","",Produits!$A$15)</f>
        <v/>
      </c>
      <c r="B16" s="14">
        <f>IF(Produits!$A$15="","",Produits!$B$15)</f>
        <v/>
      </c>
      <c r="C16" s="15">
        <f>IF(Produits!$A$15="","",Produits!$C$15)</f>
        <v/>
      </c>
      <c r="D16" s="8" t="n">
        <v>0.4</v>
      </c>
      <c r="E16" s="8" t="n">
        <v>1</v>
      </c>
      <c r="F16" s="8" t="n">
        <v>1</v>
      </c>
      <c r="G16" s="16">
        <f>IF(OR(E16="",F16=""),"",F16-E16)</f>
        <v/>
      </c>
      <c r="H16" s="16">
        <f>IF(AND(D16="",F16=""),"",N(D16)+N(F16))</f>
        <v/>
      </c>
    </row>
    <row r="17">
      <c r="A17" s="13">
        <f>IF(Produits!$A$16="","",Produits!$A$16)</f>
        <v/>
      </c>
      <c r="B17" s="14">
        <f>IF(Produits!$A$16="","",Produits!$B$16)</f>
        <v/>
      </c>
      <c r="C17" s="15">
        <f>IF(Produits!$A$16="","",Produits!$C$16)</f>
        <v/>
      </c>
      <c r="D17" s="8" t="n">
        <v>6</v>
      </c>
      <c r="E17" s="8" t="n">
        <v>0</v>
      </c>
      <c r="F17" s="8" t="n">
        <v>0</v>
      </c>
      <c r="G17" s="16">
        <f>IF(OR(E17="",F17=""),"",F17-E17)</f>
        <v/>
      </c>
      <c r="H17" s="16">
        <f>IF(AND(D17="",F17=""),"",N(D17)+N(F17))</f>
        <v/>
      </c>
    </row>
    <row r="18">
      <c r="A18" s="13">
        <f>IF(Produits!$A$17="","",Produits!$A$17)</f>
        <v/>
      </c>
      <c r="B18" s="14">
        <f>IF(Produits!$A$17="","",Produits!$B$17)</f>
        <v/>
      </c>
      <c r="C18" s="15">
        <f>IF(Produits!$A$17="","",Produits!$C$17)</f>
        <v/>
      </c>
      <c r="D18" s="10" t="n"/>
      <c r="E18" s="10" t="n"/>
      <c r="F18" s="10" t="n"/>
      <c r="G18" s="16">
        <f>IF(OR(E18="",F18=""),"",F18-E18)</f>
        <v/>
      </c>
      <c r="H18" s="16">
        <f>IF(AND(D18="",F18=""),"",N(D18)+N(F18))</f>
        <v/>
      </c>
    </row>
    <row r="19">
      <c r="A19" s="13">
        <f>IF(Produits!$A$18="","",Produits!$A$18)</f>
        <v/>
      </c>
      <c r="B19" s="14">
        <f>IF(Produits!$A$18="","",Produits!$B$18)</f>
        <v/>
      </c>
      <c r="C19" s="15">
        <f>IF(Produits!$A$18="","",Produits!$C$18)</f>
        <v/>
      </c>
      <c r="D19" s="10" t="n"/>
      <c r="E19" s="10" t="n"/>
      <c r="F19" s="10" t="n"/>
      <c r="G19" s="16">
        <f>IF(OR(E19="",F19=""),"",F19-E19)</f>
        <v/>
      </c>
      <c r="H19" s="16">
        <f>IF(AND(D19="",F19=""),"",N(D19)+N(F19))</f>
        <v/>
      </c>
    </row>
    <row r="20">
      <c r="A20" s="13">
        <f>IF(Produits!$A$19="","",Produits!$A$19)</f>
        <v/>
      </c>
      <c r="B20" s="14">
        <f>IF(Produits!$A$19="","",Produits!$B$19)</f>
        <v/>
      </c>
      <c r="C20" s="15">
        <f>IF(Produits!$A$19="","",Produits!$C$19)</f>
        <v/>
      </c>
      <c r="D20" s="10" t="n"/>
      <c r="E20" s="10" t="n"/>
      <c r="F20" s="10" t="n"/>
      <c r="G20" s="16">
        <f>IF(OR(E20="",F20=""),"",F20-E20)</f>
        <v/>
      </c>
      <c r="H20" s="16">
        <f>IF(AND(D20="",F20=""),"",N(D20)+N(F20))</f>
        <v/>
      </c>
    </row>
    <row r="21">
      <c r="A21" s="13">
        <f>IF(Produits!$A$20="","",Produits!$A$20)</f>
        <v/>
      </c>
      <c r="B21" s="14">
        <f>IF(Produits!$A$20="","",Produits!$B$20)</f>
        <v/>
      </c>
      <c r="C21" s="15">
        <f>IF(Produits!$A$20="","",Produits!$C$20)</f>
        <v/>
      </c>
      <c r="D21" s="10" t="n"/>
      <c r="E21" s="10" t="n"/>
      <c r="F21" s="10" t="n"/>
      <c r="G21" s="16">
        <f>IF(OR(E21="",F21=""),"",F21-E21)</f>
        <v/>
      </c>
      <c r="H21" s="16">
        <f>IF(AND(D21="",F21=""),"",N(D21)+N(F21))</f>
        <v/>
      </c>
    </row>
    <row r="22">
      <c r="A22" s="13">
        <f>IF(Produits!$A$21="","",Produits!$A$21)</f>
        <v/>
      </c>
      <c r="B22" s="14">
        <f>IF(Produits!$A$21="","",Produits!$B$21)</f>
        <v/>
      </c>
      <c r="C22" s="15">
        <f>IF(Produits!$A$21="","",Produits!$C$21)</f>
        <v/>
      </c>
      <c r="D22" s="10" t="n"/>
      <c r="E22" s="10" t="n"/>
      <c r="F22" s="10" t="n"/>
      <c r="G22" s="16">
        <f>IF(OR(E22="",F22=""),"",F22-E22)</f>
        <v/>
      </c>
      <c r="H22" s="16">
        <f>IF(AND(D22="",F22=""),"",N(D22)+N(F22))</f>
        <v/>
      </c>
    </row>
    <row r="23">
      <c r="A23" s="13">
        <f>IF(Produits!$A$22="","",Produits!$A$22)</f>
        <v/>
      </c>
      <c r="B23" s="14">
        <f>IF(Produits!$A$22="","",Produits!$B$22)</f>
        <v/>
      </c>
      <c r="C23" s="15">
        <f>IF(Produits!$A$22="","",Produits!$C$22)</f>
        <v/>
      </c>
      <c r="D23" s="10" t="n"/>
      <c r="E23" s="10" t="n"/>
      <c r="F23" s="10" t="n"/>
      <c r="G23" s="16">
        <f>IF(OR(E23="",F23=""),"",F23-E23)</f>
        <v/>
      </c>
      <c r="H23" s="16">
        <f>IF(AND(D23="",F23=""),"",N(D23)+N(F23))</f>
        <v/>
      </c>
    </row>
    <row r="24">
      <c r="A24" s="13">
        <f>IF(Produits!$A$23="","",Produits!$A$23)</f>
        <v/>
      </c>
      <c r="B24" s="14">
        <f>IF(Produits!$A$23="","",Produits!$B$23)</f>
        <v/>
      </c>
      <c r="C24" s="15">
        <f>IF(Produits!$A$23="","",Produits!$C$23)</f>
        <v/>
      </c>
      <c r="D24" s="10" t="n"/>
      <c r="E24" s="10" t="n"/>
      <c r="F24" s="10" t="n"/>
      <c r="G24" s="16">
        <f>IF(OR(E24="",F24=""),"",F24-E24)</f>
        <v/>
      </c>
      <c r="H24" s="16">
        <f>IF(AND(D24="",F24=""),"",N(D24)+N(F24))</f>
        <v/>
      </c>
    </row>
    <row r="25">
      <c r="A25" s="13">
        <f>IF(Produits!$A$24="","",Produits!$A$24)</f>
        <v/>
      </c>
      <c r="B25" s="14">
        <f>IF(Produits!$A$24="","",Produits!$B$24)</f>
        <v/>
      </c>
      <c r="C25" s="15">
        <f>IF(Produits!$A$24="","",Produits!$C$24)</f>
        <v/>
      </c>
      <c r="D25" s="10" t="n"/>
      <c r="E25" s="10" t="n"/>
      <c r="F25" s="10" t="n"/>
      <c r="G25" s="16">
        <f>IF(OR(E25="",F25=""),"",F25-E25)</f>
        <v/>
      </c>
      <c r="H25" s="16">
        <f>IF(AND(D25="",F25=""),"",N(D25)+N(F25))</f>
        <v/>
      </c>
    </row>
    <row r="26">
      <c r="A26" s="13">
        <f>IF(Produits!$A$25="","",Produits!$A$25)</f>
        <v/>
      </c>
      <c r="B26" s="14">
        <f>IF(Produits!$A$25="","",Produits!$B$25)</f>
        <v/>
      </c>
      <c r="C26" s="15">
        <f>IF(Produits!$A$25="","",Produits!$C$25)</f>
        <v/>
      </c>
      <c r="D26" s="10" t="n"/>
      <c r="E26" s="10" t="n"/>
      <c r="F26" s="10" t="n"/>
      <c r="G26" s="16">
        <f>IF(OR(E26="",F26=""),"",F26-E26)</f>
        <v/>
      </c>
      <c r="H26" s="16">
        <f>IF(AND(D26="",F26=""),"",N(D26)+N(F26))</f>
        <v/>
      </c>
    </row>
    <row r="27">
      <c r="A27" s="13">
        <f>IF(Produits!$A$26="","",Produits!$A$26)</f>
        <v/>
      </c>
      <c r="B27" s="14">
        <f>IF(Produits!$A$26="","",Produits!$B$26)</f>
        <v/>
      </c>
      <c r="C27" s="15">
        <f>IF(Produits!$A$26="","",Produits!$C$26)</f>
        <v/>
      </c>
      <c r="D27" s="10" t="n"/>
      <c r="E27" s="10" t="n"/>
      <c r="F27" s="10" t="n"/>
      <c r="G27" s="16">
        <f>IF(OR(E27="",F27=""),"",F27-E27)</f>
        <v/>
      </c>
      <c r="H27" s="16">
        <f>IF(AND(D27="",F27=""),"",N(D27)+N(F27))</f>
        <v/>
      </c>
    </row>
    <row r="28">
      <c r="A28" s="13">
        <f>IF(Produits!$A$27="","",Produits!$A$27)</f>
        <v/>
      </c>
      <c r="B28" s="14">
        <f>IF(Produits!$A$27="","",Produits!$B$27)</f>
        <v/>
      </c>
      <c r="C28" s="15">
        <f>IF(Produits!$A$27="","",Produits!$C$27)</f>
        <v/>
      </c>
      <c r="D28" s="10" t="n"/>
      <c r="E28" s="10" t="n"/>
      <c r="F28" s="10" t="n"/>
      <c r="G28" s="16">
        <f>IF(OR(E28="",F28=""),"",F28-E28)</f>
        <v/>
      </c>
      <c r="H28" s="16">
        <f>IF(AND(D28="",F28=""),"",N(D28)+N(F28))</f>
        <v/>
      </c>
    </row>
    <row r="29">
      <c r="A29" s="13">
        <f>IF(Produits!$A$28="","",Produits!$A$28)</f>
        <v/>
      </c>
      <c r="B29" s="14">
        <f>IF(Produits!$A$28="","",Produits!$B$28)</f>
        <v/>
      </c>
      <c r="C29" s="15">
        <f>IF(Produits!$A$28="","",Produits!$C$28)</f>
        <v/>
      </c>
      <c r="D29" s="10" t="n"/>
      <c r="E29" s="10" t="n"/>
      <c r="F29" s="10" t="n"/>
      <c r="G29" s="16">
        <f>IF(OR(E29="",F29=""),"",F29-E29)</f>
        <v/>
      </c>
      <c r="H29" s="16">
        <f>IF(AND(D29="",F29=""),"",N(D29)+N(F29))</f>
        <v/>
      </c>
    </row>
    <row r="30">
      <c r="A30" s="13">
        <f>IF(Produits!$A$29="","",Produits!$A$29)</f>
        <v/>
      </c>
      <c r="B30" s="14">
        <f>IF(Produits!$A$29="","",Produits!$B$29)</f>
        <v/>
      </c>
      <c r="C30" s="15">
        <f>IF(Produits!$A$29="","",Produits!$C$29)</f>
        <v/>
      </c>
      <c r="D30" s="10" t="n"/>
      <c r="E30" s="10" t="n"/>
      <c r="F30" s="10" t="n"/>
      <c r="G30" s="16">
        <f>IF(OR(E30="",F30=""),"",F30-E30)</f>
        <v/>
      </c>
      <c r="H30" s="16">
        <f>IF(AND(D30="",F30=""),"",N(D30)+N(F30))</f>
        <v/>
      </c>
    </row>
    <row r="31">
      <c r="A31" s="13">
        <f>IF(Produits!$A$30="","",Produits!$A$30)</f>
        <v/>
      </c>
      <c r="B31" s="14">
        <f>IF(Produits!$A$30="","",Produits!$B$30)</f>
        <v/>
      </c>
      <c r="C31" s="15">
        <f>IF(Produits!$A$30="","",Produits!$C$30)</f>
        <v/>
      </c>
      <c r="D31" s="10" t="n"/>
      <c r="E31" s="10" t="n"/>
      <c r="F31" s="10" t="n"/>
      <c r="G31" s="16">
        <f>IF(OR(E31="",F31=""),"",F31-E31)</f>
        <v/>
      </c>
      <c r="H31" s="16">
        <f>IF(AND(D31="",F31=""),"",N(D31)+N(F31))</f>
        <v/>
      </c>
    </row>
    <row r="32">
      <c r="A32" s="13">
        <f>IF(Produits!$A$31="","",Produits!$A$31)</f>
        <v/>
      </c>
      <c r="B32" s="14">
        <f>IF(Produits!$A$31="","",Produits!$B$31)</f>
        <v/>
      </c>
      <c r="C32" s="15">
        <f>IF(Produits!$A$31="","",Produits!$C$31)</f>
        <v/>
      </c>
      <c r="D32" s="10" t="n"/>
      <c r="E32" s="10" t="n"/>
      <c r="F32" s="10" t="n"/>
      <c r="G32" s="16">
        <f>IF(OR(E32="",F32=""),"",F32-E32)</f>
        <v/>
      </c>
      <c r="H32" s="16">
        <f>IF(AND(D32="",F32=""),"",N(D32)+N(F32))</f>
        <v/>
      </c>
    </row>
    <row r="33">
      <c r="A33" s="13">
        <f>IF(Produits!$A$32="","",Produits!$A$32)</f>
        <v/>
      </c>
      <c r="B33" s="14">
        <f>IF(Produits!$A$32="","",Produits!$B$32)</f>
        <v/>
      </c>
      <c r="C33" s="15">
        <f>IF(Produits!$A$32="","",Produits!$C$32)</f>
        <v/>
      </c>
      <c r="D33" s="10" t="n"/>
      <c r="E33" s="10" t="n"/>
      <c r="F33" s="10" t="n"/>
      <c r="G33" s="16">
        <f>IF(OR(E33="",F33=""),"",F33-E33)</f>
        <v/>
      </c>
      <c r="H33" s="16">
        <f>IF(AND(D33="",F33=""),"",N(D33)+N(F33))</f>
        <v/>
      </c>
    </row>
    <row r="34">
      <c r="A34" s="13">
        <f>IF(Produits!$A$33="","",Produits!$A$33)</f>
        <v/>
      </c>
      <c r="B34" s="14">
        <f>IF(Produits!$A$33="","",Produits!$B$33)</f>
        <v/>
      </c>
      <c r="C34" s="15">
        <f>IF(Produits!$A$33="","",Produits!$C$33)</f>
        <v/>
      </c>
      <c r="D34" s="10" t="n"/>
      <c r="E34" s="10" t="n"/>
      <c r="F34" s="10" t="n"/>
      <c r="G34" s="16">
        <f>IF(OR(E34="",F34=""),"",F34-E34)</f>
        <v/>
      </c>
      <c r="H34" s="16">
        <f>IF(AND(D34="",F34=""),"",N(D34)+N(F34))</f>
        <v/>
      </c>
    </row>
    <row r="35">
      <c r="A35" s="13">
        <f>IF(Produits!$A$34="","",Produits!$A$34)</f>
        <v/>
      </c>
      <c r="B35" s="14">
        <f>IF(Produits!$A$34="","",Produits!$B$34)</f>
        <v/>
      </c>
      <c r="C35" s="15">
        <f>IF(Produits!$A$34="","",Produits!$C$34)</f>
        <v/>
      </c>
      <c r="D35" s="10" t="n"/>
      <c r="E35" s="10" t="n"/>
      <c r="F35" s="10" t="n"/>
      <c r="G35" s="16">
        <f>IF(OR(E35="",F35=""),"",F35-E35)</f>
        <v/>
      </c>
      <c r="H35" s="16">
        <f>IF(AND(D35="",F35=""),"",N(D35)+N(F35))</f>
        <v/>
      </c>
    </row>
    <row r="36">
      <c r="A36" s="13">
        <f>IF(Produits!$A$35="","",Produits!$A$35)</f>
        <v/>
      </c>
      <c r="B36" s="14">
        <f>IF(Produits!$A$35="","",Produits!$B$35)</f>
        <v/>
      </c>
      <c r="C36" s="15">
        <f>IF(Produits!$A$35="","",Produits!$C$35)</f>
        <v/>
      </c>
      <c r="D36" s="10" t="n"/>
      <c r="E36" s="10" t="n"/>
      <c r="F36" s="10" t="n"/>
      <c r="G36" s="16">
        <f>IF(OR(E36="",F36=""),"",F36-E36)</f>
        <v/>
      </c>
      <c r="H36" s="16">
        <f>IF(AND(D36="",F36=""),"",N(D36)+N(F36))</f>
        <v/>
      </c>
    </row>
    <row r="37">
      <c r="A37" s="13">
        <f>IF(Produits!$A$36="","",Produits!$A$36)</f>
        <v/>
      </c>
      <c r="B37" s="14">
        <f>IF(Produits!$A$36="","",Produits!$B$36)</f>
        <v/>
      </c>
      <c r="C37" s="15">
        <f>IF(Produits!$A$36="","",Produits!$C$36)</f>
        <v/>
      </c>
      <c r="D37" s="10" t="n"/>
      <c r="E37" s="10" t="n"/>
      <c r="F37" s="10" t="n"/>
      <c r="G37" s="16">
        <f>IF(OR(E37="",F37=""),"",F37-E37)</f>
        <v/>
      </c>
      <c r="H37" s="16">
        <f>IF(AND(D37="",F37=""),"",N(D37)+N(F37))</f>
        <v/>
      </c>
    </row>
    <row r="38">
      <c r="A38" s="13">
        <f>IF(Produits!$A$37="","",Produits!$A$37)</f>
        <v/>
      </c>
      <c r="B38" s="14">
        <f>IF(Produits!$A$37="","",Produits!$B$37)</f>
        <v/>
      </c>
      <c r="C38" s="15">
        <f>IF(Produits!$A$37="","",Produits!$C$37)</f>
        <v/>
      </c>
      <c r="D38" s="10" t="n"/>
      <c r="E38" s="10" t="n"/>
      <c r="F38" s="10" t="n"/>
      <c r="G38" s="16">
        <f>IF(OR(E38="",F38=""),"",F38-E38)</f>
        <v/>
      </c>
      <c r="H38" s="16">
        <f>IF(AND(D38="",F38=""),"",N(D38)+N(F38))</f>
        <v/>
      </c>
    </row>
    <row r="39">
      <c r="A39" s="13">
        <f>IF(Produits!$A$38="","",Produits!$A$38)</f>
        <v/>
      </c>
      <c r="B39" s="14">
        <f>IF(Produits!$A$38="","",Produits!$B$38)</f>
        <v/>
      </c>
      <c r="C39" s="15">
        <f>IF(Produits!$A$38="","",Produits!$C$38)</f>
        <v/>
      </c>
      <c r="D39" s="10" t="n"/>
      <c r="E39" s="10" t="n"/>
      <c r="F39" s="10" t="n"/>
      <c r="G39" s="16">
        <f>IF(OR(E39="",F39=""),"",F39-E39)</f>
        <v/>
      </c>
      <c r="H39" s="16">
        <f>IF(AND(D39="",F39=""),"",N(D39)+N(F39))</f>
        <v/>
      </c>
    </row>
    <row r="40">
      <c r="A40" s="13">
        <f>IF(Produits!$A$39="","",Produits!$A$39)</f>
        <v/>
      </c>
      <c r="B40" s="14">
        <f>IF(Produits!$A$39="","",Produits!$B$39)</f>
        <v/>
      </c>
      <c r="C40" s="15">
        <f>IF(Produits!$A$39="","",Produits!$C$39)</f>
        <v/>
      </c>
      <c r="D40" s="10" t="n"/>
      <c r="E40" s="10" t="n"/>
      <c r="F40" s="10" t="n"/>
      <c r="G40" s="16">
        <f>IF(OR(E40="",F40=""),"",F40-E40)</f>
        <v/>
      </c>
      <c r="H40" s="16">
        <f>IF(AND(D40="",F40=""),"",N(D40)+N(F40))</f>
        <v/>
      </c>
    </row>
    <row r="41">
      <c r="A41" s="13">
        <f>IF(Produits!$A$40="","",Produits!$A$40)</f>
        <v/>
      </c>
      <c r="B41" s="14">
        <f>IF(Produits!$A$40="","",Produits!$B$40)</f>
        <v/>
      </c>
      <c r="C41" s="15">
        <f>IF(Produits!$A$40="","",Produits!$C$40)</f>
        <v/>
      </c>
      <c r="D41" s="10" t="n"/>
      <c r="E41" s="10" t="n"/>
      <c r="F41" s="10" t="n"/>
      <c r="G41" s="16">
        <f>IF(OR(E41="",F41=""),"",F41-E41)</f>
        <v/>
      </c>
      <c r="H41" s="16">
        <f>IF(AND(D41="",F41=""),"",N(D41)+N(F41))</f>
        <v/>
      </c>
    </row>
    <row r="42">
      <c r="A42" s="13">
        <f>IF(Produits!$A$41="","",Produits!$A$41)</f>
        <v/>
      </c>
      <c r="B42" s="14">
        <f>IF(Produits!$A$41="","",Produits!$B$41)</f>
        <v/>
      </c>
      <c r="C42" s="15">
        <f>IF(Produits!$A$41="","",Produits!$C$41)</f>
        <v/>
      </c>
      <c r="D42" s="10" t="n"/>
      <c r="E42" s="10" t="n"/>
      <c r="F42" s="10" t="n"/>
      <c r="G42" s="16">
        <f>IF(OR(E42="",F42=""),"",F42-E42)</f>
        <v/>
      </c>
      <c r="H42" s="16">
        <f>IF(AND(D42="",F42=""),"",N(D42)+N(F42))</f>
        <v/>
      </c>
    </row>
    <row r="43">
      <c r="A43" s="13">
        <f>IF(Produits!$A$42="","",Produits!$A$42)</f>
        <v/>
      </c>
      <c r="B43" s="14">
        <f>IF(Produits!$A$42="","",Produits!$B$42)</f>
        <v/>
      </c>
      <c r="C43" s="15">
        <f>IF(Produits!$A$42="","",Produits!$C$42)</f>
        <v/>
      </c>
      <c r="D43" s="10" t="n"/>
      <c r="E43" s="10" t="n"/>
      <c r="F43" s="10" t="n"/>
      <c r="G43" s="16">
        <f>IF(OR(E43="",F43=""),"",F43-E43)</f>
        <v/>
      </c>
      <c r="H43" s="16">
        <f>IF(AND(D43="",F43=""),"",N(D43)+N(F43))</f>
        <v/>
      </c>
    </row>
    <row r="44">
      <c r="A44" s="13">
        <f>IF(Produits!$A$43="","",Produits!$A$43)</f>
        <v/>
      </c>
      <c r="B44" s="14">
        <f>IF(Produits!$A$43="","",Produits!$B$43)</f>
        <v/>
      </c>
      <c r="C44" s="15">
        <f>IF(Produits!$A$43="","",Produits!$C$43)</f>
        <v/>
      </c>
      <c r="D44" s="10" t="n"/>
      <c r="E44" s="10" t="n"/>
      <c r="F44" s="10" t="n"/>
      <c r="G44" s="16">
        <f>IF(OR(E44="",F44=""),"",F44-E44)</f>
        <v/>
      </c>
      <c r="H44" s="16">
        <f>IF(AND(D44="",F44=""),"",N(D44)+N(F44))</f>
        <v/>
      </c>
    </row>
    <row r="45">
      <c r="A45" s="13">
        <f>IF(Produits!$A$44="","",Produits!$A$44)</f>
        <v/>
      </c>
      <c r="B45" s="14">
        <f>IF(Produits!$A$44="","",Produits!$B$44)</f>
        <v/>
      </c>
      <c r="C45" s="15">
        <f>IF(Produits!$A$44="","",Produits!$C$44)</f>
        <v/>
      </c>
      <c r="D45" s="10" t="n"/>
      <c r="E45" s="10" t="n"/>
      <c r="F45" s="10" t="n"/>
      <c r="G45" s="16">
        <f>IF(OR(E45="",F45=""),"",F45-E45)</f>
        <v/>
      </c>
      <c r="H45" s="16">
        <f>IF(AND(D45="",F45=""),"",N(D45)+N(F45))</f>
        <v/>
      </c>
    </row>
  </sheetData>
  <conditionalFormatting sqref="G6:G45">
    <cfRule type="expression" priority="1" dxfId="0">
      <formula>AND(ISNUMBER(G6),G6&lt;0)</formula>
    </cfRule>
  </conditionalFormatting>
  <dataValidations count="1">
    <dataValidation sqref="D6:F45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8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</cols>
  <sheetData>
    <row r="1" ht="26" customHeight="1">
      <c r="A1" s="1" t="inlineStr">
        <is>
          <t>Semaine 2</t>
        </is>
      </c>
    </row>
    <row r="2">
      <c r="A2" s="2" t="inlineStr">
        <is>
          <t>Stock = ce qu'il reste · Commandé = ce que tu demandes · Reçu = ce qui est arrivé</t>
        </is>
      </c>
    </row>
    <row r="3">
      <c r="A3" s="11" t="inlineStr">
        <is>
          <t>Date du comptage :</t>
        </is>
      </c>
      <c r="B3" s="12" t="n"/>
    </row>
    <row r="5">
      <c r="A5" s="6" t="inlineStr">
        <is>
          <t>Produit</t>
        </is>
      </c>
      <c r="B5" s="6" t="inlineStr">
        <is>
          <t>Fournisseur</t>
        </is>
      </c>
      <c r="C5" s="6" t="inlineStr">
        <is>
          <t>Unité</t>
        </is>
      </c>
      <c r="D5" s="6" t="inlineStr">
        <is>
          <t>Stock</t>
        </is>
      </c>
      <c r="E5" s="6" t="inlineStr">
        <is>
          <t>Commandé</t>
        </is>
      </c>
      <c r="F5" s="6" t="inlineStr">
        <is>
          <t>Reçu</t>
        </is>
      </c>
      <c r="G5" s="6" t="inlineStr">
        <is>
          <t>Écart</t>
        </is>
      </c>
      <c r="H5" s="6" t="inlineStr">
        <is>
          <t>Total dispo</t>
        </is>
      </c>
    </row>
    <row r="6">
      <c r="A6" s="13">
        <f>IF(Produits!$A$5="","",Produits!$A$5)</f>
        <v/>
      </c>
      <c r="B6" s="14">
        <f>IF(Produits!$A$5="","",Produits!$B$5)</f>
        <v/>
      </c>
      <c r="C6" s="15">
        <f>IF(Produits!$A$5="","",Produits!$C$5)</f>
        <v/>
      </c>
      <c r="D6" s="8" t="n">
        <v>5</v>
      </c>
      <c r="E6" s="8" t="n">
        <v>10</v>
      </c>
      <c r="F6" s="8" t="n">
        <v>10</v>
      </c>
      <c r="G6" s="16">
        <f>IF(OR(E6="",F6=""),"",F6-E6)</f>
        <v/>
      </c>
      <c r="H6" s="16">
        <f>IF(AND(D6="",F6=""),"",N(D6)+N(F6))</f>
        <v/>
      </c>
    </row>
    <row r="7">
      <c r="A7" s="13">
        <f>IF(Produits!$A$6="","",Produits!$A$6)</f>
        <v/>
      </c>
      <c r="B7" s="14">
        <f>IF(Produits!$A$6="","",Produits!$B$6)</f>
        <v/>
      </c>
      <c r="C7" s="15">
        <f>IF(Produits!$A$6="","",Produits!$C$6)</f>
        <v/>
      </c>
      <c r="D7" s="8" t="n">
        <v>3</v>
      </c>
      <c r="E7" s="8" t="n">
        <v>3</v>
      </c>
      <c r="F7" s="8" t="n">
        <v>3</v>
      </c>
      <c r="G7" s="16">
        <f>IF(OR(E7="",F7=""),"",F7-E7)</f>
        <v/>
      </c>
      <c r="H7" s="16">
        <f>IF(AND(D7="",F7=""),"",N(D7)+N(F7))</f>
        <v/>
      </c>
    </row>
    <row r="8">
      <c r="A8" s="13">
        <f>IF(Produits!$A$7="","",Produits!$A$7)</f>
        <v/>
      </c>
      <c r="B8" s="14">
        <f>IF(Produits!$A$7="","",Produits!$B$7)</f>
        <v/>
      </c>
      <c r="C8" s="15">
        <f>IF(Produits!$A$7="","",Produits!$C$7)</f>
        <v/>
      </c>
      <c r="D8" s="8" t="n">
        <v>7</v>
      </c>
      <c r="E8" s="8" t="n">
        <v>5</v>
      </c>
      <c r="F8" s="8" t="n">
        <v>5</v>
      </c>
      <c r="G8" s="16">
        <f>IF(OR(E8="",F8=""),"",F8-E8)</f>
        <v/>
      </c>
      <c r="H8" s="16">
        <f>IF(AND(D8="",F8=""),"",N(D8)+N(F8))</f>
        <v/>
      </c>
    </row>
    <row r="9">
      <c r="A9" s="13">
        <f>IF(Produits!$A$8="","",Produits!$A$8)</f>
        <v/>
      </c>
      <c r="B9" s="14">
        <f>IF(Produits!$A$8="","",Produits!$B$8)</f>
        <v/>
      </c>
      <c r="C9" s="15">
        <f>IF(Produits!$A$8="","",Produits!$C$8)</f>
        <v/>
      </c>
      <c r="D9" s="8" t="n">
        <v>2</v>
      </c>
      <c r="E9" s="8" t="n">
        <v>0</v>
      </c>
      <c r="F9" s="8" t="n">
        <v>0</v>
      </c>
      <c r="G9" s="16">
        <f>IF(OR(E9="",F9=""),"",F9-E9)</f>
        <v/>
      </c>
      <c r="H9" s="16">
        <f>IF(AND(D9="",F9=""),"",N(D9)+N(F9))</f>
        <v/>
      </c>
    </row>
    <row r="10">
      <c r="A10" s="13">
        <f>IF(Produits!$A$9="","",Produits!$A$9)</f>
        <v/>
      </c>
      <c r="B10" s="14">
        <f>IF(Produits!$A$9="","",Produits!$B$9)</f>
        <v/>
      </c>
      <c r="C10" s="15">
        <f>IF(Produits!$A$9="","",Produits!$C$9)</f>
        <v/>
      </c>
      <c r="D10" s="8" t="n">
        <v>4</v>
      </c>
      <c r="E10" s="8" t="n">
        <v>5</v>
      </c>
      <c r="F10" s="8" t="n">
        <v>5</v>
      </c>
      <c r="G10" s="16">
        <f>IF(OR(E10="",F10=""),"",F10-E10)</f>
        <v/>
      </c>
      <c r="H10" s="16">
        <f>IF(AND(D10="",F10=""),"",N(D10)+N(F10))</f>
        <v/>
      </c>
    </row>
    <row r="11">
      <c r="A11" s="13">
        <f>IF(Produits!$A$10="","",Produits!$A$10)</f>
        <v/>
      </c>
      <c r="B11" s="14">
        <f>IF(Produits!$A$10="","",Produits!$B$10)</f>
        <v/>
      </c>
      <c r="C11" s="15">
        <f>IF(Produits!$A$10="","",Produits!$C$10)</f>
        <v/>
      </c>
      <c r="D11" s="8" t="n">
        <v>5</v>
      </c>
      <c r="E11" s="8" t="n">
        <v>10</v>
      </c>
      <c r="F11" s="8" t="n">
        <v>10</v>
      </c>
      <c r="G11" s="16">
        <f>IF(OR(E11="",F11=""),"",F11-E11)</f>
        <v/>
      </c>
      <c r="H11" s="16">
        <f>IF(AND(D11="",F11=""),"",N(D11)+N(F11))</f>
        <v/>
      </c>
    </row>
    <row r="12">
      <c r="A12" s="13">
        <f>IF(Produits!$A$11="","",Produits!$A$11)</f>
        <v/>
      </c>
      <c r="B12" s="14">
        <f>IF(Produits!$A$11="","",Produits!$B$11)</f>
        <v/>
      </c>
      <c r="C12" s="15">
        <f>IF(Produits!$A$11="","",Produits!$C$11)</f>
        <v/>
      </c>
      <c r="D12" s="8" t="n">
        <v>4</v>
      </c>
      <c r="E12" s="8" t="n">
        <v>6</v>
      </c>
      <c r="F12" s="8" t="n">
        <v>6</v>
      </c>
      <c r="G12" s="16">
        <f>IF(OR(E12="",F12=""),"",F12-E12)</f>
        <v/>
      </c>
      <c r="H12" s="16">
        <f>IF(AND(D12="",F12=""),"",N(D12)+N(F12))</f>
        <v/>
      </c>
    </row>
    <row r="13">
      <c r="A13" s="13">
        <f>IF(Produits!$A$12="","",Produits!$A$12)</f>
        <v/>
      </c>
      <c r="B13" s="14">
        <f>IF(Produits!$A$12="","",Produits!$B$12)</f>
        <v/>
      </c>
      <c r="C13" s="15">
        <f>IF(Produits!$A$12="","",Produits!$C$12)</f>
        <v/>
      </c>
      <c r="D13" s="8" t="n">
        <v>50</v>
      </c>
      <c r="E13" s="8" t="n">
        <v>60</v>
      </c>
      <c r="F13" s="8" t="n">
        <v>60</v>
      </c>
      <c r="G13" s="16">
        <f>IF(OR(E13="",F13=""),"",F13-E13)</f>
        <v/>
      </c>
      <c r="H13" s="16">
        <f>IF(AND(D13="",F13=""),"",N(D13)+N(F13))</f>
        <v/>
      </c>
    </row>
    <row r="14">
      <c r="A14" s="13">
        <f>IF(Produits!$A$13="","",Produits!$A$13)</f>
        <v/>
      </c>
      <c r="B14" s="14">
        <f>IF(Produits!$A$13="","",Produits!$B$13)</f>
        <v/>
      </c>
      <c r="C14" s="15">
        <f>IF(Produits!$A$13="","",Produits!$C$13)</f>
        <v/>
      </c>
      <c r="D14" s="8" t="n">
        <v>2</v>
      </c>
      <c r="E14" s="8" t="n">
        <v>2</v>
      </c>
      <c r="F14" s="8" t="n">
        <v>2</v>
      </c>
      <c r="G14" s="16">
        <f>IF(OR(E14="",F14=""),"",F14-E14)</f>
        <v/>
      </c>
      <c r="H14" s="16">
        <f>IF(AND(D14="",F14=""),"",N(D14)+N(F14))</f>
        <v/>
      </c>
    </row>
    <row r="15">
      <c r="A15" s="13">
        <f>IF(Produits!$A$14="","",Produits!$A$14)</f>
        <v/>
      </c>
      <c r="B15" s="14">
        <f>IF(Produits!$A$14="","",Produits!$B$14)</f>
        <v/>
      </c>
      <c r="C15" s="15">
        <f>IF(Produits!$A$14="","",Produits!$C$14)</f>
        <v/>
      </c>
      <c r="D15" s="8" t="n">
        <v>2</v>
      </c>
      <c r="E15" s="8" t="n">
        <v>2</v>
      </c>
      <c r="F15" s="8" t="n">
        <v>2</v>
      </c>
      <c r="G15" s="16">
        <f>IF(OR(E15="",F15=""),"",F15-E15)</f>
        <v/>
      </c>
      <c r="H15" s="16">
        <f>IF(AND(D15="",F15=""),"",N(D15)+N(F15))</f>
        <v/>
      </c>
    </row>
    <row r="16">
      <c r="A16" s="13">
        <f>IF(Produits!$A$15="","",Produits!$A$15)</f>
        <v/>
      </c>
      <c r="B16" s="14">
        <f>IF(Produits!$A$15="","",Produits!$B$15)</f>
        <v/>
      </c>
      <c r="C16" s="15">
        <f>IF(Produits!$A$15="","",Produits!$C$15)</f>
        <v/>
      </c>
      <c r="D16" s="8" t="n">
        <v>0.6</v>
      </c>
      <c r="E16" s="8" t="n">
        <v>0</v>
      </c>
      <c r="F16" s="8" t="n">
        <v>0</v>
      </c>
      <c r="G16" s="16">
        <f>IF(OR(E16="",F16=""),"",F16-E16)</f>
        <v/>
      </c>
      <c r="H16" s="16">
        <f>IF(AND(D16="",F16=""),"",N(D16)+N(F16))</f>
        <v/>
      </c>
    </row>
    <row r="17">
      <c r="A17" s="13">
        <f>IF(Produits!$A$16="","",Produits!$A$16)</f>
        <v/>
      </c>
      <c r="B17" s="14">
        <f>IF(Produits!$A$16="","",Produits!$B$16)</f>
        <v/>
      </c>
      <c r="C17" s="15">
        <f>IF(Produits!$A$16="","",Produits!$C$16)</f>
        <v/>
      </c>
      <c r="D17" s="8" t="n">
        <v>6</v>
      </c>
      <c r="E17" s="8" t="n">
        <v>0</v>
      </c>
      <c r="F17" s="8" t="n">
        <v>0</v>
      </c>
      <c r="G17" s="16">
        <f>IF(OR(E17="",F17=""),"",F17-E17)</f>
        <v/>
      </c>
      <c r="H17" s="16">
        <f>IF(AND(D17="",F17=""),"",N(D17)+N(F17))</f>
        <v/>
      </c>
    </row>
    <row r="18">
      <c r="A18" s="13">
        <f>IF(Produits!$A$17="","",Produits!$A$17)</f>
        <v/>
      </c>
      <c r="B18" s="14">
        <f>IF(Produits!$A$17="","",Produits!$B$17)</f>
        <v/>
      </c>
      <c r="C18" s="15">
        <f>IF(Produits!$A$17="","",Produits!$C$17)</f>
        <v/>
      </c>
      <c r="D18" s="10" t="n"/>
      <c r="E18" s="10" t="n"/>
      <c r="F18" s="10" t="n"/>
      <c r="G18" s="16">
        <f>IF(OR(E18="",F18=""),"",F18-E18)</f>
        <v/>
      </c>
      <c r="H18" s="16">
        <f>IF(AND(D18="",F18=""),"",N(D18)+N(F18))</f>
        <v/>
      </c>
    </row>
    <row r="19">
      <c r="A19" s="13">
        <f>IF(Produits!$A$18="","",Produits!$A$18)</f>
        <v/>
      </c>
      <c r="B19" s="14">
        <f>IF(Produits!$A$18="","",Produits!$B$18)</f>
        <v/>
      </c>
      <c r="C19" s="15">
        <f>IF(Produits!$A$18="","",Produits!$C$18)</f>
        <v/>
      </c>
      <c r="D19" s="10" t="n"/>
      <c r="E19" s="10" t="n"/>
      <c r="F19" s="10" t="n"/>
      <c r="G19" s="16">
        <f>IF(OR(E19="",F19=""),"",F19-E19)</f>
        <v/>
      </c>
      <c r="H19" s="16">
        <f>IF(AND(D19="",F19=""),"",N(D19)+N(F19))</f>
        <v/>
      </c>
    </row>
    <row r="20">
      <c r="A20" s="13">
        <f>IF(Produits!$A$19="","",Produits!$A$19)</f>
        <v/>
      </c>
      <c r="B20" s="14">
        <f>IF(Produits!$A$19="","",Produits!$B$19)</f>
        <v/>
      </c>
      <c r="C20" s="15">
        <f>IF(Produits!$A$19="","",Produits!$C$19)</f>
        <v/>
      </c>
      <c r="D20" s="10" t="n"/>
      <c r="E20" s="10" t="n"/>
      <c r="F20" s="10" t="n"/>
      <c r="G20" s="16">
        <f>IF(OR(E20="",F20=""),"",F20-E20)</f>
        <v/>
      </c>
      <c r="H20" s="16">
        <f>IF(AND(D20="",F20=""),"",N(D20)+N(F20))</f>
        <v/>
      </c>
    </row>
    <row r="21">
      <c r="A21" s="13">
        <f>IF(Produits!$A$20="","",Produits!$A$20)</f>
        <v/>
      </c>
      <c r="B21" s="14">
        <f>IF(Produits!$A$20="","",Produits!$B$20)</f>
        <v/>
      </c>
      <c r="C21" s="15">
        <f>IF(Produits!$A$20="","",Produits!$C$20)</f>
        <v/>
      </c>
      <c r="D21" s="10" t="n"/>
      <c r="E21" s="10" t="n"/>
      <c r="F21" s="10" t="n"/>
      <c r="G21" s="16">
        <f>IF(OR(E21="",F21=""),"",F21-E21)</f>
        <v/>
      </c>
      <c r="H21" s="16">
        <f>IF(AND(D21="",F21=""),"",N(D21)+N(F21))</f>
        <v/>
      </c>
    </row>
    <row r="22">
      <c r="A22" s="13">
        <f>IF(Produits!$A$21="","",Produits!$A$21)</f>
        <v/>
      </c>
      <c r="B22" s="14">
        <f>IF(Produits!$A$21="","",Produits!$B$21)</f>
        <v/>
      </c>
      <c r="C22" s="15">
        <f>IF(Produits!$A$21="","",Produits!$C$21)</f>
        <v/>
      </c>
      <c r="D22" s="10" t="n"/>
      <c r="E22" s="10" t="n"/>
      <c r="F22" s="10" t="n"/>
      <c r="G22" s="16">
        <f>IF(OR(E22="",F22=""),"",F22-E22)</f>
        <v/>
      </c>
      <c r="H22" s="16">
        <f>IF(AND(D22="",F22=""),"",N(D22)+N(F22))</f>
        <v/>
      </c>
    </row>
    <row r="23">
      <c r="A23" s="13">
        <f>IF(Produits!$A$22="","",Produits!$A$22)</f>
        <v/>
      </c>
      <c r="B23" s="14">
        <f>IF(Produits!$A$22="","",Produits!$B$22)</f>
        <v/>
      </c>
      <c r="C23" s="15">
        <f>IF(Produits!$A$22="","",Produits!$C$22)</f>
        <v/>
      </c>
      <c r="D23" s="10" t="n"/>
      <c r="E23" s="10" t="n"/>
      <c r="F23" s="10" t="n"/>
      <c r="G23" s="16">
        <f>IF(OR(E23="",F23=""),"",F23-E23)</f>
        <v/>
      </c>
      <c r="H23" s="16">
        <f>IF(AND(D23="",F23=""),"",N(D23)+N(F23))</f>
        <v/>
      </c>
    </row>
    <row r="24">
      <c r="A24" s="13">
        <f>IF(Produits!$A$23="","",Produits!$A$23)</f>
        <v/>
      </c>
      <c r="B24" s="14">
        <f>IF(Produits!$A$23="","",Produits!$B$23)</f>
        <v/>
      </c>
      <c r="C24" s="15">
        <f>IF(Produits!$A$23="","",Produits!$C$23)</f>
        <v/>
      </c>
      <c r="D24" s="10" t="n"/>
      <c r="E24" s="10" t="n"/>
      <c r="F24" s="10" t="n"/>
      <c r="G24" s="16">
        <f>IF(OR(E24="",F24=""),"",F24-E24)</f>
        <v/>
      </c>
      <c r="H24" s="16">
        <f>IF(AND(D24="",F24=""),"",N(D24)+N(F24))</f>
        <v/>
      </c>
    </row>
    <row r="25">
      <c r="A25" s="13">
        <f>IF(Produits!$A$24="","",Produits!$A$24)</f>
        <v/>
      </c>
      <c r="B25" s="14">
        <f>IF(Produits!$A$24="","",Produits!$B$24)</f>
        <v/>
      </c>
      <c r="C25" s="15">
        <f>IF(Produits!$A$24="","",Produits!$C$24)</f>
        <v/>
      </c>
      <c r="D25" s="10" t="n"/>
      <c r="E25" s="10" t="n"/>
      <c r="F25" s="10" t="n"/>
      <c r="G25" s="16">
        <f>IF(OR(E25="",F25=""),"",F25-E25)</f>
        <v/>
      </c>
      <c r="H25" s="16">
        <f>IF(AND(D25="",F25=""),"",N(D25)+N(F25))</f>
        <v/>
      </c>
    </row>
    <row r="26">
      <c r="A26" s="13">
        <f>IF(Produits!$A$25="","",Produits!$A$25)</f>
        <v/>
      </c>
      <c r="B26" s="14">
        <f>IF(Produits!$A$25="","",Produits!$B$25)</f>
        <v/>
      </c>
      <c r="C26" s="15">
        <f>IF(Produits!$A$25="","",Produits!$C$25)</f>
        <v/>
      </c>
      <c r="D26" s="10" t="n"/>
      <c r="E26" s="10" t="n"/>
      <c r="F26" s="10" t="n"/>
      <c r="G26" s="16">
        <f>IF(OR(E26="",F26=""),"",F26-E26)</f>
        <v/>
      </c>
      <c r="H26" s="16">
        <f>IF(AND(D26="",F26=""),"",N(D26)+N(F26))</f>
        <v/>
      </c>
    </row>
    <row r="27">
      <c r="A27" s="13">
        <f>IF(Produits!$A$26="","",Produits!$A$26)</f>
        <v/>
      </c>
      <c r="B27" s="14">
        <f>IF(Produits!$A$26="","",Produits!$B$26)</f>
        <v/>
      </c>
      <c r="C27" s="15">
        <f>IF(Produits!$A$26="","",Produits!$C$26)</f>
        <v/>
      </c>
      <c r="D27" s="10" t="n"/>
      <c r="E27" s="10" t="n"/>
      <c r="F27" s="10" t="n"/>
      <c r="G27" s="16">
        <f>IF(OR(E27="",F27=""),"",F27-E27)</f>
        <v/>
      </c>
      <c r="H27" s="16">
        <f>IF(AND(D27="",F27=""),"",N(D27)+N(F27))</f>
        <v/>
      </c>
    </row>
    <row r="28">
      <c r="A28" s="13">
        <f>IF(Produits!$A$27="","",Produits!$A$27)</f>
        <v/>
      </c>
      <c r="B28" s="14">
        <f>IF(Produits!$A$27="","",Produits!$B$27)</f>
        <v/>
      </c>
      <c r="C28" s="15">
        <f>IF(Produits!$A$27="","",Produits!$C$27)</f>
        <v/>
      </c>
      <c r="D28" s="10" t="n"/>
      <c r="E28" s="10" t="n"/>
      <c r="F28" s="10" t="n"/>
      <c r="G28" s="16">
        <f>IF(OR(E28="",F28=""),"",F28-E28)</f>
        <v/>
      </c>
      <c r="H28" s="16">
        <f>IF(AND(D28="",F28=""),"",N(D28)+N(F28))</f>
        <v/>
      </c>
    </row>
    <row r="29">
      <c r="A29" s="13">
        <f>IF(Produits!$A$28="","",Produits!$A$28)</f>
        <v/>
      </c>
      <c r="B29" s="14">
        <f>IF(Produits!$A$28="","",Produits!$B$28)</f>
        <v/>
      </c>
      <c r="C29" s="15">
        <f>IF(Produits!$A$28="","",Produits!$C$28)</f>
        <v/>
      </c>
      <c r="D29" s="10" t="n"/>
      <c r="E29" s="10" t="n"/>
      <c r="F29" s="10" t="n"/>
      <c r="G29" s="16">
        <f>IF(OR(E29="",F29=""),"",F29-E29)</f>
        <v/>
      </c>
      <c r="H29" s="16">
        <f>IF(AND(D29="",F29=""),"",N(D29)+N(F29))</f>
        <v/>
      </c>
    </row>
    <row r="30">
      <c r="A30" s="13">
        <f>IF(Produits!$A$29="","",Produits!$A$29)</f>
        <v/>
      </c>
      <c r="B30" s="14">
        <f>IF(Produits!$A$29="","",Produits!$B$29)</f>
        <v/>
      </c>
      <c r="C30" s="15">
        <f>IF(Produits!$A$29="","",Produits!$C$29)</f>
        <v/>
      </c>
      <c r="D30" s="10" t="n"/>
      <c r="E30" s="10" t="n"/>
      <c r="F30" s="10" t="n"/>
      <c r="G30" s="16">
        <f>IF(OR(E30="",F30=""),"",F30-E30)</f>
        <v/>
      </c>
      <c r="H30" s="16">
        <f>IF(AND(D30="",F30=""),"",N(D30)+N(F30))</f>
        <v/>
      </c>
    </row>
    <row r="31">
      <c r="A31" s="13">
        <f>IF(Produits!$A$30="","",Produits!$A$30)</f>
        <v/>
      </c>
      <c r="B31" s="14">
        <f>IF(Produits!$A$30="","",Produits!$B$30)</f>
        <v/>
      </c>
      <c r="C31" s="15">
        <f>IF(Produits!$A$30="","",Produits!$C$30)</f>
        <v/>
      </c>
      <c r="D31" s="10" t="n"/>
      <c r="E31" s="10" t="n"/>
      <c r="F31" s="10" t="n"/>
      <c r="G31" s="16">
        <f>IF(OR(E31="",F31=""),"",F31-E31)</f>
        <v/>
      </c>
      <c r="H31" s="16">
        <f>IF(AND(D31="",F31=""),"",N(D31)+N(F31))</f>
        <v/>
      </c>
    </row>
    <row r="32">
      <c r="A32" s="13">
        <f>IF(Produits!$A$31="","",Produits!$A$31)</f>
        <v/>
      </c>
      <c r="B32" s="14">
        <f>IF(Produits!$A$31="","",Produits!$B$31)</f>
        <v/>
      </c>
      <c r="C32" s="15">
        <f>IF(Produits!$A$31="","",Produits!$C$31)</f>
        <v/>
      </c>
      <c r="D32" s="10" t="n"/>
      <c r="E32" s="10" t="n"/>
      <c r="F32" s="10" t="n"/>
      <c r="G32" s="16">
        <f>IF(OR(E32="",F32=""),"",F32-E32)</f>
        <v/>
      </c>
      <c r="H32" s="16">
        <f>IF(AND(D32="",F32=""),"",N(D32)+N(F32))</f>
        <v/>
      </c>
    </row>
    <row r="33">
      <c r="A33" s="13">
        <f>IF(Produits!$A$32="","",Produits!$A$32)</f>
        <v/>
      </c>
      <c r="B33" s="14">
        <f>IF(Produits!$A$32="","",Produits!$B$32)</f>
        <v/>
      </c>
      <c r="C33" s="15">
        <f>IF(Produits!$A$32="","",Produits!$C$32)</f>
        <v/>
      </c>
      <c r="D33" s="10" t="n"/>
      <c r="E33" s="10" t="n"/>
      <c r="F33" s="10" t="n"/>
      <c r="G33" s="16">
        <f>IF(OR(E33="",F33=""),"",F33-E33)</f>
        <v/>
      </c>
      <c r="H33" s="16">
        <f>IF(AND(D33="",F33=""),"",N(D33)+N(F33))</f>
        <v/>
      </c>
    </row>
    <row r="34">
      <c r="A34" s="13">
        <f>IF(Produits!$A$33="","",Produits!$A$33)</f>
        <v/>
      </c>
      <c r="B34" s="14">
        <f>IF(Produits!$A$33="","",Produits!$B$33)</f>
        <v/>
      </c>
      <c r="C34" s="15">
        <f>IF(Produits!$A$33="","",Produits!$C$33)</f>
        <v/>
      </c>
      <c r="D34" s="10" t="n"/>
      <c r="E34" s="10" t="n"/>
      <c r="F34" s="10" t="n"/>
      <c r="G34" s="16">
        <f>IF(OR(E34="",F34=""),"",F34-E34)</f>
        <v/>
      </c>
      <c r="H34" s="16">
        <f>IF(AND(D34="",F34=""),"",N(D34)+N(F34))</f>
        <v/>
      </c>
    </row>
    <row r="35">
      <c r="A35" s="13">
        <f>IF(Produits!$A$34="","",Produits!$A$34)</f>
        <v/>
      </c>
      <c r="B35" s="14">
        <f>IF(Produits!$A$34="","",Produits!$B$34)</f>
        <v/>
      </c>
      <c r="C35" s="15">
        <f>IF(Produits!$A$34="","",Produits!$C$34)</f>
        <v/>
      </c>
      <c r="D35" s="10" t="n"/>
      <c r="E35" s="10" t="n"/>
      <c r="F35" s="10" t="n"/>
      <c r="G35" s="16">
        <f>IF(OR(E35="",F35=""),"",F35-E35)</f>
        <v/>
      </c>
      <c r="H35" s="16">
        <f>IF(AND(D35="",F35=""),"",N(D35)+N(F35))</f>
        <v/>
      </c>
    </row>
    <row r="36">
      <c r="A36" s="13">
        <f>IF(Produits!$A$35="","",Produits!$A$35)</f>
        <v/>
      </c>
      <c r="B36" s="14">
        <f>IF(Produits!$A$35="","",Produits!$B$35)</f>
        <v/>
      </c>
      <c r="C36" s="15">
        <f>IF(Produits!$A$35="","",Produits!$C$35)</f>
        <v/>
      </c>
      <c r="D36" s="10" t="n"/>
      <c r="E36" s="10" t="n"/>
      <c r="F36" s="10" t="n"/>
      <c r="G36" s="16">
        <f>IF(OR(E36="",F36=""),"",F36-E36)</f>
        <v/>
      </c>
      <c r="H36" s="16">
        <f>IF(AND(D36="",F36=""),"",N(D36)+N(F36))</f>
        <v/>
      </c>
    </row>
    <row r="37">
      <c r="A37" s="13">
        <f>IF(Produits!$A$36="","",Produits!$A$36)</f>
        <v/>
      </c>
      <c r="B37" s="14">
        <f>IF(Produits!$A$36="","",Produits!$B$36)</f>
        <v/>
      </c>
      <c r="C37" s="15">
        <f>IF(Produits!$A$36="","",Produits!$C$36)</f>
        <v/>
      </c>
      <c r="D37" s="10" t="n"/>
      <c r="E37" s="10" t="n"/>
      <c r="F37" s="10" t="n"/>
      <c r="G37" s="16">
        <f>IF(OR(E37="",F37=""),"",F37-E37)</f>
        <v/>
      </c>
      <c r="H37" s="16">
        <f>IF(AND(D37="",F37=""),"",N(D37)+N(F37))</f>
        <v/>
      </c>
    </row>
    <row r="38">
      <c r="A38" s="13">
        <f>IF(Produits!$A$37="","",Produits!$A$37)</f>
        <v/>
      </c>
      <c r="B38" s="14">
        <f>IF(Produits!$A$37="","",Produits!$B$37)</f>
        <v/>
      </c>
      <c r="C38" s="15">
        <f>IF(Produits!$A$37="","",Produits!$C$37)</f>
        <v/>
      </c>
      <c r="D38" s="10" t="n"/>
      <c r="E38" s="10" t="n"/>
      <c r="F38" s="10" t="n"/>
      <c r="G38" s="16">
        <f>IF(OR(E38="",F38=""),"",F38-E38)</f>
        <v/>
      </c>
      <c r="H38" s="16">
        <f>IF(AND(D38="",F38=""),"",N(D38)+N(F38))</f>
        <v/>
      </c>
    </row>
    <row r="39">
      <c r="A39" s="13">
        <f>IF(Produits!$A$38="","",Produits!$A$38)</f>
        <v/>
      </c>
      <c r="B39" s="14">
        <f>IF(Produits!$A$38="","",Produits!$B$38)</f>
        <v/>
      </c>
      <c r="C39" s="15">
        <f>IF(Produits!$A$38="","",Produits!$C$38)</f>
        <v/>
      </c>
      <c r="D39" s="10" t="n"/>
      <c r="E39" s="10" t="n"/>
      <c r="F39" s="10" t="n"/>
      <c r="G39" s="16">
        <f>IF(OR(E39="",F39=""),"",F39-E39)</f>
        <v/>
      </c>
      <c r="H39" s="16">
        <f>IF(AND(D39="",F39=""),"",N(D39)+N(F39))</f>
        <v/>
      </c>
    </row>
    <row r="40">
      <c r="A40" s="13">
        <f>IF(Produits!$A$39="","",Produits!$A$39)</f>
        <v/>
      </c>
      <c r="B40" s="14">
        <f>IF(Produits!$A$39="","",Produits!$B$39)</f>
        <v/>
      </c>
      <c r="C40" s="15">
        <f>IF(Produits!$A$39="","",Produits!$C$39)</f>
        <v/>
      </c>
      <c r="D40" s="10" t="n"/>
      <c r="E40" s="10" t="n"/>
      <c r="F40" s="10" t="n"/>
      <c r="G40" s="16">
        <f>IF(OR(E40="",F40=""),"",F40-E40)</f>
        <v/>
      </c>
      <c r="H40" s="16">
        <f>IF(AND(D40="",F40=""),"",N(D40)+N(F40))</f>
        <v/>
      </c>
    </row>
    <row r="41">
      <c r="A41" s="13">
        <f>IF(Produits!$A$40="","",Produits!$A$40)</f>
        <v/>
      </c>
      <c r="B41" s="14">
        <f>IF(Produits!$A$40="","",Produits!$B$40)</f>
        <v/>
      </c>
      <c r="C41" s="15">
        <f>IF(Produits!$A$40="","",Produits!$C$40)</f>
        <v/>
      </c>
      <c r="D41" s="10" t="n"/>
      <c r="E41" s="10" t="n"/>
      <c r="F41" s="10" t="n"/>
      <c r="G41" s="16">
        <f>IF(OR(E41="",F41=""),"",F41-E41)</f>
        <v/>
      </c>
      <c r="H41" s="16">
        <f>IF(AND(D41="",F41=""),"",N(D41)+N(F41))</f>
        <v/>
      </c>
    </row>
    <row r="42">
      <c r="A42" s="13">
        <f>IF(Produits!$A$41="","",Produits!$A$41)</f>
        <v/>
      </c>
      <c r="B42" s="14">
        <f>IF(Produits!$A$41="","",Produits!$B$41)</f>
        <v/>
      </c>
      <c r="C42" s="15">
        <f>IF(Produits!$A$41="","",Produits!$C$41)</f>
        <v/>
      </c>
      <c r="D42" s="10" t="n"/>
      <c r="E42" s="10" t="n"/>
      <c r="F42" s="10" t="n"/>
      <c r="G42" s="16">
        <f>IF(OR(E42="",F42=""),"",F42-E42)</f>
        <v/>
      </c>
      <c r="H42" s="16">
        <f>IF(AND(D42="",F42=""),"",N(D42)+N(F42))</f>
        <v/>
      </c>
    </row>
    <row r="43">
      <c r="A43" s="13">
        <f>IF(Produits!$A$42="","",Produits!$A$42)</f>
        <v/>
      </c>
      <c r="B43" s="14">
        <f>IF(Produits!$A$42="","",Produits!$B$42)</f>
        <v/>
      </c>
      <c r="C43" s="15">
        <f>IF(Produits!$A$42="","",Produits!$C$42)</f>
        <v/>
      </c>
      <c r="D43" s="10" t="n"/>
      <c r="E43" s="10" t="n"/>
      <c r="F43" s="10" t="n"/>
      <c r="G43" s="16">
        <f>IF(OR(E43="",F43=""),"",F43-E43)</f>
        <v/>
      </c>
      <c r="H43" s="16">
        <f>IF(AND(D43="",F43=""),"",N(D43)+N(F43))</f>
        <v/>
      </c>
    </row>
    <row r="44">
      <c r="A44" s="13">
        <f>IF(Produits!$A$43="","",Produits!$A$43)</f>
        <v/>
      </c>
      <c r="B44" s="14">
        <f>IF(Produits!$A$43="","",Produits!$B$43)</f>
        <v/>
      </c>
      <c r="C44" s="15">
        <f>IF(Produits!$A$43="","",Produits!$C$43)</f>
        <v/>
      </c>
      <c r="D44" s="10" t="n"/>
      <c r="E44" s="10" t="n"/>
      <c r="F44" s="10" t="n"/>
      <c r="G44" s="16">
        <f>IF(OR(E44="",F44=""),"",F44-E44)</f>
        <v/>
      </c>
      <c r="H44" s="16">
        <f>IF(AND(D44="",F44=""),"",N(D44)+N(F44))</f>
        <v/>
      </c>
    </row>
    <row r="45">
      <c r="A45" s="13">
        <f>IF(Produits!$A$44="","",Produits!$A$44)</f>
        <v/>
      </c>
      <c r="B45" s="14">
        <f>IF(Produits!$A$44="","",Produits!$B$44)</f>
        <v/>
      </c>
      <c r="C45" s="15">
        <f>IF(Produits!$A$44="","",Produits!$C$44)</f>
        <v/>
      </c>
      <c r="D45" s="10" t="n"/>
      <c r="E45" s="10" t="n"/>
      <c r="F45" s="10" t="n"/>
      <c r="G45" s="16">
        <f>IF(OR(E45="",F45=""),"",F45-E45)</f>
        <v/>
      </c>
      <c r="H45" s="16">
        <f>IF(AND(D45="",F45=""),"",N(D45)+N(F45))</f>
        <v/>
      </c>
    </row>
  </sheetData>
  <conditionalFormatting sqref="G6:G45">
    <cfRule type="expression" priority="1" dxfId="0">
      <formula>AND(ISNUMBER(G6),G6&lt;0)</formula>
    </cfRule>
  </conditionalFormatting>
  <dataValidations count="1">
    <dataValidation sqref="D6:F45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8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</cols>
  <sheetData>
    <row r="1" ht="26" customHeight="1">
      <c r="A1" s="1" t="inlineStr">
        <is>
          <t>Semaine 3</t>
        </is>
      </c>
    </row>
    <row r="2">
      <c r="A2" s="2" t="inlineStr">
        <is>
          <t>Stock = ce qu'il reste · Commandé = ce que tu demandes · Reçu = ce qui est arrivé</t>
        </is>
      </c>
    </row>
    <row r="3">
      <c r="A3" s="11" t="inlineStr">
        <is>
          <t>Date du comptage :</t>
        </is>
      </c>
      <c r="B3" s="12" t="n"/>
    </row>
    <row r="5">
      <c r="A5" s="6" t="inlineStr">
        <is>
          <t>Produit</t>
        </is>
      </c>
      <c r="B5" s="6" t="inlineStr">
        <is>
          <t>Fournisseur</t>
        </is>
      </c>
      <c r="C5" s="6" t="inlineStr">
        <is>
          <t>Unité</t>
        </is>
      </c>
      <c r="D5" s="6" t="inlineStr">
        <is>
          <t>Stock</t>
        </is>
      </c>
      <c r="E5" s="6" t="inlineStr">
        <is>
          <t>Commandé</t>
        </is>
      </c>
      <c r="F5" s="6" t="inlineStr">
        <is>
          <t>Reçu</t>
        </is>
      </c>
      <c r="G5" s="6" t="inlineStr">
        <is>
          <t>Écart</t>
        </is>
      </c>
      <c r="H5" s="6" t="inlineStr">
        <is>
          <t>Total dispo</t>
        </is>
      </c>
    </row>
    <row r="6">
      <c r="A6" s="13">
        <f>IF(Produits!$A$5="","",Produits!$A$5)</f>
        <v/>
      </c>
      <c r="B6" s="14">
        <f>IF(Produits!$A$5="","",Produits!$B$5)</f>
        <v/>
      </c>
      <c r="C6" s="15">
        <f>IF(Produits!$A$5="","",Produits!$C$5)</f>
        <v/>
      </c>
      <c r="D6" s="10" t="n"/>
      <c r="E6" s="10" t="n"/>
      <c r="F6" s="10" t="n"/>
      <c r="G6" s="16">
        <f>IF(OR(E6="",F6=""),"",F6-E6)</f>
        <v/>
      </c>
      <c r="H6" s="16">
        <f>IF(AND(D6="",F6=""),"",N(D6)+N(F6))</f>
        <v/>
      </c>
    </row>
    <row r="7">
      <c r="A7" s="13">
        <f>IF(Produits!$A$6="","",Produits!$A$6)</f>
        <v/>
      </c>
      <c r="B7" s="14">
        <f>IF(Produits!$A$6="","",Produits!$B$6)</f>
        <v/>
      </c>
      <c r="C7" s="15">
        <f>IF(Produits!$A$6="","",Produits!$C$6)</f>
        <v/>
      </c>
      <c r="D7" s="10" t="n"/>
      <c r="E7" s="10" t="n"/>
      <c r="F7" s="10" t="n"/>
      <c r="G7" s="16">
        <f>IF(OR(E7="",F7=""),"",F7-E7)</f>
        <v/>
      </c>
      <c r="H7" s="16">
        <f>IF(AND(D7="",F7=""),"",N(D7)+N(F7))</f>
        <v/>
      </c>
    </row>
    <row r="8">
      <c r="A8" s="13">
        <f>IF(Produits!$A$7="","",Produits!$A$7)</f>
        <v/>
      </c>
      <c r="B8" s="14">
        <f>IF(Produits!$A$7="","",Produits!$B$7)</f>
        <v/>
      </c>
      <c r="C8" s="15">
        <f>IF(Produits!$A$7="","",Produits!$C$7)</f>
        <v/>
      </c>
      <c r="D8" s="10" t="n"/>
      <c r="E8" s="10" t="n"/>
      <c r="F8" s="10" t="n"/>
      <c r="G8" s="16">
        <f>IF(OR(E8="",F8=""),"",F8-E8)</f>
        <v/>
      </c>
      <c r="H8" s="16">
        <f>IF(AND(D8="",F8=""),"",N(D8)+N(F8))</f>
        <v/>
      </c>
    </row>
    <row r="9">
      <c r="A9" s="13">
        <f>IF(Produits!$A$8="","",Produits!$A$8)</f>
        <v/>
      </c>
      <c r="B9" s="14">
        <f>IF(Produits!$A$8="","",Produits!$B$8)</f>
        <v/>
      </c>
      <c r="C9" s="15">
        <f>IF(Produits!$A$8="","",Produits!$C$8)</f>
        <v/>
      </c>
      <c r="D9" s="10" t="n"/>
      <c r="E9" s="10" t="n"/>
      <c r="F9" s="10" t="n"/>
      <c r="G9" s="16">
        <f>IF(OR(E9="",F9=""),"",F9-E9)</f>
        <v/>
      </c>
      <c r="H9" s="16">
        <f>IF(AND(D9="",F9=""),"",N(D9)+N(F9))</f>
        <v/>
      </c>
    </row>
    <row r="10">
      <c r="A10" s="13">
        <f>IF(Produits!$A$9="","",Produits!$A$9)</f>
        <v/>
      </c>
      <c r="B10" s="14">
        <f>IF(Produits!$A$9="","",Produits!$B$9)</f>
        <v/>
      </c>
      <c r="C10" s="15">
        <f>IF(Produits!$A$9="","",Produits!$C$9)</f>
        <v/>
      </c>
      <c r="D10" s="10" t="n"/>
      <c r="E10" s="10" t="n"/>
      <c r="F10" s="10" t="n"/>
      <c r="G10" s="16">
        <f>IF(OR(E10="",F10=""),"",F10-E10)</f>
        <v/>
      </c>
      <c r="H10" s="16">
        <f>IF(AND(D10="",F10=""),"",N(D10)+N(F10))</f>
        <v/>
      </c>
    </row>
    <row r="11">
      <c r="A11" s="13">
        <f>IF(Produits!$A$10="","",Produits!$A$10)</f>
        <v/>
      </c>
      <c r="B11" s="14">
        <f>IF(Produits!$A$10="","",Produits!$B$10)</f>
        <v/>
      </c>
      <c r="C11" s="15">
        <f>IF(Produits!$A$10="","",Produits!$C$10)</f>
        <v/>
      </c>
      <c r="D11" s="10" t="n"/>
      <c r="E11" s="10" t="n"/>
      <c r="F11" s="10" t="n"/>
      <c r="G11" s="16">
        <f>IF(OR(E11="",F11=""),"",F11-E11)</f>
        <v/>
      </c>
      <c r="H11" s="16">
        <f>IF(AND(D11="",F11=""),"",N(D11)+N(F11))</f>
        <v/>
      </c>
    </row>
    <row r="12">
      <c r="A12" s="13">
        <f>IF(Produits!$A$11="","",Produits!$A$11)</f>
        <v/>
      </c>
      <c r="B12" s="14">
        <f>IF(Produits!$A$11="","",Produits!$B$11)</f>
        <v/>
      </c>
      <c r="C12" s="15">
        <f>IF(Produits!$A$11="","",Produits!$C$11)</f>
        <v/>
      </c>
      <c r="D12" s="10" t="n"/>
      <c r="E12" s="10" t="n"/>
      <c r="F12" s="10" t="n"/>
      <c r="G12" s="16">
        <f>IF(OR(E12="",F12=""),"",F12-E12)</f>
        <v/>
      </c>
      <c r="H12" s="16">
        <f>IF(AND(D12="",F12=""),"",N(D12)+N(F12))</f>
        <v/>
      </c>
    </row>
    <row r="13">
      <c r="A13" s="13">
        <f>IF(Produits!$A$12="","",Produits!$A$12)</f>
        <v/>
      </c>
      <c r="B13" s="14">
        <f>IF(Produits!$A$12="","",Produits!$B$12)</f>
        <v/>
      </c>
      <c r="C13" s="15">
        <f>IF(Produits!$A$12="","",Produits!$C$12)</f>
        <v/>
      </c>
      <c r="D13" s="10" t="n"/>
      <c r="E13" s="10" t="n"/>
      <c r="F13" s="10" t="n"/>
      <c r="G13" s="16">
        <f>IF(OR(E13="",F13=""),"",F13-E13)</f>
        <v/>
      </c>
      <c r="H13" s="16">
        <f>IF(AND(D13="",F13=""),"",N(D13)+N(F13))</f>
        <v/>
      </c>
    </row>
    <row r="14">
      <c r="A14" s="13">
        <f>IF(Produits!$A$13="","",Produits!$A$13)</f>
        <v/>
      </c>
      <c r="B14" s="14">
        <f>IF(Produits!$A$13="","",Produits!$B$13)</f>
        <v/>
      </c>
      <c r="C14" s="15">
        <f>IF(Produits!$A$13="","",Produits!$C$13)</f>
        <v/>
      </c>
      <c r="D14" s="10" t="n"/>
      <c r="E14" s="10" t="n"/>
      <c r="F14" s="10" t="n"/>
      <c r="G14" s="16">
        <f>IF(OR(E14="",F14=""),"",F14-E14)</f>
        <v/>
      </c>
      <c r="H14" s="16">
        <f>IF(AND(D14="",F14=""),"",N(D14)+N(F14))</f>
        <v/>
      </c>
    </row>
    <row r="15">
      <c r="A15" s="13">
        <f>IF(Produits!$A$14="","",Produits!$A$14)</f>
        <v/>
      </c>
      <c r="B15" s="14">
        <f>IF(Produits!$A$14="","",Produits!$B$14)</f>
        <v/>
      </c>
      <c r="C15" s="15">
        <f>IF(Produits!$A$14="","",Produits!$C$14)</f>
        <v/>
      </c>
      <c r="D15" s="10" t="n"/>
      <c r="E15" s="10" t="n"/>
      <c r="F15" s="10" t="n"/>
      <c r="G15" s="16">
        <f>IF(OR(E15="",F15=""),"",F15-E15)</f>
        <v/>
      </c>
      <c r="H15" s="16">
        <f>IF(AND(D15="",F15=""),"",N(D15)+N(F15))</f>
        <v/>
      </c>
    </row>
    <row r="16">
      <c r="A16" s="13">
        <f>IF(Produits!$A$15="","",Produits!$A$15)</f>
        <v/>
      </c>
      <c r="B16" s="14">
        <f>IF(Produits!$A$15="","",Produits!$B$15)</f>
        <v/>
      </c>
      <c r="C16" s="15">
        <f>IF(Produits!$A$15="","",Produits!$C$15)</f>
        <v/>
      </c>
      <c r="D16" s="10" t="n"/>
      <c r="E16" s="10" t="n"/>
      <c r="F16" s="10" t="n"/>
      <c r="G16" s="16">
        <f>IF(OR(E16="",F16=""),"",F16-E16)</f>
        <v/>
      </c>
      <c r="H16" s="16">
        <f>IF(AND(D16="",F16=""),"",N(D16)+N(F16))</f>
        <v/>
      </c>
    </row>
    <row r="17">
      <c r="A17" s="13">
        <f>IF(Produits!$A$16="","",Produits!$A$16)</f>
        <v/>
      </c>
      <c r="B17" s="14">
        <f>IF(Produits!$A$16="","",Produits!$B$16)</f>
        <v/>
      </c>
      <c r="C17" s="15">
        <f>IF(Produits!$A$16="","",Produits!$C$16)</f>
        <v/>
      </c>
      <c r="D17" s="10" t="n"/>
      <c r="E17" s="10" t="n"/>
      <c r="F17" s="10" t="n"/>
      <c r="G17" s="16">
        <f>IF(OR(E17="",F17=""),"",F17-E17)</f>
        <v/>
      </c>
      <c r="H17" s="16">
        <f>IF(AND(D17="",F17=""),"",N(D17)+N(F17))</f>
        <v/>
      </c>
    </row>
    <row r="18">
      <c r="A18" s="13">
        <f>IF(Produits!$A$17="","",Produits!$A$17)</f>
        <v/>
      </c>
      <c r="B18" s="14">
        <f>IF(Produits!$A$17="","",Produits!$B$17)</f>
        <v/>
      </c>
      <c r="C18" s="15">
        <f>IF(Produits!$A$17="","",Produits!$C$17)</f>
        <v/>
      </c>
      <c r="D18" s="10" t="n"/>
      <c r="E18" s="10" t="n"/>
      <c r="F18" s="10" t="n"/>
      <c r="G18" s="16">
        <f>IF(OR(E18="",F18=""),"",F18-E18)</f>
        <v/>
      </c>
      <c r="H18" s="16">
        <f>IF(AND(D18="",F18=""),"",N(D18)+N(F18))</f>
        <v/>
      </c>
    </row>
    <row r="19">
      <c r="A19" s="13">
        <f>IF(Produits!$A$18="","",Produits!$A$18)</f>
        <v/>
      </c>
      <c r="B19" s="14">
        <f>IF(Produits!$A$18="","",Produits!$B$18)</f>
        <v/>
      </c>
      <c r="C19" s="15">
        <f>IF(Produits!$A$18="","",Produits!$C$18)</f>
        <v/>
      </c>
      <c r="D19" s="10" t="n"/>
      <c r="E19" s="10" t="n"/>
      <c r="F19" s="10" t="n"/>
      <c r="G19" s="16">
        <f>IF(OR(E19="",F19=""),"",F19-E19)</f>
        <v/>
      </c>
      <c r="H19" s="16">
        <f>IF(AND(D19="",F19=""),"",N(D19)+N(F19))</f>
        <v/>
      </c>
    </row>
    <row r="20">
      <c r="A20" s="13">
        <f>IF(Produits!$A$19="","",Produits!$A$19)</f>
        <v/>
      </c>
      <c r="B20" s="14">
        <f>IF(Produits!$A$19="","",Produits!$B$19)</f>
        <v/>
      </c>
      <c r="C20" s="15">
        <f>IF(Produits!$A$19="","",Produits!$C$19)</f>
        <v/>
      </c>
      <c r="D20" s="10" t="n"/>
      <c r="E20" s="10" t="n"/>
      <c r="F20" s="10" t="n"/>
      <c r="G20" s="16">
        <f>IF(OR(E20="",F20=""),"",F20-E20)</f>
        <v/>
      </c>
      <c r="H20" s="16">
        <f>IF(AND(D20="",F20=""),"",N(D20)+N(F20))</f>
        <v/>
      </c>
    </row>
    <row r="21">
      <c r="A21" s="13">
        <f>IF(Produits!$A$20="","",Produits!$A$20)</f>
        <v/>
      </c>
      <c r="B21" s="14">
        <f>IF(Produits!$A$20="","",Produits!$B$20)</f>
        <v/>
      </c>
      <c r="C21" s="15">
        <f>IF(Produits!$A$20="","",Produits!$C$20)</f>
        <v/>
      </c>
      <c r="D21" s="10" t="n"/>
      <c r="E21" s="10" t="n"/>
      <c r="F21" s="10" t="n"/>
      <c r="G21" s="16">
        <f>IF(OR(E21="",F21=""),"",F21-E21)</f>
        <v/>
      </c>
      <c r="H21" s="16">
        <f>IF(AND(D21="",F21=""),"",N(D21)+N(F21))</f>
        <v/>
      </c>
    </row>
    <row r="22">
      <c r="A22" s="13">
        <f>IF(Produits!$A$21="","",Produits!$A$21)</f>
        <v/>
      </c>
      <c r="B22" s="14">
        <f>IF(Produits!$A$21="","",Produits!$B$21)</f>
        <v/>
      </c>
      <c r="C22" s="15">
        <f>IF(Produits!$A$21="","",Produits!$C$21)</f>
        <v/>
      </c>
      <c r="D22" s="10" t="n"/>
      <c r="E22" s="10" t="n"/>
      <c r="F22" s="10" t="n"/>
      <c r="G22" s="16">
        <f>IF(OR(E22="",F22=""),"",F22-E22)</f>
        <v/>
      </c>
      <c r="H22" s="16">
        <f>IF(AND(D22="",F22=""),"",N(D22)+N(F22))</f>
        <v/>
      </c>
    </row>
    <row r="23">
      <c r="A23" s="13">
        <f>IF(Produits!$A$22="","",Produits!$A$22)</f>
        <v/>
      </c>
      <c r="B23" s="14">
        <f>IF(Produits!$A$22="","",Produits!$B$22)</f>
        <v/>
      </c>
      <c r="C23" s="15">
        <f>IF(Produits!$A$22="","",Produits!$C$22)</f>
        <v/>
      </c>
      <c r="D23" s="10" t="n"/>
      <c r="E23" s="10" t="n"/>
      <c r="F23" s="10" t="n"/>
      <c r="G23" s="16">
        <f>IF(OR(E23="",F23=""),"",F23-E23)</f>
        <v/>
      </c>
      <c r="H23" s="16">
        <f>IF(AND(D23="",F23=""),"",N(D23)+N(F23))</f>
        <v/>
      </c>
    </row>
    <row r="24">
      <c r="A24" s="13">
        <f>IF(Produits!$A$23="","",Produits!$A$23)</f>
        <v/>
      </c>
      <c r="B24" s="14">
        <f>IF(Produits!$A$23="","",Produits!$B$23)</f>
        <v/>
      </c>
      <c r="C24" s="15">
        <f>IF(Produits!$A$23="","",Produits!$C$23)</f>
        <v/>
      </c>
      <c r="D24" s="10" t="n"/>
      <c r="E24" s="10" t="n"/>
      <c r="F24" s="10" t="n"/>
      <c r="G24" s="16">
        <f>IF(OR(E24="",F24=""),"",F24-E24)</f>
        <v/>
      </c>
      <c r="H24" s="16">
        <f>IF(AND(D24="",F24=""),"",N(D24)+N(F24))</f>
        <v/>
      </c>
    </row>
    <row r="25">
      <c r="A25" s="13">
        <f>IF(Produits!$A$24="","",Produits!$A$24)</f>
        <v/>
      </c>
      <c r="B25" s="14">
        <f>IF(Produits!$A$24="","",Produits!$B$24)</f>
        <v/>
      </c>
      <c r="C25" s="15">
        <f>IF(Produits!$A$24="","",Produits!$C$24)</f>
        <v/>
      </c>
      <c r="D25" s="10" t="n"/>
      <c r="E25" s="10" t="n"/>
      <c r="F25" s="10" t="n"/>
      <c r="G25" s="16">
        <f>IF(OR(E25="",F25=""),"",F25-E25)</f>
        <v/>
      </c>
      <c r="H25" s="16">
        <f>IF(AND(D25="",F25=""),"",N(D25)+N(F25))</f>
        <v/>
      </c>
    </row>
    <row r="26">
      <c r="A26" s="13">
        <f>IF(Produits!$A$25="","",Produits!$A$25)</f>
        <v/>
      </c>
      <c r="B26" s="14">
        <f>IF(Produits!$A$25="","",Produits!$B$25)</f>
        <v/>
      </c>
      <c r="C26" s="15">
        <f>IF(Produits!$A$25="","",Produits!$C$25)</f>
        <v/>
      </c>
      <c r="D26" s="10" t="n"/>
      <c r="E26" s="10" t="n"/>
      <c r="F26" s="10" t="n"/>
      <c r="G26" s="16">
        <f>IF(OR(E26="",F26=""),"",F26-E26)</f>
        <v/>
      </c>
      <c r="H26" s="16">
        <f>IF(AND(D26="",F26=""),"",N(D26)+N(F26))</f>
        <v/>
      </c>
    </row>
    <row r="27">
      <c r="A27" s="13">
        <f>IF(Produits!$A$26="","",Produits!$A$26)</f>
        <v/>
      </c>
      <c r="B27" s="14">
        <f>IF(Produits!$A$26="","",Produits!$B$26)</f>
        <v/>
      </c>
      <c r="C27" s="15">
        <f>IF(Produits!$A$26="","",Produits!$C$26)</f>
        <v/>
      </c>
      <c r="D27" s="10" t="n"/>
      <c r="E27" s="10" t="n"/>
      <c r="F27" s="10" t="n"/>
      <c r="G27" s="16">
        <f>IF(OR(E27="",F27=""),"",F27-E27)</f>
        <v/>
      </c>
      <c r="H27" s="16">
        <f>IF(AND(D27="",F27=""),"",N(D27)+N(F27))</f>
        <v/>
      </c>
    </row>
    <row r="28">
      <c r="A28" s="13">
        <f>IF(Produits!$A$27="","",Produits!$A$27)</f>
        <v/>
      </c>
      <c r="B28" s="14">
        <f>IF(Produits!$A$27="","",Produits!$B$27)</f>
        <v/>
      </c>
      <c r="C28" s="15">
        <f>IF(Produits!$A$27="","",Produits!$C$27)</f>
        <v/>
      </c>
      <c r="D28" s="10" t="n"/>
      <c r="E28" s="10" t="n"/>
      <c r="F28" s="10" t="n"/>
      <c r="G28" s="16">
        <f>IF(OR(E28="",F28=""),"",F28-E28)</f>
        <v/>
      </c>
      <c r="H28" s="16">
        <f>IF(AND(D28="",F28=""),"",N(D28)+N(F28))</f>
        <v/>
      </c>
    </row>
    <row r="29">
      <c r="A29" s="13">
        <f>IF(Produits!$A$28="","",Produits!$A$28)</f>
        <v/>
      </c>
      <c r="B29" s="14">
        <f>IF(Produits!$A$28="","",Produits!$B$28)</f>
        <v/>
      </c>
      <c r="C29" s="15">
        <f>IF(Produits!$A$28="","",Produits!$C$28)</f>
        <v/>
      </c>
      <c r="D29" s="10" t="n"/>
      <c r="E29" s="10" t="n"/>
      <c r="F29" s="10" t="n"/>
      <c r="G29" s="16">
        <f>IF(OR(E29="",F29=""),"",F29-E29)</f>
        <v/>
      </c>
      <c r="H29" s="16">
        <f>IF(AND(D29="",F29=""),"",N(D29)+N(F29))</f>
        <v/>
      </c>
    </row>
    <row r="30">
      <c r="A30" s="13">
        <f>IF(Produits!$A$29="","",Produits!$A$29)</f>
        <v/>
      </c>
      <c r="B30" s="14">
        <f>IF(Produits!$A$29="","",Produits!$B$29)</f>
        <v/>
      </c>
      <c r="C30" s="15">
        <f>IF(Produits!$A$29="","",Produits!$C$29)</f>
        <v/>
      </c>
      <c r="D30" s="10" t="n"/>
      <c r="E30" s="10" t="n"/>
      <c r="F30" s="10" t="n"/>
      <c r="G30" s="16">
        <f>IF(OR(E30="",F30=""),"",F30-E30)</f>
        <v/>
      </c>
      <c r="H30" s="16">
        <f>IF(AND(D30="",F30=""),"",N(D30)+N(F30))</f>
        <v/>
      </c>
    </row>
    <row r="31">
      <c r="A31" s="13">
        <f>IF(Produits!$A$30="","",Produits!$A$30)</f>
        <v/>
      </c>
      <c r="B31" s="14">
        <f>IF(Produits!$A$30="","",Produits!$B$30)</f>
        <v/>
      </c>
      <c r="C31" s="15">
        <f>IF(Produits!$A$30="","",Produits!$C$30)</f>
        <v/>
      </c>
      <c r="D31" s="10" t="n"/>
      <c r="E31" s="10" t="n"/>
      <c r="F31" s="10" t="n"/>
      <c r="G31" s="16">
        <f>IF(OR(E31="",F31=""),"",F31-E31)</f>
        <v/>
      </c>
      <c r="H31" s="16">
        <f>IF(AND(D31="",F31=""),"",N(D31)+N(F31))</f>
        <v/>
      </c>
    </row>
    <row r="32">
      <c r="A32" s="13">
        <f>IF(Produits!$A$31="","",Produits!$A$31)</f>
        <v/>
      </c>
      <c r="B32" s="14">
        <f>IF(Produits!$A$31="","",Produits!$B$31)</f>
        <v/>
      </c>
      <c r="C32" s="15">
        <f>IF(Produits!$A$31="","",Produits!$C$31)</f>
        <v/>
      </c>
      <c r="D32" s="10" t="n"/>
      <c r="E32" s="10" t="n"/>
      <c r="F32" s="10" t="n"/>
      <c r="G32" s="16">
        <f>IF(OR(E32="",F32=""),"",F32-E32)</f>
        <v/>
      </c>
      <c r="H32" s="16">
        <f>IF(AND(D32="",F32=""),"",N(D32)+N(F32))</f>
        <v/>
      </c>
    </row>
    <row r="33">
      <c r="A33" s="13">
        <f>IF(Produits!$A$32="","",Produits!$A$32)</f>
        <v/>
      </c>
      <c r="B33" s="14">
        <f>IF(Produits!$A$32="","",Produits!$B$32)</f>
        <v/>
      </c>
      <c r="C33" s="15">
        <f>IF(Produits!$A$32="","",Produits!$C$32)</f>
        <v/>
      </c>
      <c r="D33" s="10" t="n"/>
      <c r="E33" s="10" t="n"/>
      <c r="F33" s="10" t="n"/>
      <c r="G33" s="16">
        <f>IF(OR(E33="",F33=""),"",F33-E33)</f>
        <v/>
      </c>
      <c r="H33" s="16">
        <f>IF(AND(D33="",F33=""),"",N(D33)+N(F33))</f>
        <v/>
      </c>
    </row>
    <row r="34">
      <c r="A34" s="13">
        <f>IF(Produits!$A$33="","",Produits!$A$33)</f>
        <v/>
      </c>
      <c r="B34" s="14">
        <f>IF(Produits!$A$33="","",Produits!$B$33)</f>
        <v/>
      </c>
      <c r="C34" s="15">
        <f>IF(Produits!$A$33="","",Produits!$C$33)</f>
        <v/>
      </c>
      <c r="D34" s="10" t="n"/>
      <c r="E34" s="10" t="n"/>
      <c r="F34" s="10" t="n"/>
      <c r="G34" s="16">
        <f>IF(OR(E34="",F34=""),"",F34-E34)</f>
        <v/>
      </c>
      <c r="H34" s="16">
        <f>IF(AND(D34="",F34=""),"",N(D34)+N(F34))</f>
        <v/>
      </c>
    </row>
    <row r="35">
      <c r="A35" s="13">
        <f>IF(Produits!$A$34="","",Produits!$A$34)</f>
        <v/>
      </c>
      <c r="B35" s="14">
        <f>IF(Produits!$A$34="","",Produits!$B$34)</f>
        <v/>
      </c>
      <c r="C35" s="15">
        <f>IF(Produits!$A$34="","",Produits!$C$34)</f>
        <v/>
      </c>
      <c r="D35" s="10" t="n"/>
      <c r="E35" s="10" t="n"/>
      <c r="F35" s="10" t="n"/>
      <c r="G35" s="16">
        <f>IF(OR(E35="",F35=""),"",F35-E35)</f>
        <v/>
      </c>
      <c r="H35" s="16">
        <f>IF(AND(D35="",F35=""),"",N(D35)+N(F35))</f>
        <v/>
      </c>
    </row>
    <row r="36">
      <c r="A36" s="13">
        <f>IF(Produits!$A$35="","",Produits!$A$35)</f>
        <v/>
      </c>
      <c r="B36" s="14">
        <f>IF(Produits!$A$35="","",Produits!$B$35)</f>
        <v/>
      </c>
      <c r="C36" s="15">
        <f>IF(Produits!$A$35="","",Produits!$C$35)</f>
        <v/>
      </c>
      <c r="D36" s="10" t="n"/>
      <c r="E36" s="10" t="n"/>
      <c r="F36" s="10" t="n"/>
      <c r="G36" s="16">
        <f>IF(OR(E36="",F36=""),"",F36-E36)</f>
        <v/>
      </c>
      <c r="H36" s="16">
        <f>IF(AND(D36="",F36=""),"",N(D36)+N(F36))</f>
        <v/>
      </c>
    </row>
    <row r="37">
      <c r="A37" s="13">
        <f>IF(Produits!$A$36="","",Produits!$A$36)</f>
        <v/>
      </c>
      <c r="B37" s="14">
        <f>IF(Produits!$A$36="","",Produits!$B$36)</f>
        <v/>
      </c>
      <c r="C37" s="15">
        <f>IF(Produits!$A$36="","",Produits!$C$36)</f>
        <v/>
      </c>
      <c r="D37" s="10" t="n"/>
      <c r="E37" s="10" t="n"/>
      <c r="F37" s="10" t="n"/>
      <c r="G37" s="16">
        <f>IF(OR(E37="",F37=""),"",F37-E37)</f>
        <v/>
      </c>
      <c r="H37" s="16">
        <f>IF(AND(D37="",F37=""),"",N(D37)+N(F37))</f>
        <v/>
      </c>
    </row>
    <row r="38">
      <c r="A38" s="13">
        <f>IF(Produits!$A$37="","",Produits!$A$37)</f>
        <v/>
      </c>
      <c r="B38" s="14">
        <f>IF(Produits!$A$37="","",Produits!$B$37)</f>
        <v/>
      </c>
      <c r="C38" s="15">
        <f>IF(Produits!$A$37="","",Produits!$C$37)</f>
        <v/>
      </c>
      <c r="D38" s="10" t="n"/>
      <c r="E38" s="10" t="n"/>
      <c r="F38" s="10" t="n"/>
      <c r="G38" s="16">
        <f>IF(OR(E38="",F38=""),"",F38-E38)</f>
        <v/>
      </c>
      <c r="H38" s="16">
        <f>IF(AND(D38="",F38=""),"",N(D38)+N(F38))</f>
        <v/>
      </c>
    </row>
    <row r="39">
      <c r="A39" s="13">
        <f>IF(Produits!$A$38="","",Produits!$A$38)</f>
        <v/>
      </c>
      <c r="B39" s="14">
        <f>IF(Produits!$A$38="","",Produits!$B$38)</f>
        <v/>
      </c>
      <c r="C39" s="15">
        <f>IF(Produits!$A$38="","",Produits!$C$38)</f>
        <v/>
      </c>
      <c r="D39" s="10" t="n"/>
      <c r="E39" s="10" t="n"/>
      <c r="F39" s="10" t="n"/>
      <c r="G39" s="16">
        <f>IF(OR(E39="",F39=""),"",F39-E39)</f>
        <v/>
      </c>
      <c r="H39" s="16">
        <f>IF(AND(D39="",F39=""),"",N(D39)+N(F39))</f>
        <v/>
      </c>
    </row>
    <row r="40">
      <c r="A40" s="13">
        <f>IF(Produits!$A$39="","",Produits!$A$39)</f>
        <v/>
      </c>
      <c r="B40" s="14">
        <f>IF(Produits!$A$39="","",Produits!$B$39)</f>
        <v/>
      </c>
      <c r="C40" s="15">
        <f>IF(Produits!$A$39="","",Produits!$C$39)</f>
        <v/>
      </c>
      <c r="D40" s="10" t="n"/>
      <c r="E40" s="10" t="n"/>
      <c r="F40" s="10" t="n"/>
      <c r="G40" s="16">
        <f>IF(OR(E40="",F40=""),"",F40-E40)</f>
        <v/>
      </c>
      <c r="H40" s="16">
        <f>IF(AND(D40="",F40=""),"",N(D40)+N(F40))</f>
        <v/>
      </c>
    </row>
    <row r="41">
      <c r="A41" s="13">
        <f>IF(Produits!$A$40="","",Produits!$A$40)</f>
        <v/>
      </c>
      <c r="B41" s="14">
        <f>IF(Produits!$A$40="","",Produits!$B$40)</f>
        <v/>
      </c>
      <c r="C41" s="15">
        <f>IF(Produits!$A$40="","",Produits!$C$40)</f>
        <v/>
      </c>
      <c r="D41" s="10" t="n"/>
      <c r="E41" s="10" t="n"/>
      <c r="F41" s="10" t="n"/>
      <c r="G41" s="16">
        <f>IF(OR(E41="",F41=""),"",F41-E41)</f>
        <v/>
      </c>
      <c r="H41" s="16">
        <f>IF(AND(D41="",F41=""),"",N(D41)+N(F41))</f>
        <v/>
      </c>
    </row>
    <row r="42">
      <c r="A42" s="13">
        <f>IF(Produits!$A$41="","",Produits!$A$41)</f>
        <v/>
      </c>
      <c r="B42" s="14">
        <f>IF(Produits!$A$41="","",Produits!$B$41)</f>
        <v/>
      </c>
      <c r="C42" s="15">
        <f>IF(Produits!$A$41="","",Produits!$C$41)</f>
        <v/>
      </c>
      <c r="D42" s="10" t="n"/>
      <c r="E42" s="10" t="n"/>
      <c r="F42" s="10" t="n"/>
      <c r="G42" s="16">
        <f>IF(OR(E42="",F42=""),"",F42-E42)</f>
        <v/>
      </c>
      <c r="H42" s="16">
        <f>IF(AND(D42="",F42=""),"",N(D42)+N(F42))</f>
        <v/>
      </c>
    </row>
    <row r="43">
      <c r="A43" s="13">
        <f>IF(Produits!$A$42="","",Produits!$A$42)</f>
        <v/>
      </c>
      <c r="B43" s="14">
        <f>IF(Produits!$A$42="","",Produits!$B$42)</f>
        <v/>
      </c>
      <c r="C43" s="15">
        <f>IF(Produits!$A$42="","",Produits!$C$42)</f>
        <v/>
      </c>
      <c r="D43" s="10" t="n"/>
      <c r="E43" s="10" t="n"/>
      <c r="F43" s="10" t="n"/>
      <c r="G43" s="16">
        <f>IF(OR(E43="",F43=""),"",F43-E43)</f>
        <v/>
      </c>
      <c r="H43" s="16">
        <f>IF(AND(D43="",F43=""),"",N(D43)+N(F43))</f>
        <v/>
      </c>
    </row>
    <row r="44">
      <c r="A44" s="13">
        <f>IF(Produits!$A$43="","",Produits!$A$43)</f>
        <v/>
      </c>
      <c r="B44" s="14">
        <f>IF(Produits!$A$43="","",Produits!$B$43)</f>
        <v/>
      </c>
      <c r="C44" s="15">
        <f>IF(Produits!$A$43="","",Produits!$C$43)</f>
        <v/>
      </c>
      <c r="D44" s="10" t="n"/>
      <c r="E44" s="10" t="n"/>
      <c r="F44" s="10" t="n"/>
      <c r="G44" s="16">
        <f>IF(OR(E44="",F44=""),"",F44-E44)</f>
        <v/>
      </c>
      <c r="H44" s="16">
        <f>IF(AND(D44="",F44=""),"",N(D44)+N(F44))</f>
        <v/>
      </c>
    </row>
    <row r="45">
      <c r="A45" s="13">
        <f>IF(Produits!$A$44="","",Produits!$A$44)</f>
        <v/>
      </c>
      <c r="B45" s="14">
        <f>IF(Produits!$A$44="","",Produits!$B$44)</f>
        <v/>
      </c>
      <c r="C45" s="15">
        <f>IF(Produits!$A$44="","",Produits!$C$44)</f>
        <v/>
      </c>
      <c r="D45" s="10" t="n"/>
      <c r="E45" s="10" t="n"/>
      <c r="F45" s="10" t="n"/>
      <c r="G45" s="16">
        <f>IF(OR(E45="",F45=""),"",F45-E45)</f>
        <v/>
      </c>
      <c r="H45" s="16">
        <f>IF(AND(D45="",F45=""),"",N(D45)+N(F45))</f>
        <v/>
      </c>
    </row>
  </sheetData>
  <conditionalFormatting sqref="G6:G45">
    <cfRule type="expression" priority="1" dxfId="0">
      <formula>AND(ISNUMBER(G6),G6&lt;0)</formula>
    </cfRule>
  </conditionalFormatting>
  <dataValidations count="1">
    <dataValidation sqref="D6:F45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8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</cols>
  <sheetData>
    <row r="1" ht="26" customHeight="1">
      <c r="A1" s="1" t="inlineStr">
        <is>
          <t>Semaine 4</t>
        </is>
      </c>
    </row>
    <row r="2">
      <c r="A2" s="2" t="inlineStr">
        <is>
          <t>Stock = ce qu'il reste · Commandé = ce que tu demandes · Reçu = ce qui est arrivé</t>
        </is>
      </c>
    </row>
    <row r="3">
      <c r="A3" s="11" t="inlineStr">
        <is>
          <t>Date du comptage :</t>
        </is>
      </c>
      <c r="B3" s="12" t="n"/>
    </row>
    <row r="5">
      <c r="A5" s="6" t="inlineStr">
        <is>
          <t>Produit</t>
        </is>
      </c>
      <c r="B5" s="6" t="inlineStr">
        <is>
          <t>Fournisseur</t>
        </is>
      </c>
      <c r="C5" s="6" t="inlineStr">
        <is>
          <t>Unité</t>
        </is>
      </c>
      <c r="D5" s="6" t="inlineStr">
        <is>
          <t>Stock</t>
        </is>
      </c>
      <c r="E5" s="6" t="inlineStr">
        <is>
          <t>Commandé</t>
        </is>
      </c>
      <c r="F5" s="6" t="inlineStr">
        <is>
          <t>Reçu</t>
        </is>
      </c>
      <c r="G5" s="6" t="inlineStr">
        <is>
          <t>Écart</t>
        </is>
      </c>
      <c r="H5" s="6" t="inlineStr">
        <is>
          <t>Total dispo</t>
        </is>
      </c>
    </row>
    <row r="6">
      <c r="A6" s="13">
        <f>IF(Produits!$A$5="","",Produits!$A$5)</f>
        <v/>
      </c>
      <c r="B6" s="14">
        <f>IF(Produits!$A$5="","",Produits!$B$5)</f>
        <v/>
      </c>
      <c r="C6" s="15">
        <f>IF(Produits!$A$5="","",Produits!$C$5)</f>
        <v/>
      </c>
      <c r="D6" s="10" t="n"/>
      <c r="E6" s="10" t="n"/>
      <c r="F6" s="10" t="n"/>
      <c r="G6" s="16">
        <f>IF(OR(E6="",F6=""),"",F6-E6)</f>
        <v/>
      </c>
      <c r="H6" s="16">
        <f>IF(AND(D6="",F6=""),"",N(D6)+N(F6))</f>
        <v/>
      </c>
    </row>
    <row r="7">
      <c r="A7" s="13">
        <f>IF(Produits!$A$6="","",Produits!$A$6)</f>
        <v/>
      </c>
      <c r="B7" s="14">
        <f>IF(Produits!$A$6="","",Produits!$B$6)</f>
        <v/>
      </c>
      <c r="C7" s="15">
        <f>IF(Produits!$A$6="","",Produits!$C$6)</f>
        <v/>
      </c>
      <c r="D7" s="10" t="n"/>
      <c r="E7" s="10" t="n"/>
      <c r="F7" s="10" t="n"/>
      <c r="G7" s="16">
        <f>IF(OR(E7="",F7=""),"",F7-E7)</f>
        <v/>
      </c>
      <c r="H7" s="16">
        <f>IF(AND(D7="",F7=""),"",N(D7)+N(F7))</f>
        <v/>
      </c>
    </row>
    <row r="8">
      <c r="A8" s="13">
        <f>IF(Produits!$A$7="","",Produits!$A$7)</f>
        <v/>
      </c>
      <c r="B8" s="14">
        <f>IF(Produits!$A$7="","",Produits!$B$7)</f>
        <v/>
      </c>
      <c r="C8" s="15">
        <f>IF(Produits!$A$7="","",Produits!$C$7)</f>
        <v/>
      </c>
      <c r="D8" s="10" t="n"/>
      <c r="E8" s="10" t="n"/>
      <c r="F8" s="10" t="n"/>
      <c r="G8" s="16">
        <f>IF(OR(E8="",F8=""),"",F8-E8)</f>
        <v/>
      </c>
      <c r="H8" s="16">
        <f>IF(AND(D8="",F8=""),"",N(D8)+N(F8))</f>
        <v/>
      </c>
    </row>
    <row r="9">
      <c r="A9" s="13">
        <f>IF(Produits!$A$8="","",Produits!$A$8)</f>
        <v/>
      </c>
      <c r="B9" s="14">
        <f>IF(Produits!$A$8="","",Produits!$B$8)</f>
        <v/>
      </c>
      <c r="C9" s="15">
        <f>IF(Produits!$A$8="","",Produits!$C$8)</f>
        <v/>
      </c>
      <c r="D9" s="10" t="n"/>
      <c r="E9" s="10" t="n"/>
      <c r="F9" s="10" t="n"/>
      <c r="G9" s="16">
        <f>IF(OR(E9="",F9=""),"",F9-E9)</f>
        <v/>
      </c>
      <c r="H9" s="16">
        <f>IF(AND(D9="",F9=""),"",N(D9)+N(F9))</f>
        <v/>
      </c>
    </row>
    <row r="10">
      <c r="A10" s="13">
        <f>IF(Produits!$A$9="","",Produits!$A$9)</f>
        <v/>
      </c>
      <c r="B10" s="14">
        <f>IF(Produits!$A$9="","",Produits!$B$9)</f>
        <v/>
      </c>
      <c r="C10" s="15">
        <f>IF(Produits!$A$9="","",Produits!$C$9)</f>
        <v/>
      </c>
      <c r="D10" s="10" t="n"/>
      <c r="E10" s="10" t="n"/>
      <c r="F10" s="10" t="n"/>
      <c r="G10" s="16">
        <f>IF(OR(E10="",F10=""),"",F10-E10)</f>
        <v/>
      </c>
      <c r="H10" s="16">
        <f>IF(AND(D10="",F10=""),"",N(D10)+N(F10))</f>
        <v/>
      </c>
    </row>
    <row r="11">
      <c r="A11" s="13">
        <f>IF(Produits!$A$10="","",Produits!$A$10)</f>
        <v/>
      </c>
      <c r="B11" s="14">
        <f>IF(Produits!$A$10="","",Produits!$B$10)</f>
        <v/>
      </c>
      <c r="C11" s="15">
        <f>IF(Produits!$A$10="","",Produits!$C$10)</f>
        <v/>
      </c>
      <c r="D11" s="10" t="n"/>
      <c r="E11" s="10" t="n"/>
      <c r="F11" s="10" t="n"/>
      <c r="G11" s="16">
        <f>IF(OR(E11="",F11=""),"",F11-E11)</f>
        <v/>
      </c>
      <c r="H11" s="16">
        <f>IF(AND(D11="",F11=""),"",N(D11)+N(F11))</f>
        <v/>
      </c>
    </row>
    <row r="12">
      <c r="A12" s="13">
        <f>IF(Produits!$A$11="","",Produits!$A$11)</f>
        <v/>
      </c>
      <c r="B12" s="14">
        <f>IF(Produits!$A$11="","",Produits!$B$11)</f>
        <v/>
      </c>
      <c r="C12" s="15">
        <f>IF(Produits!$A$11="","",Produits!$C$11)</f>
        <v/>
      </c>
      <c r="D12" s="10" t="n"/>
      <c r="E12" s="10" t="n"/>
      <c r="F12" s="10" t="n"/>
      <c r="G12" s="16">
        <f>IF(OR(E12="",F12=""),"",F12-E12)</f>
        <v/>
      </c>
      <c r="H12" s="16">
        <f>IF(AND(D12="",F12=""),"",N(D12)+N(F12))</f>
        <v/>
      </c>
    </row>
    <row r="13">
      <c r="A13" s="13">
        <f>IF(Produits!$A$12="","",Produits!$A$12)</f>
        <v/>
      </c>
      <c r="B13" s="14">
        <f>IF(Produits!$A$12="","",Produits!$B$12)</f>
        <v/>
      </c>
      <c r="C13" s="15">
        <f>IF(Produits!$A$12="","",Produits!$C$12)</f>
        <v/>
      </c>
      <c r="D13" s="10" t="n"/>
      <c r="E13" s="10" t="n"/>
      <c r="F13" s="10" t="n"/>
      <c r="G13" s="16">
        <f>IF(OR(E13="",F13=""),"",F13-E13)</f>
        <v/>
      </c>
      <c r="H13" s="16">
        <f>IF(AND(D13="",F13=""),"",N(D13)+N(F13))</f>
        <v/>
      </c>
    </row>
    <row r="14">
      <c r="A14" s="13">
        <f>IF(Produits!$A$13="","",Produits!$A$13)</f>
        <v/>
      </c>
      <c r="B14" s="14">
        <f>IF(Produits!$A$13="","",Produits!$B$13)</f>
        <v/>
      </c>
      <c r="C14" s="15">
        <f>IF(Produits!$A$13="","",Produits!$C$13)</f>
        <v/>
      </c>
      <c r="D14" s="10" t="n"/>
      <c r="E14" s="10" t="n"/>
      <c r="F14" s="10" t="n"/>
      <c r="G14" s="16">
        <f>IF(OR(E14="",F14=""),"",F14-E14)</f>
        <v/>
      </c>
      <c r="H14" s="16">
        <f>IF(AND(D14="",F14=""),"",N(D14)+N(F14))</f>
        <v/>
      </c>
    </row>
    <row r="15">
      <c r="A15" s="13">
        <f>IF(Produits!$A$14="","",Produits!$A$14)</f>
        <v/>
      </c>
      <c r="B15" s="14">
        <f>IF(Produits!$A$14="","",Produits!$B$14)</f>
        <v/>
      </c>
      <c r="C15" s="15">
        <f>IF(Produits!$A$14="","",Produits!$C$14)</f>
        <v/>
      </c>
      <c r="D15" s="10" t="n"/>
      <c r="E15" s="10" t="n"/>
      <c r="F15" s="10" t="n"/>
      <c r="G15" s="16">
        <f>IF(OR(E15="",F15=""),"",F15-E15)</f>
        <v/>
      </c>
      <c r="H15" s="16">
        <f>IF(AND(D15="",F15=""),"",N(D15)+N(F15))</f>
        <v/>
      </c>
    </row>
    <row r="16">
      <c r="A16" s="13">
        <f>IF(Produits!$A$15="","",Produits!$A$15)</f>
        <v/>
      </c>
      <c r="B16" s="14">
        <f>IF(Produits!$A$15="","",Produits!$B$15)</f>
        <v/>
      </c>
      <c r="C16" s="15">
        <f>IF(Produits!$A$15="","",Produits!$C$15)</f>
        <v/>
      </c>
      <c r="D16" s="10" t="n"/>
      <c r="E16" s="10" t="n"/>
      <c r="F16" s="10" t="n"/>
      <c r="G16" s="16">
        <f>IF(OR(E16="",F16=""),"",F16-E16)</f>
        <v/>
      </c>
      <c r="H16" s="16">
        <f>IF(AND(D16="",F16=""),"",N(D16)+N(F16))</f>
        <v/>
      </c>
    </row>
    <row r="17">
      <c r="A17" s="13">
        <f>IF(Produits!$A$16="","",Produits!$A$16)</f>
        <v/>
      </c>
      <c r="B17" s="14">
        <f>IF(Produits!$A$16="","",Produits!$B$16)</f>
        <v/>
      </c>
      <c r="C17" s="15">
        <f>IF(Produits!$A$16="","",Produits!$C$16)</f>
        <v/>
      </c>
      <c r="D17" s="10" t="n"/>
      <c r="E17" s="10" t="n"/>
      <c r="F17" s="10" t="n"/>
      <c r="G17" s="16">
        <f>IF(OR(E17="",F17=""),"",F17-E17)</f>
        <v/>
      </c>
      <c r="H17" s="16">
        <f>IF(AND(D17="",F17=""),"",N(D17)+N(F17))</f>
        <v/>
      </c>
    </row>
    <row r="18">
      <c r="A18" s="13">
        <f>IF(Produits!$A$17="","",Produits!$A$17)</f>
        <v/>
      </c>
      <c r="B18" s="14">
        <f>IF(Produits!$A$17="","",Produits!$B$17)</f>
        <v/>
      </c>
      <c r="C18" s="15">
        <f>IF(Produits!$A$17="","",Produits!$C$17)</f>
        <v/>
      </c>
      <c r="D18" s="10" t="n"/>
      <c r="E18" s="10" t="n"/>
      <c r="F18" s="10" t="n"/>
      <c r="G18" s="16">
        <f>IF(OR(E18="",F18=""),"",F18-E18)</f>
        <v/>
      </c>
      <c r="H18" s="16">
        <f>IF(AND(D18="",F18=""),"",N(D18)+N(F18))</f>
        <v/>
      </c>
    </row>
    <row r="19">
      <c r="A19" s="13">
        <f>IF(Produits!$A$18="","",Produits!$A$18)</f>
        <v/>
      </c>
      <c r="B19" s="14">
        <f>IF(Produits!$A$18="","",Produits!$B$18)</f>
        <v/>
      </c>
      <c r="C19" s="15">
        <f>IF(Produits!$A$18="","",Produits!$C$18)</f>
        <v/>
      </c>
      <c r="D19" s="10" t="n"/>
      <c r="E19" s="10" t="n"/>
      <c r="F19" s="10" t="n"/>
      <c r="G19" s="16">
        <f>IF(OR(E19="",F19=""),"",F19-E19)</f>
        <v/>
      </c>
      <c r="H19" s="16">
        <f>IF(AND(D19="",F19=""),"",N(D19)+N(F19))</f>
        <v/>
      </c>
    </row>
    <row r="20">
      <c r="A20" s="13">
        <f>IF(Produits!$A$19="","",Produits!$A$19)</f>
        <v/>
      </c>
      <c r="B20" s="14">
        <f>IF(Produits!$A$19="","",Produits!$B$19)</f>
        <v/>
      </c>
      <c r="C20" s="15">
        <f>IF(Produits!$A$19="","",Produits!$C$19)</f>
        <v/>
      </c>
      <c r="D20" s="10" t="n"/>
      <c r="E20" s="10" t="n"/>
      <c r="F20" s="10" t="n"/>
      <c r="G20" s="16">
        <f>IF(OR(E20="",F20=""),"",F20-E20)</f>
        <v/>
      </c>
      <c r="H20" s="16">
        <f>IF(AND(D20="",F20=""),"",N(D20)+N(F20))</f>
        <v/>
      </c>
    </row>
    <row r="21">
      <c r="A21" s="13">
        <f>IF(Produits!$A$20="","",Produits!$A$20)</f>
        <v/>
      </c>
      <c r="B21" s="14">
        <f>IF(Produits!$A$20="","",Produits!$B$20)</f>
        <v/>
      </c>
      <c r="C21" s="15">
        <f>IF(Produits!$A$20="","",Produits!$C$20)</f>
        <v/>
      </c>
      <c r="D21" s="10" t="n"/>
      <c r="E21" s="10" t="n"/>
      <c r="F21" s="10" t="n"/>
      <c r="G21" s="16">
        <f>IF(OR(E21="",F21=""),"",F21-E21)</f>
        <v/>
      </c>
      <c r="H21" s="16">
        <f>IF(AND(D21="",F21=""),"",N(D21)+N(F21))</f>
        <v/>
      </c>
    </row>
    <row r="22">
      <c r="A22" s="13">
        <f>IF(Produits!$A$21="","",Produits!$A$21)</f>
        <v/>
      </c>
      <c r="B22" s="14">
        <f>IF(Produits!$A$21="","",Produits!$B$21)</f>
        <v/>
      </c>
      <c r="C22" s="15">
        <f>IF(Produits!$A$21="","",Produits!$C$21)</f>
        <v/>
      </c>
      <c r="D22" s="10" t="n"/>
      <c r="E22" s="10" t="n"/>
      <c r="F22" s="10" t="n"/>
      <c r="G22" s="16">
        <f>IF(OR(E22="",F22=""),"",F22-E22)</f>
        <v/>
      </c>
      <c r="H22" s="16">
        <f>IF(AND(D22="",F22=""),"",N(D22)+N(F22))</f>
        <v/>
      </c>
    </row>
    <row r="23">
      <c r="A23" s="13">
        <f>IF(Produits!$A$22="","",Produits!$A$22)</f>
        <v/>
      </c>
      <c r="B23" s="14">
        <f>IF(Produits!$A$22="","",Produits!$B$22)</f>
        <v/>
      </c>
      <c r="C23" s="15">
        <f>IF(Produits!$A$22="","",Produits!$C$22)</f>
        <v/>
      </c>
      <c r="D23" s="10" t="n"/>
      <c r="E23" s="10" t="n"/>
      <c r="F23" s="10" t="n"/>
      <c r="G23" s="16">
        <f>IF(OR(E23="",F23=""),"",F23-E23)</f>
        <v/>
      </c>
      <c r="H23" s="16">
        <f>IF(AND(D23="",F23=""),"",N(D23)+N(F23))</f>
        <v/>
      </c>
    </row>
    <row r="24">
      <c r="A24" s="13">
        <f>IF(Produits!$A$23="","",Produits!$A$23)</f>
        <v/>
      </c>
      <c r="B24" s="14">
        <f>IF(Produits!$A$23="","",Produits!$B$23)</f>
        <v/>
      </c>
      <c r="C24" s="15">
        <f>IF(Produits!$A$23="","",Produits!$C$23)</f>
        <v/>
      </c>
      <c r="D24" s="10" t="n"/>
      <c r="E24" s="10" t="n"/>
      <c r="F24" s="10" t="n"/>
      <c r="G24" s="16">
        <f>IF(OR(E24="",F24=""),"",F24-E24)</f>
        <v/>
      </c>
      <c r="H24" s="16">
        <f>IF(AND(D24="",F24=""),"",N(D24)+N(F24))</f>
        <v/>
      </c>
    </row>
    <row r="25">
      <c r="A25" s="13">
        <f>IF(Produits!$A$24="","",Produits!$A$24)</f>
        <v/>
      </c>
      <c r="B25" s="14">
        <f>IF(Produits!$A$24="","",Produits!$B$24)</f>
        <v/>
      </c>
      <c r="C25" s="15">
        <f>IF(Produits!$A$24="","",Produits!$C$24)</f>
        <v/>
      </c>
      <c r="D25" s="10" t="n"/>
      <c r="E25" s="10" t="n"/>
      <c r="F25" s="10" t="n"/>
      <c r="G25" s="16">
        <f>IF(OR(E25="",F25=""),"",F25-E25)</f>
        <v/>
      </c>
      <c r="H25" s="16">
        <f>IF(AND(D25="",F25=""),"",N(D25)+N(F25))</f>
        <v/>
      </c>
    </row>
    <row r="26">
      <c r="A26" s="13">
        <f>IF(Produits!$A$25="","",Produits!$A$25)</f>
        <v/>
      </c>
      <c r="B26" s="14">
        <f>IF(Produits!$A$25="","",Produits!$B$25)</f>
        <v/>
      </c>
      <c r="C26" s="15">
        <f>IF(Produits!$A$25="","",Produits!$C$25)</f>
        <v/>
      </c>
      <c r="D26" s="10" t="n"/>
      <c r="E26" s="10" t="n"/>
      <c r="F26" s="10" t="n"/>
      <c r="G26" s="16">
        <f>IF(OR(E26="",F26=""),"",F26-E26)</f>
        <v/>
      </c>
      <c r="H26" s="16">
        <f>IF(AND(D26="",F26=""),"",N(D26)+N(F26))</f>
        <v/>
      </c>
    </row>
    <row r="27">
      <c r="A27" s="13">
        <f>IF(Produits!$A$26="","",Produits!$A$26)</f>
        <v/>
      </c>
      <c r="B27" s="14">
        <f>IF(Produits!$A$26="","",Produits!$B$26)</f>
        <v/>
      </c>
      <c r="C27" s="15">
        <f>IF(Produits!$A$26="","",Produits!$C$26)</f>
        <v/>
      </c>
      <c r="D27" s="10" t="n"/>
      <c r="E27" s="10" t="n"/>
      <c r="F27" s="10" t="n"/>
      <c r="G27" s="16">
        <f>IF(OR(E27="",F27=""),"",F27-E27)</f>
        <v/>
      </c>
      <c r="H27" s="16">
        <f>IF(AND(D27="",F27=""),"",N(D27)+N(F27))</f>
        <v/>
      </c>
    </row>
    <row r="28">
      <c r="A28" s="13">
        <f>IF(Produits!$A$27="","",Produits!$A$27)</f>
        <v/>
      </c>
      <c r="B28" s="14">
        <f>IF(Produits!$A$27="","",Produits!$B$27)</f>
        <v/>
      </c>
      <c r="C28" s="15">
        <f>IF(Produits!$A$27="","",Produits!$C$27)</f>
        <v/>
      </c>
      <c r="D28" s="10" t="n"/>
      <c r="E28" s="10" t="n"/>
      <c r="F28" s="10" t="n"/>
      <c r="G28" s="16">
        <f>IF(OR(E28="",F28=""),"",F28-E28)</f>
        <v/>
      </c>
      <c r="H28" s="16">
        <f>IF(AND(D28="",F28=""),"",N(D28)+N(F28))</f>
        <v/>
      </c>
    </row>
    <row r="29">
      <c r="A29" s="13">
        <f>IF(Produits!$A$28="","",Produits!$A$28)</f>
        <v/>
      </c>
      <c r="B29" s="14">
        <f>IF(Produits!$A$28="","",Produits!$B$28)</f>
        <v/>
      </c>
      <c r="C29" s="15">
        <f>IF(Produits!$A$28="","",Produits!$C$28)</f>
        <v/>
      </c>
      <c r="D29" s="10" t="n"/>
      <c r="E29" s="10" t="n"/>
      <c r="F29" s="10" t="n"/>
      <c r="G29" s="16">
        <f>IF(OR(E29="",F29=""),"",F29-E29)</f>
        <v/>
      </c>
      <c r="H29" s="16">
        <f>IF(AND(D29="",F29=""),"",N(D29)+N(F29))</f>
        <v/>
      </c>
    </row>
    <row r="30">
      <c r="A30" s="13">
        <f>IF(Produits!$A$29="","",Produits!$A$29)</f>
        <v/>
      </c>
      <c r="B30" s="14">
        <f>IF(Produits!$A$29="","",Produits!$B$29)</f>
        <v/>
      </c>
      <c r="C30" s="15">
        <f>IF(Produits!$A$29="","",Produits!$C$29)</f>
        <v/>
      </c>
      <c r="D30" s="10" t="n"/>
      <c r="E30" s="10" t="n"/>
      <c r="F30" s="10" t="n"/>
      <c r="G30" s="16">
        <f>IF(OR(E30="",F30=""),"",F30-E30)</f>
        <v/>
      </c>
      <c r="H30" s="16">
        <f>IF(AND(D30="",F30=""),"",N(D30)+N(F30))</f>
        <v/>
      </c>
    </row>
    <row r="31">
      <c r="A31" s="13">
        <f>IF(Produits!$A$30="","",Produits!$A$30)</f>
        <v/>
      </c>
      <c r="B31" s="14">
        <f>IF(Produits!$A$30="","",Produits!$B$30)</f>
        <v/>
      </c>
      <c r="C31" s="15">
        <f>IF(Produits!$A$30="","",Produits!$C$30)</f>
        <v/>
      </c>
      <c r="D31" s="10" t="n"/>
      <c r="E31" s="10" t="n"/>
      <c r="F31" s="10" t="n"/>
      <c r="G31" s="16">
        <f>IF(OR(E31="",F31=""),"",F31-E31)</f>
        <v/>
      </c>
      <c r="H31" s="16">
        <f>IF(AND(D31="",F31=""),"",N(D31)+N(F31))</f>
        <v/>
      </c>
    </row>
    <row r="32">
      <c r="A32" s="13">
        <f>IF(Produits!$A$31="","",Produits!$A$31)</f>
        <v/>
      </c>
      <c r="B32" s="14">
        <f>IF(Produits!$A$31="","",Produits!$B$31)</f>
        <v/>
      </c>
      <c r="C32" s="15">
        <f>IF(Produits!$A$31="","",Produits!$C$31)</f>
        <v/>
      </c>
      <c r="D32" s="10" t="n"/>
      <c r="E32" s="10" t="n"/>
      <c r="F32" s="10" t="n"/>
      <c r="G32" s="16">
        <f>IF(OR(E32="",F32=""),"",F32-E32)</f>
        <v/>
      </c>
      <c r="H32" s="16">
        <f>IF(AND(D32="",F32=""),"",N(D32)+N(F32))</f>
        <v/>
      </c>
    </row>
    <row r="33">
      <c r="A33" s="13">
        <f>IF(Produits!$A$32="","",Produits!$A$32)</f>
        <v/>
      </c>
      <c r="B33" s="14">
        <f>IF(Produits!$A$32="","",Produits!$B$32)</f>
        <v/>
      </c>
      <c r="C33" s="15">
        <f>IF(Produits!$A$32="","",Produits!$C$32)</f>
        <v/>
      </c>
      <c r="D33" s="10" t="n"/>
      <c r="E33" s="10" t="n"/>
      <c r="F33" s="10" t="n"/>
      <c r="G33" s="16">
        <f>IF(OR(E33="",F33=""),"",F33-E33)</f>
        <v/>
      </c>
      <c r="H33" s="16">
        <f>IF(AND(D33="",F33=""),"",N(D33)+N(F33))</f>
        <v/>
      </c>
    </row>
    <row r="34">
      <c r="A34" s="13">
        <f>IF(Produits!$A$33="","",Produits!$A$33)</f>
        <v/>
      </c>
      <c r="B34" s="14">
        <f>IF(Produits!$A$33="","",Produits!$B$33)</f>
        <v/>
      </c>
      <c r="C34" s="15">
        <f>IF(Produits!$A$33="","",Produits!$C$33)</f>
        <v/>
      </c>
      <c r="D34" s="10" t="n"/>
      <c r="E34" s="10" t="n"/>
      <c r="F34" s="10" t="n"/>
      <c r="G34" s="16">
        <f>IF(OR(E34="",F34=""),"",F34-E34)</f>
        <v/>
      </c>
      <c r="H34" s="16">
        <f>IF(AND(D34="",F34=""),"",N(D34)+N(F34))</f>
        <v/>
      </c>
    </row>
    <row r="35">
      <c r="A35" s="13">
        <f>IF(Produits!$A$34="","",Produits!$A$34)</f>
        <v/>
      </c>
      <c r="B35" s="14">
        <f>IF(Produits!$A$34="","",Produits!$B$34)</f>
        <v/>
      </c>
      <c r="C35" s="15">
        <f>IF(Produits!$A$34="","",Produits!$C$34)</f>
        <v/>
      </c>
      <c r="D35" s="10" t="n"/>
      <c r="E35" s="10" t="n"/>
      <c r="F35" s="10" t="n"/>
      <c r="G35" s="16">
        <f>IF(OR(E35="",F35=""),"",F35-E35)</f>
        <v/>
      </c>
      <c r="H35" s="16">
        <f>IF(AND(D35="",F35=""),"",N(D35)+N(F35))</f>
        <v/>
      </c>
    </row>
    <row r="36">
      <c r="A36" s="13">
        <f>IF(Produits!$A$35="","",Produits!$A$35)</f>
        <v/>
      </c>
      <c r="B36" s="14">
        <f>IF(Produits!$A$35="","",Produits!$B$35)</f>
        <v/>
      </c>
      <c r="C36" s="15">
        <f>IF(Produits!$A$35="","",Produits!$C$35)</f>
        <v/>
      </c>
      <c r="D36" s="10" t="n"/>
      <c r="E36" s="10" t="n"/>
      <c r="F36" s="10" t="n"/>
      <c r="G36" s="16">
        <f>IF(OR(E36="",F36=""),"",F36-E36)</f>
        <v/>
      </c>
      <c r="H36" s="16">
        <f>IF(AND(D36="",F36=""),"",N(D36)+N(F36))</f>
        <v/>
      </c>
    </row>
    <row r="37">
      <c r="A37" s="13">
        <f>IF(Produits!$A$36="","",Produits!$A$36)</f>
        <v/>
      </c>
      <c r="B37" s="14">
        <f>IF(Produits!$A$36="","",Produits!$B$36)</f>
        <v/>
      </c>
      <c r="C37" s="15">
        <f>IF(Produits!$A$36="","",Produits!$C$36)</f>
        <v/>
      </c>
      <c r="D37" s="10" t="n"/>
      <c r="E37" s="10" t="n"/>
      <c r="F37" s="10" t="n"/>
      <c r="G37" s="16">
        <f>IF(OR(E37="",F37=""),"",F37-E37)</f>
        <v/>
      </c>
      <c r="H37" s="16">
        <f>IF(AND(D37="",F37=""),"",N(D37)+N(F37))</f>
        <v/>
      </c>
    </row>
    <row r="38">
      <c r="A38" s="13">
        <f>IF(Produits!$A$37="","",Produits!$A$37)</f>
        <v/>
      </c>
      <c r="B38" s="14">
        <f>IF(Produits!$A$37="","",Produits!$B$37)</f>
        <v/>
      </c>
      <c r="C38" s="15">
        <f>IF(Produits!$A$37="","",Produits!$C$37)</f>
        <v/>
      </c>
      <c r="D38" s="10" t="n"/>
      <c r="E38" s="10" t="n"/>
      <c r="F38" s="10" t="n"/>
      <c r="G38" s="16">
        <f>IF(OR(E38="",F38=""),"",F38-E38)</f>
        <v/>
      </c>
      <c r="H38" s="16">
        <f>IF(AND(D38="",F38=""),"",N(D38)+N(F38))</f>
        <v/>
      </c>
    </row>
    <row r="39">
      <c r="A39" s="13">
        <f>IF(Produits!$A$38="","",Produits!$A$38)</f>
        <v/>
      </c>
      <c r="B39" s="14">
        <f>IF(Produits!$A$38="","",Produits!$B$38)</f>
        <v/>
      </c>
      <c r="C39" s="15">
        <f>IF(Produits!$A$38="","",Produits!$C$38)</f>
        <v/>
      </c>
      <c r="D39" s="10" t="n"/>
      <c r="E39" s="10" t="n"/>
      <c r="F39" s="10" t="n"/>
      <c r="G39" s="16">
        <f>IF(OR(E39="",F39=""),"",F39-E39)</f>
        <v/>
      </c>
      <c r="H39" s="16">
        <f>IF(AND(D39="",F39=""),"",N(D39)+N(F39))</f>
        <v/>
      </c>
    </row>
    <row r="40">
      <c r="A40" s="13">
        <f>IF(Produits!$A$39="","",Produits!$A$39)</f>
        <v/>
      </c>
      <c r="B40" s="14">
        <f>IF(Produits!$A$39="","",Produits!$B$39)</f>
        <v/>
      </c>
      <c r="C40" s="15">
        <f>IF(Produits!$A$39="","",Produits!$C$39)</f>
        <v/>
      </c>
      <c r="D40" s="10" t="n"/>
      <c r="E40" s="10" t="n"/>
      <c r="F40" s="10" t="n"/>
      <c r="G40" s="16">
        <f>IF(OR(E40="",F40=""),"",F40-E40)</f>
        <v/>
      </c>
      <c r="H40" s="16">
        <f>IF(AND(D40="",F40=""),"",N(D40)+N(F40))</f>
        <v/>
      </c>
    </row>
    <row r="41">
      <c r="A41" s="13">
        <f>IF(Produits!$A$40="","",Produits!$A$40)</f>
        <v/>
      </c>
      <c r="B41" s="14">
        <f>IF(Produits!$A$40="","",Produits!$B$40)</f>
        <v/>
      </c>
      <c r="C41" s="15">
        <f>IF(Produits!$A$40="","",Produits!$C$40)</f>
        <v/>
      </c>
      <c r="D41" s="10" t="n"/>
      <c r="E41" s="10" t="n"/>
      <c r="F41" s="10" t="n"/>
      <c r="G41" s="16">
        <f>IF(OR(E41="",F41=""),"",F41-E41)</f>
        <v/>
      </c>
      <c r="H41" s="16">
        <f>IF(AND(D41="",F41=""),"",N(D41)+N(F41))</f>
        <v/>
      </c>
    </row>
    <row r="42">
      <c r="A42" s="13">
        <f>IF(Produits!$A$41="","",Produits!$A$41)</f>
        <v/>
      </c>
      <c r="B42" s="14">
        <f>IF(Produits!$A$41="","",Produits!$B$41)</f>
        <v/>
      </c>
      <c r="C42" s="15">
        <f>IF(Produits!$A$41="","",Produits!$C$41)</f>
        <v/>
      </c>
      <c r="D42" s="10" t="n"/>
      <c r="E42" s="10" t="n"/>
      <c r="F42" s="10" t="n"/>
      <c r="G42" s="16">
        <f>IF(OR(E42="",F42=""),"",F42-E42)</f>
        <v/>
      </c>
      <c r="H42" s="16">
        <f>IF(AND(D42="",F42=""),"",N(D42)+N(F42))</f>
        <v/>
      </c>
    </row>
    <row r="43">
      <c r="A43" s="13">
        <f>IF(Produits!$A$42="","",Produits!$A$42)</f>
        <v/>
      </c>
      <c r="B43" s="14">
        <f>IF(Produits!$A$42="","",Produits!$B$42)</f>
        <v/>
      </c>
      <c r="C43" s="15">
        <f>IF(Produits!$A$42="","",Produits!$C$42)</f>
        <v/>
      </c>
      <c r="D43" s="10" t="n"/>
      <c r="E43" s="10" t="n"/>
      <c r="F43" s="10" t="n"/>
      <c r="G43" s="16">
        <f>IF(OR(E43="",F43=""),"",F43-E43)</f>
        <v/>
      </c>
      <c r="H43" s="16">
        <f>IF(AND(D43="",F43=""),"",N(D43)+N(F43))</f>
        <v/>
      </c>
    </row>
    <row r="44">
      <c r="A44" s="13">
        <f>IF(Produits!$A$43="","",Produits!$A$43)</f>
        <v/>
      </c>
      <c r="B44" s="14">
        <f>IF(Produits!$A$43="","",Produits!$B$43)</f>
        <v/>
      </c>
      <c r="C44" s="15">
        <f>IF(Produits!$A$43="","",Produits!$C$43)</f>
        <v/>
      </c>
      <c r="D44" s="10" t="n"/>
      <c r="E44" s="10" t="n"/>
      <c r="F44" s="10" t="n"/>
      <c r="G44" s="16">
        <f>IF(OR(E44="",F44=""),"",F44-E44)</f>
        <v/>
      </c>
      <c r="H44" s="16">
        <f>IF(AND(D44="",F44=""),"",N(D44)+N(F44))</f>
        <v/>
      </c>
    </row>
    <row r="45">
      <c r="A45" s="13">
        <f>IF(Produits!$A$44="","",Produits!$A$44)</f>
        <v/>
      </c>
      <c r="B45" s="14">
        <f>IF(Produits!$A$44="","",Produits!$B$44)</f>
        <v/>
      </c>
      <c r="C45" s="15">
        <f>IF(Produits!$A$44="","",Produits!$C$44)</f>
        <v/>
      </c>
      <c r="D45" s="10" t="n"/>
      <c r="E45" s="10" t="n"/>
      <c r="F45" s="10" t="n"/>
      <c r="G45" s="16">
        <f>IF(OR(E45="",F45=""),"",F45-E45)</f>
        <v/>
      </c>
      <c r="H45" s="16">
        <f>IF(AND(D45="",F45=""),"",N(D45)+N(F45))</f>
        <v/>
      </c>
    </row>
  </sheetData>
  <conditionalFormatting sqref="G6:G45">
    <cfRule type="expression" priority="1" dxfId="0">
      <formula>AND(ISNUMBER(G6),G6&lt;0)</formula>
    </cfRule>
  </conditionalFormatting>
  <dataValidations count="1">
    <dataValidation sqref="D6:F45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10" customWidth="1" min="9" max="9"/>
    <col width="13" customWidth="1" min="10" max="10"/>
  </cols>
  <sheetData>
    <row r="1" ht="26" customHeight="1">
      <c r="A1" s="1" t="inlineStr">
        <is>
          <t>Récap du mois</t>
        </is>
      </c>
    </row>
    <row r="2">
      <c r="A2" s="2" t="inlineStr">
        <is>
          <t>Calculé à partir des 4 semaines — rien à remplir ici</t>
        </is>
      </c>
    </row>
    <row r="4">
      <c r="A4" s="6" t="inlineStr">
        <is>
          <t>Produit</t>
        </is>
      </c>
      <c r="B4" s="6" t="inlineStr">
        <is>
          <t>Unité</t>
        </is>
      </c>
      <c r="C4" s="6" t="inlineStr">
        <is>
          <t>Commandé S1</t>
        </is>
      </c>
      <c r="D4" s="6" t="inlineStr">
        <is>
          <t>Commandé S2</t>
        </is>
      </c>
      <c r="E4" s="6" t="inlineStr">
        <is>
          <t>Commandé S3</t>
        </is>
      </c>
      <c r="F4" s="6" t="inlineStr">
        <is>
          <t>Commandé S4</t>
        </is>
      </c>
      <c r="G4" s="6" t="inlineStr">
        <is>
          <t>Total commandé</t>
        </is>
      </c>
      <c r="H4" s="6" t="inlineStr">
        <is>
          <t>Total reçu</t>
        </is>
      </c>
      <c r="I4" s="6" t="inlineStr">
        <is>
          <t>Manque</t>
        </is>
      </c>
      <c r="J4" s="6" t="inlineStr">
        <is>
          <t>Dernier stock</t>
        </is>
      </c>
    </row>
    <row r="5">
      <c r="A5" s="13">
        <f>IF(Produits!$A$5="","",Produits!$A$5)</f>
        <v/>
      </c>
      <c r="B5" s="15">
        <f>IF(Produits!$A$5="","",Produits!$C$5)</f>
        <v/>
      </c>
      <c r="C5" s="16">
        <f>IF('Semaine 1'!E6="","",'Semaine 1'!E6)</f>
        <v/>
      </c>
      <c r="D5" s="16">
        <f>IF('Semaine 2'!E6="","",'Semaine 2'!E6)</f>
        <v/>
      </c>
      <c r="E5" s="16">
        <f>IF('Semaine 3'!E6="","",'Semaine 3'!E6)</f>
        <v/>
      </c>
      <c r="F5" s="16">
        <f>IF('Semaine 4'!E6="","",'Semaine 4'!E6)</f>
        <v/>
      </c>
      <c r="G5" s="17">
        <f>IF(COUNT('Semaine 1'!E6,'Semaine 2'!E6,'Semaine 3'!E6,'Semaine 4'!E6)=0,"",SUM('Semaine 1'!E6,'Semaine 2'!E6,'Semaine 3'!E6,'Semaine 4'!E6))</f>
        <v/>
      </c>
      <c r="H5" s="17">
        <f>IF(COUNT('Semaine 1'!F6,'Semaine 2'!F6,'Semaine 3'!F6,'Semaine 4'!F6)=0,"",SUM('Semaine 1'!F6,'Semaine 2'!F6,'Semaine 3'!F6,'Semaine 4'!F6))</f>
        <v/>
      </c>
      <c r="I5" s="16">
        <f>IF(OR(G5="",H5=""),"",H5-G5)</f>
        <v/>
      </c>
      <c r="J5" s="17">
        <f>IF('Semaine 4'!D6&lt;&gt;"",'Semaine 4'!D6,IF('Semaine 3'!D6&lt;&gt;"",'Semaine 3'!D6,IF('Semaine 2'!D6&lt;&gt;"",'Semaine 2'!D6,IF('Semaine 1'!D6&lt;&gt;"",'Semaine 1'!D6,""))))</f>
        <v/>
      </c>
    </row>
    <row r="6">
      <c r="A6" s="13">
        <f>IF(Produits!$A$6="","",Produits!$A$6)</f>
        <v/>
      </c>
      <c r="B6" s="15">
        <f>IF(Produits!$A$6="","",Produits!$C$6)</f>
        <v/>
      </c>
      <c r="C6" s="16">
        <f>IF('Semaine 1'!E7="","",'Semaine 1'!E7)</f>
        <v/>
      </c>
      <c r="D6" s="16">
        <f>IF('Semaine 2'!E7="","",'Semaine 2'!E7)</f>
        <v/>
      </c>
      <c r="E6" s="16">
        <f>IF('Semaine 3'!E7="","",'Semaine 3'!E7)</f>
        <v/>
      </c>
      <c r="F6" s="16">
        <f>IF('Semaine 4'!E7="","",'Semaine 4'!E7)</f>
        <v/>
      </c>
      <c r="G6" s="17">
        <f>IF(COUNT('Semaine 1'!E7,'Semaine 2'!E7,'Semaine 3'!E7,'Semaine 4'!E7)=0,"",SUM('Semaine 1'!E7,'Semaine 2'!E7,'Semaine 3'!E7,'Semaine 4'!E7))</f>
        <v/>
      </c>
      <c r="H6" s="17">
        <f>IF(COUNT('Semaine 1'!F7,'Semaine 2'!F7,'Semaine 3'!F7,'Semaine 4'!F7)=0,"",SUM('Semaine 1'!F7,'Semaine 2'!F7,'Semaine 3'!F7,'Semaine 4'!F7))</f>
        <v/>
      </c>
      <c r="I6" s="16">
        <f>IF(OR(G6="",H6=""),"",H6-G6)</f>
        <v/>
      </c>
      <c r="J6" s="17">
        <f>IF('Semaine 4'!D7&lt;&gt;"",'Semaine 4'!D7,IF('Semaine 3'!D7&lt;&gt;"",'Semaine 3'!D7,IF('Semaine 2'!D7&lt;&gt;"",'Semaine 2'!D7,IF('Semaine 1'!D7&lt;&gt;"",'Semaine 1'!D7,""))))</f>
        <v/>
      </c>
    </row>
    <row r="7">
      <c r="A7" s="13">
        <f>IF(Produits!$A$7="","",Produits!$A$7)</f>
        <v/>
      </c>
      <c r="B7" s="15">
        <f>IF(Produits!$A$7="","",Produits!$C$7)</f>
        <v/>
      </c>
      <c r="C7" s="16">
        <f>IF('Semaine 1'!E8="","",'Semaine 1'!E8)</f>
        <v/>
      </c>
      <c r="D7" s="16">
        <f>IF('Semaine 2'!E8="","",'Semaine 2'!E8)</f>
        <v/>
      </c>
      <c r="E7" s="16">
        <f>IF('Semaine 3'!E8="","",'Semaine 3'!E8)</f>
        <v/>
      </c>
      <c r="F7" s="16">
        <f>IF('Semaine 4'!E8="","",'Semaine 4'!E8)</f>
        <v/>
      </c>
      <c r="G7" s="17">
        <f>IF(COUNT('Semaine 1'!E8,'Semaine 2'!E8,'Semaine 3'!E8,'Semaine 4'!E8)=0,"",SUM('Semaine 1'!E8,'Semaine 2'!E8,'Semaine 3'!E8,'Semaine 4'!E8))</f>
        <v/>
      </c>
      <c r="H7" s="17">
        <f>IF(COUNT('Semaine 1'!F8,'Semaine 2'!F8,'Semaine 3'!F8,'Semaine 4'!F8)=0,"",SUM('Semaine 1'!F8,'Semaine 2'!F8,'Semaine 3'!F8,'Semaine 4'!F8))</f>
        <v/>
      </c>
      <c r="I7" s="16">
        <f>IF(OR(G7="",H7=""),"",H7-G7)</f>
        <v/>
      </c>
      <c r="J7" s="17">
        <f>IF('Semaine 4'!D8&lt;&gt;"",'Semaine 4'!D8,IF('Semaine 3'!D8&lt;&gt;"",'Semaine 3'!D8,IF('Semaine 2'!D8&lt;&gt;"",'Semaine 2'!D8,IF('Semaine 1'!D8&lt;&gt;"",'Semaine 1'!D8,""))))</f>
        <v/>
      </c>
    </row>
    <row r="8">
      <c r="A8" s="13">
        <f>IF(Produits!$A$8="","",Produits!$A$8)</f>
        <v/>
      </c>
      <c r="B8" s="15">
        <f>IF(Produits!$A$8="","",Produits!$C$8)</f>
        <v/>
      </c>
      <c r="C8" s="16">
        <f>IF('Semaine 1'!E9="","",'Semaine 1'!E9)</f>
        <v/>
      </c>
      <c r="D8" s="16">
        <f>IF('Semaine 2'!E9="","",'Semaine 2'!E9)</f>
        <v/>
      </c>
      <c r="E8" s="16">
        <f>IF('Semaine 3'!E9="","",'Semaine 3'!E9)</f>
        <v/>
      </c>
      <c r="F8" s="16">
        <f>IF('Semaine 4'!E9="","",'Semaine 4'!E9)</f>
        <v/>
      </c>
      <c r="G8" s="17">
        <f>IF(COUNT('Semaine 1'!E9,'Semaine 2'!E9,'Semaine 3'!E9,'Semaine 4'!E9)=0,"",SUM('Semaine 1'!E9,'Semaine 2'!E9,'Semaine 3'!E9,'Semaine 4'!E9))</f>
        <v/>
      </c>
      <c r="H8" s="17">
        <f>IF(COUNT('Semaine 1'!F9,'Semaine 2'!F9,'Semaine 3'!F9,'Semaine 4'!F9)=0,"",SUM('Semaine 1'!F9,'Semaine 2'!F9,'Semaine 3'!F9,'Semaine 4'!F9))</f>
        <v/>
      </c>
      <c r="I8" s="16">
        <f>IF(OR(G8="",H8=""),"",H8-G8)</f>
        <v/>
      </c>
      <c r="J8" s="17">
        <f>IF('Semaine 4'!D9&lt;&gt;"",'Semaine 4'!D9,IF('Semaine 3'!D9&lt;&gt;"",'Semaine 3'!D9,IF('Semaine 2'!D9&lt;&gt;"",'Semaine 2'!D9,IF('Semaine 1'!D9&lt;&gt;"",'Semaine 1'!D9,""))))</f>
        <v/>
      </c>
    </row>
    <row r="9">
      <c r="A9" s="13">
        <f>IF(Produits!$A$9="","",Produits!$A$9)</f>
        <v/>
      </c>
      <c r="B9" s="15">
        <f>IF(Produits!$A$9="","",Produits!$C$9)</f>
        <v/>
      </c>
      <c r="C9" s="16">
        <f>IF('Semaine 1'!E10="","",'Semaine 1'!E10)</f>
        <v/>
      </c>
      <c r="D9" s="16">
        <f>IF('Semaine 2'!E10="","",'Semaine 2'!E10)</f>
        <v/>
      </c>
      <c r="E9" s="16">
        <f>IF('Semaine 3'!E10="","",'Semaine 3'!E10)</f>
        <v/>
      </c>
      <c r="F9" s="16">
        <f>IF('Semaine 4'!E10="","",'Semaine 4'!E10)</f>
        <v/>
      </c>
      <c r="G9" s="17">
        <f>IF(COUNT('Semaine 1'!E10,'Semaine 2'!E10,'Semaine 3'!E10,'Semaine 4'!E10)=0,"",SUM('Semaine 1'!E10,'Semaine 2'!E10,'Semaine 3'!E10,'Semaine 4'!E10))</f>
        <v/>
      </c>
      <c r="H9" s="17">
        <f>IF(COUNT('Semaine 1'!F10,'Semaine 2'!F10,'Semaine 3'!F10,'Semaine 4'!F10)=0,"",SUM('Semaine 1'!F10,'Semaine 2'!F10,'Semaine 3'!F10,'Semaine 4'!F10))</f>
        <v/>
      </c>
      <c r="I9" s="16">
        <f>IF(OR(G9="",H9=""),"",H9-G9)</f>
        <v/>
      </c>
      <c r="J9" s="17">
        <f>IF('Semaine 4'!D10&lt;&gt;"",'Semaine 4'!D10,IF('Semaine 3'!D10&lt;&gt;"",'Semaine 3'!D10,IF('Semaine 2'!D10&lt;&gt;"",'Semaine 2'!D10,IF('Semaine 1'!D10&lt;&gt;"",'Semaine 1'!D10,""))))</f>
        <v/>
      </c>
    </row>
    <row r="10">
      <c r="A10" s="13">
        <f>IF(Produits!$A$10="","",Produits!$A$10)</f>
        <v/>
      </c>
      <c r="B10" s="15">
        <f>IF(Produits!$A$10="","",Produits!$C$10)</f>
        <v/>
      </c>
      <c r="C10" s="16">
        <f>IF('Semaine 1'!E11="","",'Semaine 1'!E11)</f>
        <v/>
      </c>
      <c r="D10" s="16">
        <f>IF('Semaine 2'!E11="","",'Semaine 2'!E11)</f>
        <v/>
      </c>
      <c r="E10" s="16">
        <f>IF('Semaine 3'!E11="","",'Semaine 3'!E11)</f>
        <v/>
      </c>
      <c r="F10" s="16">
        <f>IF('Semaine 4'!E11="","",'Semaine 4'!E11)</f>
        <v/>
      </c>
      <c r="G10" s="17">
        <f>IF(COUNT('Semaine 1'!E11,'Semaine 2'!E11,'Semaine 3'!E11,'Semaine 4'!E11)=0,"",SUM('Semaine 1'!E11,'Semaine 2'!E11,'Semaine 3'!E11,'Semaine 4'!E11))</f>
        <v/>
      </c>
      <c r="H10" s="17">
        <f>IF(COUNT('Semaine 1'!F11,'Semaine 2'!F11,'Semaine 3'!F11,'Semaine 4'!F11)=0,"",SUM('Semaine 1'!F11,'Semaine 2'!F11,'Semaine 3'!F11,'Semaine 4'!F11))</f>
        <v/>
      </c>
      <c r="I10" s="16">
        <f>IF(OR(G10="",H10=""),"",H10-G10)</f>
        <v/>
      </c>
      <c r="J10" s="17">
        <f>IF('Semaine 4'!D11&lt;&gt;"",'Semaine 4'!D11,IF('Semaine 3'!D11&lt;&gt;"",'Semaine 3'!D11,IF('Semaine 2'!D11&lt;&gt;"",'Semaine 2'!D11,IF('Semaine 1'!D11&lt;&gt;"",'Semaine 1'!D11,""))))</f>
        <v/>
      </c>
    </row>
    <row r="11">
      <c r="A11" s="13">
        <f>IF(Produits!$A$11="","",Produits!$A$11)</f>
        <v/>
      </c>
      <c r="B11" s="15">
        <f>IF(Produits!$A$11="","",Produits!$C$11)</f>
        <v/>
      </c>
      <c r="C11" s="16">
        <f>IF('Semaine 1'!E12="","",'Semaine 1'!E12)</f>
        <v/>
      </c>
      <c r="D11" s="16">
        <f>IF('Semaine 2'!E12="","",'Semaine 2'!E12)</f>
        <v/>
      </c>
      <c r="E11" s="16">
        <f>IF('Semaine 3'!E12="","",'Semaine 3'!E12)</f>
        <v/>
      </c>
      <c r="F11" s="16">
        <f>IF('Semaine 4'!E12="","",'Semaine 4'!E12)</f>
        <v/>
      </c>
      <c r="G11" s="17">
        <f>IF(COUNT('Semaine 1'!E12,'Semaine 2'!E12,'Semaine 3'!E12,'Semaine 4'!E12)=0,"",SUM('Semaine 1'!E12,'Semaine 2'!E12,'Semaine 3'!E12,'Semaine 4'!E12))</f>
        <v/>
      </c>
      <c r="H11" s="17">
        <f>IF(COUNT('Semaine 1'!F12,'Semaine 2'!F12,'Semaine 3'!F12,'Semaine 4'!F12)=0,"",SUM('Semaine 1'!F12,'Semaine 2'!F12,'Semaine 3'!F12,'Semaine 4'!F12))</f>
        <v/>
      </c>
      <c r="I11" s="16">
        <f>IF(OR(G11="",H11=""),"",H11-G11)</f>
        <v/>
      </c>
      <c r="J11" s="17">
        <f>IF('Semaine 4'!D12&lt;&gt;"",'Semaine 4'!D12,IF('Semaine 3'!D12&lt;&gt;"",'Semaine 3'!D12,IF('Semaine 2'!D12&lt;&gt;"",'Semaine 2'!D12,IF('Semaine 1'!D12&lt;&gt;"",'Semaine 1'!D12,""))))</f>
        <v/>
      </c>
    </row>
    <row r="12">
      <c r="A12" s="13">
        <f>IF(Produits!$A$12="","",Produits!$A$12)</f>
        <v/>
      </c>
      <c r="B12" s="15">
        <f>IF(Produits!$A$12="","",Produits!$C$12)</f>
        <v/>
      </c>
      <c r="C12" s="16">
        <f>IF('Semaine 1'!E13="","",'Semaine 1'!E13)</f>
        <v/>
      </c>
      <c r="D12" s="16">
        <f>IF('Semaine 2'!E13="","",'Semaine 2'!E13)</f>
        <v/>
      </c>
      <c r="E12" s="16">
        <f>IF('Semaine 3'!E13="","",'Semaine 3'!E13)</f>
        <v/>
      </c>
      <c r="F12" s="16">
        <f>IF('Semaine 4'!E13="","",'Semaine 4'!E13)</f>
        <v/>
      </c>
      <c r="G12" s="17">
        <f>IF(COUNT('Semaine 1'!E13,'Semaine 2'!E13,'Semaine 3'!E13,'Semaine 4'!E13)=0,"",SUM('Semaine 1'!E13,'Semaine 2'!E13,'Semaine 3'!E13,'Semaine 4'!E13))</f>
        <v/>
      </c>
      <c r="H12" s="17">
        <f>IF(COUNT('Semaine 1'!F13,'Semaine 2'!F13,'Semaine 3'!F13,'Semaine 4'!F13)=0,"",SUM('Semaine 1'!F13,'Semaine 2'!F13,'Semaine 3'!F13,'Semaine 4'!F13))</f>
        <v/>
      </c>
      <c r="I12" s="16">
        <f>IF(OR(G12="",H12=""),"",H12-G12)</f>
        <v/>
      </c>
      <c r="J12" s="17">
        <f>IF('Semaine 4'!D13&lt;&gt;"",'Semaine 4'!D13,IF('Semaine 3'!D13&lt;&gt;"",'Semaine 3'!D13,IF('Semaine 2'!D13&lt;&gt;"",'Semaine 2'!D13,IF('Semaine 1'!D13&lt;&gt;"",'Semaine 1'!D13,""))))</f>
        <v/>
      </c>
    </row>
    <row r="13">
      <c r="A13" s="13">
        <f>IF(Produits!$A$13="","",Produits!$A$13)</f>
        <v/>
      </c>
      <c r="B13" s="15">
        <f>IF(Produits!$A$13="","",Produits!$C$13)</f>
        <v/>
      </c>
      <c r="C13" s="16">
        <f>IF('Semaine 1'!E14="","",'Semaine 1'!E14)</f>
        <v/>
      </c>
      <c r="D13" s="16">
        <f>IF('Semaine 2'!E14="","",'Semaine 2'!E14)</f>
        <v/>
      </c>
      <c r="E13" s="16">
        <f>IF('Semaine 3'!E14="","",'Semaine 3'!E14)</f>
        <v/>
      </c>
      <c r="F13" s="16">
        <f>IF('Semaine 4'!E14="","",'Semaine 4'!E14)</f>
        <v/>
      </c>
      <c r="G13" s="17">
        <f>IF(COUNT('Semaine 1'!E14,'Semaine 2'!E14,'Semaine 3'!E14,'Semaine 4'!E14)=0,"",SUM('Semaine 1'!E14,'Semaine 2'!E14,'Semaine 3'!E14,'Semaine 4'!E14))</f>
        <v/>
      </c>
      <c r="H13" s="17">
        <f>IF(COUNT('Semaine 1'!F14,'Semaine 2'!F14,'Semaine 3'!F14,'Semaine 4'!F14)=0,"",SUM('Semaine 1'!F14,'Semaine 2'!F14,'Semaine 3'!F14,'Semaine 4'!F14))</f>
        <v/>
      </c>
      <c r="I13" s="16">
        <f>IF(OR(G13="",H13=""),"",H13-G13)</f>
        <v/>
      </c>
      <c r="J13" s="17">
        <f>IF('Semaine 4'!D14&lt;&gt;"",'Semaine 4'!D14,IF('Semaine 3'!D14&lt;&gt;"",'Semaine 3'!D14,IF('Semaine 2'!D14&lt;&gt;"",'Semaine 2'!D14,IF('Semaine 1'!D14&lt;&gt;"",'Semaine 1'!D14,""))))</f>
        <v/>
      </c>
    </row>
    <row r="14">
      <c r="A14" s="13">
        <f>IF(Produits!$A$14="","",Produits!$A$14)</f>
        <v/>
      </c>
      <c r="B14" s="15">
        <f>IF(Produits!$A$14="","",Produits!$C$14)</f>
        <v/>
      </c>
      <c r="C14" s="16">
        <f>IF('Semaine 1'!E15="","",'Semaine 1'!E15)</f>
        <v/>
      </c>
      <c r="D14" s="16">
        <f>IF('Semaine 2'!E15="","",'Semaine 2'!E15)</f>
        <v/>
      </c>
      <c r="E14" s="16">
        <f>IF('Semaine 3'!E15="","",'Semaine 3'!E15)</f>
        <v/>
      </c>
      <c r="F14" s="16">
        <f>IF('Semaine 4'!E15="","",'Semaine 4'!E15)</f>
        <v/>
      </c>
      <c r="G14" s="17">
        <f>IF(COUNT('Semaine 1'!E15,'Semaine 2'!E15,'Semaine 3'!E15,'Semaine 4'!E15)=0,"",SUM('Semaine 1'!E15,'Semaine 2'!E15,'Semaine 3'!E15,'Semaine 4'!E15))</f>
        <v/>
      </c>
      <c r="H14" s="17">
        <f>IF(COUNT('Semaine 1'!F15,'Semaine 2'!F15,'Semaine 3'!F15,'Semaine 4'!F15)=0,"",SUM('Semaine 1'!F15,'Semaine 2'!F15,'Semaine 3'!F15,'Semaine 4'!F15))</f>
        <v/>
      </c>
      <c r="I14" s="16">
        <f>IF(OR(G14="",H14=""),"",H14-G14)</f>
        <v/>
      </c>
      <c r="J14" s="17">
        <f>IF('Semaine 4'!D15&lt;&gt;"",'Semaine 4'!D15,IF('Semaine 3'!D15&lt;&gt;"",'Semaine 3'!D15,IF('Semaine 2'!D15&lt;&gt;"",'Semaine 2'!D15,IF('Semaine 1'!D15&lt;&gt;"",'Semaine 1'!D15,""))))</f>
        <v/>
      </c>
    </row>
    <row r="15">
      <c r="A15" s="13">
        <f>IF(Produits!$A$15="","",Produits!$A$15)</f>
        <v/>
      </c>
      <c r="B15" s="15">
        <f>IF(Produits!$A$15="","",Produits!$C$15)</f>
        <v/>
      </c>
      <c r="C15" s="16">
        <f>IF('Semaine 1'!E16="","",'Semaine 1'!E16)</f>
        <v/>
      </c>
      <c r="D15" s="16">
        <f>IF('Semaine 2'!E16="","",'Semaine 2'!E16)</f>
        <v/>
      </c>
      <c r="E15" s="16">
        <f>IF('Semaine 3'!E16="","",'Semaine 3'!E16)</f>
        <v/>
      </c>
      <c r="F15" s="16">
        <f>IF('Semaine 4'!E16="","",'Semaine 4'!E16)</f>
        <v/>
      </c>
      <c r="G15" s="17">
        <f>IF(COUNT('Semaine 1'!E16,'Semaine 2'!E16,'Semaine 3'!E16,'Semaine 4'!E16)=0,"",SUM('Semaine 1'!E16,'Semaine 2'!E16,'Semaine 3'!E16,'Semaine 4'!E16))</f>
        <v/>
      </c>
      <c r="H15" s="17">
        <f>IF(COUNT('Semaine 1'!F16,'Semaine 2'!F16,'Semaine 3'!F16,'Semaine 4'!F16)=0,"",SUM('Semaine 1'!F16,'Semaine 2'!F16,'Semaine 3'!F16,'Semaine 4'!F16))</f>
        <v/>
      </c>
      <c r="I15" s="16">
        <f>IF(OR(G15="",H15=""),"",H15-G15)</f>
        <v/>
      </c>
      <c r="J15" s="17">
        <f>IF('Semaine 4'!D16&lt;&gt;"",'Semaine 4'!D16,IF('Semaine 3'!D16&lt;&gt;"",'Semaine 3'!D16,IF('Semaine 2'!D16&lt;&gt;"",'Semaine 2'!D16,IF('Semaine 1'!D16&lt;&gt;"",'Semaine 1'!D16,""))))</f>
        <v/>
      </c>
    </row>
    <row r="16">
      <c r="A16" s="13">
        <f>IF(Produits!$A$16="","",Produits!$A$16)</f>
        <v/>
      </c>
      <c r="B16" s="15">
        <f>IF(Produits!$A$16="","",Produits!$C$16)</f>
        <v/>
      </c>
      <c r="C16" s="16">
        <f>IF('Semaine 1'!E17="","",'Semaine 1'!E17)</f>
        <v/>
      </c>
      <c r="D16" s="16">
        <f>IF('Semaine 2'!E17="","",'Semaine 2'!E17)</f>
        <v/>
      </c>
      <c r="E16" s="16">
        <f>IF('Semaine 3'!E17="","",'Semaine 3'!E17)</f>
        <v/>
      </c>
      <c r="F16" s="16">
        <f>IF('Semaine 4'!E17="","",'Semaine 4'!E17)</f>
        <v/>
      </c>
      <c r="G16" s="17">
        <f>IF(COUNT('Semaine 1'!E17,'Semaine 2'!E17,'Semaine 3'!E17,'Semaine 4'!E17)=0,"",SUM('Semaine 1'!E17,'Semaine 2'!E17,'Semaine 3'!E17,'Semaine 4'!E17))</f>
        <v/>
      </c>
      <c r="H16" s="17">
        <f>IF(COUNT('Semaine 1'!F17,'Semaine 2'!F17,'Semaine 3'!F17,'Semaine 4'!F17)=0,"",SUM('Semaine 1'!F17,'Semaine 2'!F17,'Semaine 3'!F17,'Semaine 4'!F17))</f>
        <v/>
      </c>
      <c r="I16" s="16">
        <f>IF(OR(G16="",H16=""),"",H16-G16)</f>
        <v/>
      </c>
      <c r="J16" s="17">
        <f>IF('Semaine 4'!D17&lt;&gt;"",'Semaine 4'!D17,IF('Semaine 3'!D17&lt;&gt;"",'Semaine 3'!D17,IF('Semaine 2'!D17&lt;&gt;"",'Semaine 2'!D17,IF('Semaine 1'!D17&lt;&gt;"",'Semaine 1'!D17,""))))</f>
        <v/>
      </c>
    </row>
    <row r="17">
      <c r="A17" s="13">
        <f>IF(Produits!$A$17="","",Produits!$A$17)</f>
        <v/>
      </c>
      <c r="B17" s="15">
        <f>IF(Produits!$A$17="","",Produits!$C$17)</f>
        <v/>
      </c>
      <c r="C17" s="16">
        <f>IF('Semaine 1'!E18="","",'Semaine 1'!E18)</f>
        <v/>
      </c>
      <c r="D17" s="16">
        <f>IF('Semaine 2'!E18="","",'Semaine 2'!E18)</f>
        <v/>
      </c>
      <c r="E17" s="16">
        <f>IF('Semaine 3'!E18="","",'Semaine 3'!E18)</f>
        <v/>
      </c>
      <c r="F17" s="16">
        <f>IF('Semaine 4'!E18="","",'Semaine 4'!E18)</f>
        <v/>
      </c>
      <c r="G17" s="17">
        <f>IF(COUNT('Semaine 1'!E18,'Semaine 2'!E18,'Semaine 3'!E18,'Semaine 4'!E18)=0,"",SUM('Semaine 1'!E18,'Semaine 2'!E18,'Semaine 3'!E18,'Semaine 4'!E18))</f>
        <v/>
      </c>
      <c r="H17" s="17">
        <f>IF(COUNT('Semaine 1'!F18,'Semaine 2'!F18,'Semaine 3'!F18,'Semaine 4'!F18)=0,"",SUM('Semaine 1'!F18,'Semaine 2'!F18,'Semaine 3'!F18,'Semaine 4'!F18))</f>
        <v/>
      </c>
      <c r="I17" s="16">
        <f>IF(OR(G17="",H17=""),"",H17-G17)</f>
        <v/>
      </c>
      <c r="J17" s="17">
        <f>IF('Semaine 4'!D18&lt;&gt;"",'Semaine 4'!D18,IF('Semaine 3'!D18&lt;&gt;"",'Semaine 3'!D18,IF('Semaine 2'!D18&lt;&gt;"",'Semaine 2'!D18,IF('Semaine 1'!D18&lt;&gt;"",'Semaine 1'!D18,""))))</f>
        <v/>
      </c>
    </row>
    <row r="18">
      <c r="A18" s="13">
        <f>IF(Produits!$A$18="","",Produits!$A$18)</f>
        <v/>
      </c>
      <c r="B18" s="15">
        <f>IF(Produits!$A$18="","",Produits!$C$18)</f>
        <v/>
      </c>
      <c r="C18" s="16">
        <f>IF('Semaine 1'!E19="","",'Semaine 1'!E19)</f>
        <v/>
      </c>
      <c r="D18" s="16">
        <f>IF('Semaine 2'!E19="","",'Semaine 2'!E19)</f>
        <v/>
      </c>
      <c r="E18" s="16">
        <f>IF('Semaine 3'!E19="","",'Semaine 3'!E19)</f>
        <v/>
      </c>
      <c r="F18" s="16">
        <f>IF('Semaine 4'!E19="","",'Semaine 4'!E19)</f>
        <v/>
      </c>
      <c r="G18" s="17">
        <f>IF(COUNT('Semaine 1'!E19,'Semaine 2'!E19,'Semaine 3'!E19,'Semaine 4'!E19)=0,"",SUM('Semaine 1'!E19,'Semaine 2'!E19,'Semaine 3'!E19,'Semaine 4'!E19))</f>
        <v/>
      </c>
      <c r="H18" s="17">
        <f>IF(COUNT('Semaine 1'!F19,'Semaine 2'!F19,'Semaine 3'!F19,'Semaine 4'!F19)=0,"",SUM('Semaine 1'!F19,'Semaine 2'!F19,'Semaine 3'!F19,'Semaine 4'!F19))</f>
        <v/>
      </c>
      <c r="I18" s="16">
        <f>IF(OR(G18="",H18=""),"",H18-G18)</f>
        <v/>
      </c>
      <c r="J18" s="17">
        <f>IF('Semaine 4'!D19&lt;&gt;"",'Semaine 4'!D19,IF('Semaine 3'!D19&lt;&gt;"",'Semaine 3'!D19,IF('Semaine 2'!D19&lt;&gt;"",'Semaine 2'!D19,IF('Semaine 1'!D19&lt;&gt;"",'Semaine 1'!D19,""))))</f>
        <v/>
      </c>
    </row>
    <row r="19">
      <c r="A19" s="13">
        <f>IF(Produits!$A$19="","",Produits!$A$19)</f>
        <v/>
      </c>
      <c r="B19" s="15">
        <f>IF(Produits!$A$19="","",Produits!$C$19)</f>
        <v/>
      </c>
      <c r="C19" s="16">
        <f>IF('Semaine 1'!E20="","",'Semaine 1'!E20)</f>
        <v/>
      </c>
      <c r="D19" s="16">
        <f>IF('Semaine 2'!E20="","",'Semaine 2'!E20)</f>
        <v/>
      </c>
      <c r="E19" s="16">
        <f>IF('Semaine 3'!E20="","",'Semaine 3'!E20)</f>
        <v/>
      </c>
      <c r="F19" s="16">
        <f>IF('Semaine 4'!E20="","",'Semaine 4'!E20)</f>
        <v/>
      </c>
      <c r="G19" s="17">
        <f>IF(COUNT('Semaine 1'!E20,'Semaine 2'!E20,'Semaine 3'!E20,'Semaine 4'!E20)=0,"",SUM('Semaine 1'!E20,'Semaine 2'!E20,'Semaine 3'!E20,'Semaine 4'!E20))</f>
        <v/>
      </c>
      <c r="H19" s="17">
        <f>IF(COUNT('Semaine 1'!F20,'Semaine 2'!F20,'Semaine 3'!F20,'Semaine 4'!F20)=0,"",SUM('Semaine 1'!F20,'Semaine 2'!F20,'Semaine 3'!F20,'Semaine 4'!F20))</f>
        <v/>
      </c>
      <c r="I19" s="16">
        <f>IF(OR(G19="",H19=""),"",H19-G19)</f>
        <v/>
      </c>
      <c r="J19" s="17">
        <f>IF('Semaine 4'!D20&lt;&gt;"",'Semaine 4'!D20,IF('Semaine 3'!D20&lt;&gt;"",'Semaine 3'!D20,IF('Semaine 2'!D20&lt;&gt;"",'Semaine 2'!D20,IF('Semaine 1'!D20&lt;&gt;"",'Semaine 1'!D20,""))))</f>
        <v/>
      </c>
    </row>
    <row r="20">
      <c r="A20" s="13">
        <f>IF(Produits!$A$20="","",Produits!$A$20)</f>
        <v/>
      </c>
      <c r="B20" s="15">
        <f>IF(Produits!$A$20="","",Produits!$C$20)</f>
        <v/>
      </c>
      <c r="C20" s="16">
        <f>IF('Semaine 1'!E21="","",'Semaine 1'!E21)</f>
        <v/>
      </c>
      <c r="D20" s="16">
        <f>IF('Semaine 2'!E21="","",'Semaine 2'!E21)</f>
        <v/>
      </c>
      <c r="E20" s="16">
        <f>IF('Semaine 3'!E21="","",'Semaine 3'!E21)</f>
        <v/>
      </c>
      <c r="F20" s="16">
        <f>IF('Semaine 4'!E21="","",'Semaine 4'!E21)</f>
        <v/>
      </c>
      <c r="G20" s="17">
        <f>IF(COUNT('Semaine 1'!E21,'Semaine 2'!E21,'Semaine 3'!E21,'Semaine 4'!E21)=0,"",SUM('Semaine 1'!E21,'Semaine 2'!E21,'Semaine 3'!E21,'Semaine 4'!E21))</f>
        <v/>
      </c>
      <c r="H20" s="17">
        <f>IF(COUNT('Semaine 1'!F21,'Semaine 2'!F21,'Semaine 3'!F21,'Semaine 4'!F21)=0,"",SUM('Semaine 1'!F21,'Semaine 2'!F21,'Semaine 3'!F21,'Semaine 4'!F21))</f>
        <v/>
      </c>
      <c r="I20" s="16">
        <f>IF(OR(G20="",H20=""),"",H20-G20)</f>
        <v/>
      </c>
      <c r="J20" s="17">
        <f>IF('Semaine 4'!D21&lt;&gt;"",'Semaine 4'!D21,IF('Semaine 3'!D21&lt;&gt;"",'Semaine 3'!D21,IF('Semaine 2'!D21&lt;&gt;"",'Semaine 2'!D21,IF('Semaine 1'!D21&lt;&gt;"",'Semaine 1'!D21,""))))</f>
        <v/>
      </c>
    </row>
    <row r="21">
      <c r="A21" s="13">
        <f>IF(Produits!$A$21="","",Produits!$A$21)</f>
        <v/>
      </c>
      <c r="B21" s="15">
        <f>IF(Produits!$A$21="","",Produits!$C$21)</f>
        <v/>
      </c>
      <c r="C21" s="16">
        <f>IF('Semaine 1'!E22="","",'Semaine 1'!E22)</f>
        <v/>
      </c>
      <c r="D21" s="16">
        <f>IF('Semaine 2'!E22="","",'Semaine 2'!E22)</f>
        <v/>
      </c>
      <c r="E21" s="16">
        <f>IF('Semaine 3'!E22="","",'Semaine 3'!E22)</f>
        <v/>
      </c>
      <c r="F21" s="16">
        <f>IF('Semaine 4'!E22="","",'Semaine 4'!E22)</f>
        <v/>
      </c>
      <c r="G21" s="17">
        <f>IF(COUNT('Semaine 1'!E22,'Semaine 2'!E22,'Semaine 3'!E22,'Semaine 4'!E22)=0,"",SUM('Semaine 1'!E22,'Semaine 2'!E22,'Semaine 3'!E22,'Semaine 4'!E22))</f>
        <v/>
      </c>
      <c r="H21" s="17">
        <f>IF(COUNT('Semaine 1'!F22,'Semaine 2'!F22,'Semaine 3'!F22,'Semaine 4'!F22)=0,"",SUM('Semaine 1'!F22,'Semaine 2'!F22,'Semaine 3'!F22,'Semaine 4'!F22))</f>
        <v/>
      </c>
      <c r="I21" s="16">
        <f>IF(OR(G21="",H21=""),"",H21-G21)</f>
        <v/>
      </c>
      <c r="J21" s="17">
        <f>IF('Semaine 4'!D22&lt;&gt;"",'Semaine 4'!D22,IF('Semaine 3'!D22&lt;&gt;"",'Semaine 3'!D22,IF('Semaine 2'!D22&lt;&gt;"",'Semaine 2'!D22,IF('Semaine 1'!D22&lt;&gt;"",'Semaine 1'!D22,""))))</f>
        <v/>
      </c>
    </row>
    <row r="22">
      <c r="A22" s="13">
        <f>IF(Produits!$A$22="","",Produits!$A$22)</f>
        <v/>
      </c>
      <c r="B22" s="15">
        <f>IF(Produits!$A$22="","",Produits!$C$22)</f>
        <v/>
      </c>
      <c r="C22" s="16">
        <f>IF('Semaine 1'!E23="","",'Semaine 1'!E23)</f>
        <v/>
      </c>
      <c r="D22" s="16">
        <f>IF('Semaine 2'!E23="","",'Semaine 2'!E23)</f>
        <v/>
      </c>
      <c r="E22" s="16">
        <f>IF('Semaine 3'!E23="","",'Semaine 3'!E23)</f>
        <v/>
      </c>
      <c r="F22" s="16">
        <f>IF('Semaine 4'!E23="","",'Semaine 4'!E23)</f>
        <v/>
      </c>
      <c r="G22" s="17">
        <f>IF(COUNT('Semaine 1'!E23,'Semaine 2'!E23,'Semaine 3'!E23,'Semaine 4'!E23)=0,"",SUM('Semaine 1'!E23,'Semaine 2'!E23,'Semaine 3'!E23,'Semaine 4'!E23))</f>
        <v/>
      </c>
      <c r="H22" s="17">
        <f>IF(COUNT('Semaine 1'!F23,'Semaine 2'!F23,'Semaine 3'!F23,'Semaine 4'!F23)=0,"",SUM('Semaine 1'!F23,'Semaine 2'!F23,'Semaine 3'!F23,'Semaine 4'!F23))</f>
        <v/>
      </c>
      <c r="I22" s="16">
        <f>IF(OR(G22="",H22=""),"",H22-G22)</f>
        <v/>
      </c>
      <c r="J22" s="17">
        <f>IF('Semaine 4'!D23&lt;&gt;"",'Semaine 4'!D23,IF('Semaine 3'!D23&lt;&gt;"",'Semaine 3'!D23,IF('Semaine 2'!D23&lt;&gt;"",'Semaine 2'!D23,IF('Semaine 1'!D23&lt;&gt;"",'Semaine 1'!D23,""))))</f>
        <v/>
      </c>
    </row>
    <row r="23">
      <c r="A23" s="13">
        <f>IF(Produits!$A$23="","",Produits!$A$23)</f>
        <v/>
      </c>
      <c r="B23" s="15">
        <f>IF(Produits!$A$23="","",Produits!$C$23)</f>
        <v/>
      </c>
      <c r="C23" s="16">
        <f>IF('Semaine 1'!E24="","",'Semaine 1'!E24)</f>
        <v/>
      </c>
      <c r="D23" s="16">
        <f>IF('Semaine 2'!E24="","",'Semaine 2'!E24)</f>
        <v/>
      </c>
      <c r="E23" s="16">
        <f>IF('Semaine 3'!E24="","",'Semaine 3'!E24)</f>
        <v/>
      </c>
      <c r="F23" s="16">
        <f>IF('Semaine 4'!E24="","",'Semaine 4'!E24)</f>
        <v/>
      </c>
      <c r="G23" s="17">
        <f>IF(COUNT('Semaine 1'!E24,'Semaine 2'!E24,'Semaine 3'!E24,'Semaine 4'!E24)=0,"",SUM('Semaine 1'!E24,'Semaine 2'!E24,'Semaine 3'!E24,'Semaine 4'!E24))</f>
        <v/>
      </c>
      <c r="H23" s="17">
        <f>IF(COUNT('Semaine 1'!F24,'Semaine 2'!F24,'Semaine 3'!F24,'Semaine 4'!F24)=0,"",SUM('Semaine 1'!F24,'Semaine 2'!F24,'Semaine 3'!F24,'Semaine 4'!F24))</f>
        <v/>
      </c>
      <c r="I23" s="16">
        <f>IF(OR(G23="",H23=""),"",H23-G23)</f>
        <v/>
      </c>
      <c r="J23" s="17">
        <f>IF('Semaine 4'!D24&lt;&gt;"",'Semaine 4'!D24,IF('Semaine 3'!D24&lt;&gt;"",'Semaine 3'!D24,IF('Semaine 2'!D24&lt;&gt;"",'Semaine 2'!D24,IF('Semaine 1'!D24&lt;&gt;"",'Semaine 1'!D24,""))))</f>
        <v/>
      </c>
    </row>
    <row r="24">
      <c r="A24" s="13">
        <f>IF(Produits!$A$24="","",Produits!$A$24)</f>
        <v/>
      </c>
      <c r="B24" s="15">
        <f>IF(Produits!$A$24="","",Produits!$C$24)</f>
        <v/>
      </c>
      <c r="C24" s="16">
        <f>IF('Semaine 1'!E25="","",'Semaine 1'!E25)</f>
        <v/>
      </c>
      <c r="D24" s="16">
        <f>IF('Semaine 2'!E25="","",'Semaine 2'!E25)</f>
        <v/>
      </c>
      <c r="E24" s="16">
        <f>IF('Semaine 3'!E25="","",'Semaine 3'!E25)</f>
        <v/>
      </c>
      <c r="F24" s="16">
        <f>IF('Semaine 4'!E25="","",'Semaine 4'!E25)</f>
        <v/>
      </c>
      <c r="G24" s="17">
        <f>IF(COUNT('Semaine 1'!E25,'Semaine 2'!E25,'Semaine 3'!E25,'Semaine 4'!E25)=0,"",SUM('Semaine 1'!E25,'Semaine 2'!E25,'Semaine 3'!E25,'Semaine 4'!E25))</f>
        <v/>
      </c>
      <c r="H24" s="17">
        <f>IF(COUNT('Semaine 1'!F25,'Semaine 2'!F25,'Semaine 3'!F25,'Semaine 4'!F25)=0,"",SUM('Semaine 1'!F25,'Semaine 2'!F25,'Semaine 3'!F25,'Semaine 4'!F25))</f>
        <v/>
      </c>
      <c r="I24" s="16">
        <f>IF(OR(G24="",H24=""),"",H24-G24)</f>
        <v/>
      </c>
      <c r="J24" s="17">
        <f>IF('Semaine 4'!D25&lt;&gt;"",'Semaine 4'!D25,IF('Semaine 3'!D25&lt;&gt;"",'Semaine 3'!D25,IF('Semaine 2'!D25&lt;&gt;"",'Semaine 2'!D25,IF('Semaine 1'!D25&lt;&gt;"",'Semaine 1'!D25,""))))</f>
        <v/>
      </c>
    </row>
    <row r="25">
      <c r="A25" s="13">
        <f>IF(Produits!$A$25="","",Produits!$A$25)</f>
        <v/>
      </c>
      <c r="B25" s="15">
        <f>IF(Produits!$A$25="","",Produits!$C$25)</f>
        <v/>
      </c>
      <c r="C25" s="16">
        <f>IF('Semaine 1'!E26="","",'Semaine 1'!E26)</f>
        <v/>
      </c>
      <c r="D25" s="16">
        <f>IF('Semaine 2'!E26="","",'Semaine 2'!E26)</f>
        <v/>
      </c>
      <c r="E25" s="16">
        <f>IF('Semaine 3'!E26="","",'Semaine 3'!E26)</f>
        <v/>
      </c>
      <c r="F25" s="16">
        <f>IF('Semaine 4'!E26="","",'Semaine 4'!E26)</f>
        <v/>
      </c>
      <c r="G25" s="17">
        <f>IF(COUNT('Semaine 1'!E26,'Semaine 2'!E26,'Semaine 3'!E26,'Semaine 4'!E26)=0,"",SUM('Semaine 1'!E26,'Semaine 2'!E26,'Semaine 3'!E26,'Semaine 4'!E26))</f>
        <v/>
      </c>
      <c r="H25" s="17">
        <f>IF(COUNT('Semaine 1'!F26,'Semaine 2'!F26,'Semaine 3'!F26,'Semaine 4'!F26)=0,"",SUM('Semaine 1'!F26,'Semaine 2'!F26,'Semaine 3'!F26,'Semaine 4'!F26))</f>
        <v/>
      </c>
      <c r="I25" s="16">
        <f>IF(OR(G25="",H25=""),"",H25-G25)</f>
        <v/>
      </c>
      <c r="J25" s="17">
        <f>IF('Semaine 4'!D26&lt;&gt;"",'Semaine 4'!D26,IF('Semaine 3'!D26&lt;&gt;"",'Semaine 3'!D26,IF('Semaine 2'!D26&lt;&gt;"",'Semaine 2'!D26,IF('Semaine 1'!D26&lt;&gt;"",'Semaine 1'!D26,""))))</f>
        <v/>
      </c>
    </row>
    <row r="26">
      <c r="A26" s="13">
        <f>IF(Produits!$A$26="","",Produits!$A$26)</f>
        <v/>
      </c>
      <c r="B26" s="15">
        <f>IF(Produits!$A$26="","",Produits!$C$26)</f>
        <v/>
      </c>
      <c r="C26" s="16">
        <f>IF('Semaine 1'!E27="","",'Semaine 1'!E27)</f>
        <v/>
      </c>
      <c r="D26" s="16">
        <f>IF('Semaine 2'!E27="","",'Semaine 2'!E27)</f>
        <v/>
      </c>
      <c r="E26" s="16">
        <f>IF('Semaine 3'!E27="","",'Semaine 3'!E27)</f>
        <v/>
      </c>
      <c r="F26" s="16">
        <f>IF('Semaine 4'!E27="","",'Semaine 4'!E27)</f>
        <v/>
      </c>
      <c r="G26" s="17">
        <f>IF(COUNT('Semaine 1'!E27,'Semaine 2'!E27,'Semaine 3'!E27,'Semaine 4'!E27)=0,"",SUM('Semaine 1'!E27,'Semaine 2'!E27,'Semaine 3'!E27,'Semaine 4'!E27))</f>
        <v/>
      </c>
      <c r="H26" s="17">
        <f>IF(COUNT('Semaine 1'!F27,'Semaine 2'!F27,'Semaine 3'!F27,'Semaine 4'!F27)=0,"",SUM('Semaine 1'!F27,'Semaine 2'!F27,'Semaine 3'!F27,'Semaine 4'!F27))</f>
        <v/>
      </c>
      <c r="I26" s="16">
        <f>IF(OR(G26="",H26=""),"",H26-G26)</f>
        <v/>
      </c>
      <c r="J26" s="17">
        <f>IF('Semaine 4'!D27&lt;&gt;"",'Semaine 4'!D27,IF('Semaine 3'!D27&lt;&gt;"",'Semaine 3'!D27,IF('Semaine 2'!D27&lt;&gt;"",'Semaine 2'!D27,IF('Semaine 1'!D27&lt;&gt;"",'Semaine 1'!D27,""))))</f>
        <v/>
      </c>
    </row>
    <row r="27">
      <c r="A27" s="13">
        <f>IF(Produits!$A$27="","",Produits!$A$27)</f>
        <v/>
      </c>
      <c r="B27" s="15">
        <f>IF(Produits!$A$27="","",Produits!$C$27)</f>
        <v/>
      </c>
      <c r="C27" s="16">
        <f>IF('Semaine 1'!E28="","",'Semaine 1'!E28)</f>
        <v/>
      </c>
      <c r="D27" s="16">
        <f>IF('Semaine 2'!E28="","",'Semaine 2'!E28)</f>
        <v/>
      </c>
      <c r="E27" s="16">
        <f>IF('Semaine 3'!E28="","",'Semaine 3'!E28)</f>
        <v/>
      </c>
      <c r="F27" s="16">
        <f>IF('Semaine 4'!E28="","",'Semaine 4'!E28)</f>
        <v/>
      </c>
      <c r="G27" s="17">
        <f>IF(COUNT('Semaine 1'!E28,'Semaine 2'!E28,'Semaine 3'!E28,'Semaine 4'!E28)=0,"",SUM('Semaine 1'!E28,'Semaine 2'!E28,'Semaine 3'!E28,'Semaine 4'!E28))</f>
        <v/>
      </c>
      <c r="H27" s="17">
        <f>IF(COUNT('Semaine 1'!F28,'Semaine 2'!F28,'Semaine 3'!F28,'Semaine 4'!F28)=0,"",SUM('Semaine 1'!F28,'Semaine 2'!F28,'Semaine 3'!F28,'Semaine 4'!F28))</f>
        <v/>
      </c>
      <c r="I27" s="16">
        <f>IF(OR(G27="",H27=""),"",H27-G27)</f>
        <v/>
      </c>
      <c r="J27" s="17">
        <f>IF('Semaine 4'!D28&lt;&gt;"",'Semaine 4'!D28,IF('Semaine 3'!D28&lt;&gt;"",'Semaine 3'!D28,IF('Semaine 2'!D28&lt;&gt;"",'Semaine 2'!D28,IF('Semaine 1'!D28&lt;&gt;"",'Semaine 1'!D28,""))))</f>
        <v/>
      </c>
    </row>
    <row r="28">
      <c r="A28" s="13">
        <f>IF(Produits!$A$28="","",Produits!$A$28)</f>
        <v/>
      </c>
      <c r="B28" s="15">
        <f>IF(Produits!$A$28="","",Produits!$C$28)</f>
        <v/>
      </c>
      <c r="C28" s="16">
        <f>IF('Semaine 1'!E29="","",'Semaine 1'!E29)</f>
        <v/>
      </c>
      <c r="D28" s="16">
        <f>IF('Semaine 2'!E29="","",'Semaine 2'!E29)</f>
        <v/>
      </c>
      <c r="E28" s="16">
        <f>IF('Semaine 3'!E29="","",'Semaine 3'!E29)</f>
        <v/>
      </c>
      <c r="F28" s="16">
        <f>IF('Semaine 4'!E29="","",'Semaine 4'!E29)</f>
        <v/>
      </c>
      <c r="G28" s="17">
        <f>IF(COUNT('Semaine 1'!E29,'Semaine 2'!E29,'Semaine 3'!E29,'Semaine 4'!E29)=0,"",SUM('Semaine 1'!E29,'Semaine 2'!E29,'Semaine 3'!E29,'Semaine 4'!E29))</f>
        <v/>
      </c>
      <c r="H28" s="17">
        <f>IF(COUNT('Semaine 1'!F29,'Semaine 2'!F29,'Semaine 3'!F29,'Semaine 4'!F29)=0,"",SUM('Semaine 1'!F29,'Semaine 2'!F29,'Semaine 3'!F29,'Semaine 4'!F29))</f>
        <v/>
      </c>
      <c r="I28" s="16">
        <f>IF(OR(G28="",H28=""),"",H28-G28)</f>
        <v/>
      </c>
      <c r="J28" s="17">
        <f>IF('Semaine 4'!D29&lt;&gt;"",'Semaine 4'!D29,IF('Semaine 3'!D29&lt;&gt;"",'Semaine 3'!D29,IF('Semaine 2'!D29&lt;&gt;"",'Semaine 2'!D29,IF('Semaine 1'!D29&lt;&gt;"",'Semaine 1'!D29,""))))</f>
        <v/>
      </c>
    </row>
    <row r="29">
      <c r="A29" s="13">
        <f>IF(Produits!$A$29="","",Produits!$A$29)</f>
        <v/>
      </c>
      <c r="B29" s="15">
        <f>IF(Produits!$A$29="","",Produits!$C$29)</f>
        <v/>
      </c>
      <c r="C29" s="16">
        <f>IF('Semaine 1'!E30="","",'Semaine 1'!E30)</f>
        <v/>
      </c>
      <c r="D29" s="16">
        <f>IF('Semaine 2'!E30="","",'Semaine 2'!E30)</f>
        <v/>
      </c>
      <c r="E29" s="16">
        <f>IF('Semaine 3'!E30="","",'Semaine 3'!E30)</f>
        <v/>
      </c>
      <c r="F29" s="16">
        <f>IF('Semaine 4'!E30="","",'Semaine 4'!E30)</f>
        <v/>
      </c>
      <c r="G29" s="17">
        <f>IF(COUNT('Semaine 1'!E30,'Semaine 2'!E30,'Semaine 3'!E30,'Semaine 4'!E30)=0,"",SUM('Semaine 1'!E30,'Semaine 2'!E30,'Semaine 3'!E30,'Semaine 4'!E30))</f>
        <v/>
      </c>
      <c r="H29" s="17">
        <f>IF(COUNT('Semaine 1'!F30,'Semaine 2'!F30,'Semaine 3'!F30,'Semaine 4'!F30)=0,"",SUM('Semaine 1'!F30,'Semaine 2'!F30,'Semaine 3'!F30,'Semaine 4'!F30))</f>
        <v/>
      </c>
      <c r="I29" s="16">
        <f>IF(OR(G29="",H29=""),"",H29-G29)</f>
        <v/>
      </c>
      <c r="J29" s="17">
        <f>IF('Semaine 4'!D30&lt;&gt;"",'Semaine 4'!D30,IF('Semaine 3'!D30&lt;&gt;"",'Semaine 3'!D30,IF('Semaine 2'!D30&lt;&gt;"",'Semaine 2'!D30,IF('Semaine 1'!D30&lt;&gt;"",'Semaine 1'!D30,""))))</f>
        <v/>
      </c>
    </row>
    <row r="30">
      <c r="A30" s="13">
        <f>IF(Produits!$A$30="","",Produits!$A$30)</f>
        <v/>
      </c>
      <c r="B30" s="15">
        <f>IF(Produits!$A$30="","",Produits!$C$30)</f>
        <v/>
      </c>
      <c r="C30" s="16">
        <f>IF('Semaine 1'!E31="","",'Semaine 1'!E31)</f>
        <v/>
      </c>
      <c r="D30" s="16">
        <f>IF('Semaine 2'!E31="","",'Semaine 2'!E31)</f>
        <v/>
      </c>
      <c r="E30" s="16">
        <f>IF('Semaine 3'!E31="","",'Semaine 3'!E31)</f>
        <v/>
      </c>
      <c r="F30" s="16">
        <f>IF('Semaine 4'!E31="","",'Semaine 4'!E31)</f>
        <v/>
      </c>
      <c r="G30" s="17">
        <f>IF(COUNT('Semaine 1'!E31,'Semaine 2'!E31,'Semaine 3'!E31,'Semaine 4'!E31)=0,"",SUM('Semaine 1'!E31,'Semaine 2'!E31,'Semaine 3'!E31,'Semaine 4'!E31))</f>
        <v/>
      </c>
      <c r="H30" s="17">
        <f>IF(COUNT('Semaine 1'!F31,'Semaine 2'!F31,'Semaine 3'!F31,'Semaine 4'!F31)=0,"",SUM('Semaine 1'!F31,'Semaine 2'!F31,'Semaine 3'!F31,'Semaine 4'!F31))</f>
        <v/>
      </c>
      <c r="I30" s="16">
        <f>IF(OR(G30="",H30=""),"",H30-G30)</f>
        <v/>
      </c>
      <c r="J30" s="17">
        <f>IF('Semaine 4'!D31&lt;&gt;"",'Semaine 4'!D31,IF('Semaine 3'!D31&lt;&gt;"",'Semaine 3'!D31,IF('Semaine 2'!D31&lt;&gt;"",'Semaine 2'!D31,IF('Semaine 1'!D31&lt;&gt;"",'Semaine 1'!D31,""))))</f>
        <v/>
      </c>
    </row>
    <row r="31">
      <c r="A31" s="13">
        <f>IF(Produits!$A$31="","",Produits!$A$31)</f>
        <v/>
      </c>
      <c r="B31" s="15">
        <f>IF(Produits!$A$31="","",Produits!$C$31)</f>
        <v/>
      </c>
      <c r="C31" s="16">
        <f>IF('Semaine 1'!E32="","",'Semaine 1'!E32)</f>
        <v/>
      </c>
      <c r="D31" s="16">
        <f>IF('Semaine 2'!E32="","",'Semaine 2'!E32)</f>
        <v/>
      </c>
      <c r="E31" s="16">
        <f>IF('Semaine 3'!E32="","",'Semaine 3'!E32)</f>
        <v/>
      </c>
      <c r="F31" s="16">
        <f>IF('Semaine 4'!E32="","",'Semaine 4'!E32)</f>
        <v/>
      </c>
      <c r="G31" s="17">
        <f>IF(COUNT('Semaine 1'!E32,'Semaine 2'!E32,'Semaine 3'!E32,'Semaine 4'!E32)=0,"",SUM('Semaine 1'!E32,'Semaine 2'!E32,'Semaine 3'!E32,'Semaine 4'!E32))</f>
        <v/>
      </c>
      <c r="H31" s="17">
        <f>IF(COUNT('Semaine 1'!F32,'Semaine 2'!F32,'Semaine 3'!F32,'Semaine 4'!F32)=0,"",SUM('Semaine 1'!F32,'Semaine 2'!F32,'Semaine 3'!F32,'Semaine 4'!F32))</f>
        <v/>
      </c>
      <c r="I31" s="16">
        <f>IF(OR(G31="",H31=""),"",H31-G31)</f>
        <v/>
      </c>
      <c r="J31" s="17">
        <f>IF('Semaine 4'!D32&lt;&gt;"",'Semaine 4'!D32,IF('Semaine 3'!D32&lt;&gt;"",'Semaine 3'!D32,IF('Semaine 2'!D32&lt;&gt;"",'Semaine 2'!D32,IF('Semaine 1'!D32&lt;&gt;"",'Semaine 1'!D32,""))))</f>
        <v/>
      </c>
    </row>
    <row r="32">
      <c r="A32" s="13">
        <f>IF(Produits!$A$32="","",Produits!$A$32)</f>
        <v/>
      </c>
      <c r="B32" s="15">
        <f>IF(Produits!$A$32="","",Produits!$C$32)</f>
        <v/>
      </c>
      <c r="C32" s="16">
        <f>IF('Semaine 1'!E33="","",'Semaine 1'!E33)</f>
        <v/>
      </c>
      <c r="D32" s="16">
        <f>IF('Semaine 2'!E33="","",'Semaine 2'!E33)</f>
        <v/>
      </c>
      <c r="E32" s="16">
        <f>IF('Semaine 3'!E33="","",'Semaine 3'!E33)</f>
        <v/>
      </c>
      <c r="F32" s="16">
        <f>IF('Semaine 4'!E33="","",'Semaine 4'!E33)</f>
        <v/>
      </c>
      <c r="G32" s="17">
        <f>IF(COUNT('Semaine 1'!E33,'Semaine 2'!E33,'Semaine 3'!E33,'Semaine 4'!E33)=0,"",SUM('Semaine 1'!E33,'Semaine 2'!E33,'Semaine 3'!E33,'Semaine 4'!E33))</f>
        <v/>
      </c>
      <c r="H32" s="17">
        <f>IF(COUNT('Semaine 1'!F33,'Semaine 2'!F33,'Semaine 3'!F33,'Semaine 4'!F33)=0,"",SUM('Semaine 1'!F33,'Semaine 2'!F33,'Semaine 3'!F33,'Semaine 4'!F33))</f>
        <v/>
      </c>
      <c r="I32" s="16">
        <f>IF(OR(G32="",H32=""),"",H32-G32)</f>
        <v/>
      </c>
      <c r="J32" s="17">
        <f>IF('Semaine 4'!D33&lt;&gt;"",'Semaine 4'!D33,IF('Semaine 3'!D33&lt;&gt;"",'Semaine 3'!D33,IF('Semaine 2'!D33&lt;&gt;"",'Semaine 2'!D33,IF('Semaine 1'!D33&lt;&gt;"",'Semaine 1'!D33,""))))</f>
        <v/>
      </c>
    </row>
    <row r="33">
      <c r="A33" s="13">
        <f>IF(Produits!$A$33="","",Produits!$A$33)</f>
        <v/>
      </c>
      <c r="B33" s="15">
        <f>IF(Produits!$A$33="","",Produits!$C$33)</f>
        <v/>
      </c>
      <c r="C33" s="16">
        <f>IF('Semaine 1'!E34="","",'Semaine 1'!E34)</f>
        <v/>
      </c>
      <c r="D33" s="16">
        <f>IF('Semaine 2'!E34="","",'Semaine 2'!E34)</f>
        <v/>
      </c>
      <c r="E33" s="16">
        <f>IF('Semaine 3'!E34="","",'Semaine 3'!E34)</f>
        <v/>
      </c>
      <c r="F33" s="16">
        <f>IF('Semaine 4'!E34="","",'Semaine 4'!E34)</f>
        <v/>
      </c>
      <c r="G33" s="17">
        <f>IF(COUNT('Semaine 1'!E34,'Semaine 2'!E34,'Semaine 3'!E34,'Semaine 4'!E34)=0,"",SUM('Semaine 1'!E34,'Semaine 2'!E34,'Semaine 3'!E34,'Semaine 4'!E34))</f>
        <v/>
      </c>
      <c r="H33" s="17">
        <f>IF(COUNT('Semaine 1'!F34,'Semaine 2'!F34,'Semaine 3'!F34,'Semaine 4'!F34)=0,"",SUM('Semaine 1'!F34,'Semaine 2'!F34,'Semaine 3'!F34,'Semaine 4'!F34))</f>
        <v/>
      </c>
      <c r="I33" s="16">
        <f>IF(OR(G33="",H33=""),"",H33-G33)</f>
        <v/>
      </c>
      <c r="J33" s="17">
        <f>IF('Semaine 4'!D34&lt;&gt;"",'Semaine 4'!D34,IF('Semaine 3'!D34&lt;&gt;"",'Semaine 3'!D34,IF('Semaine 2'!D34&lt;&gt;"",'Semaine 2'!D34,IF('Semaine 1'!D34&lt;&gt;"",'Semaine 1'!D34,""))))</f>
        <v/>
      </c>
    </row>
    <row r="34">
      <c r="A34" s="13">
        <f>IF(Produits!$A$34="","",Produits!$A$34)</f>
        <v/>
      </c>
      <c r="B34" s="15">
        <f>IF(Produits!$A$34="","",Produits!$C$34)</f>
        <v/>
      </c>
      <c r="C34" s="16">
        <f>IF('Semaine 1'!E35="","",'Semaine 1'!E35)</f>
        <v/>
      </c>
      <c r="D34" s="16">
        <f>IF('Semaine 2'!E35="","",'Semaine 2'!E35)</f>
        <v/>
      </c>
      <c r="E34" s="16">
        <f>IF('Semaine 3'!E35="","",'Semaine 3'!E35)</f>
        <v/>
      </c>
      <c r="F34" s="16">
        <f>IF('Semaine 4'!E35="","",'Semaine 4'!E35)</f>
        <v/>
      </c>
      <c r="G34" s="17">
        <f>IF(COUNT('Semaine 1'!E35,'Semaine 2'!E35,'Semaine 3'!E35,'Semaine 4'!E35)=0,"",SUM('Semaine 1'!E35,'Semaine 2'!E35,'Semaine 3'!E35,'Semaine 4'!E35))</f>
        <v/>
      </c>
      <c r="H34" s="17">
        <f>IF(COUNT('Semaine 1'!F35,'Semaine 2'!F35,'Semaine 3'!F35,'Semaine 4'!F35)=0,"",SUM('Semaine 1'!F35,'Semaine 2'!F35,'Semaine 3'!F35,'Semaine 4'!F35))</f>
        <v/>
      </c>
      <c r="I34" s="16">
        <f>IF(OR(G34="",H34=""),"",H34-G34)</f>
        <v/>
      </c>
      <c r="J34" s="17">
        <f>IF('Semaine 4'!D35&lt;&gt;"",'Semaine 4'!D35,IF('Semaine 3'!D35&lt;&gt;"",'Semaine 3'!D35,IF('Semaine 2'!D35&lt;&gt;"",'Semaine 2'!D35,IF('Semaine 1'!D35&lt;&gt;"",'Semaine 1'!D35,""))))</f>
        <v/>
      </c>
    </row>
    <row r="35">
      <c r="A35" s="13">
        <f>IF(Produits!$A$35="","",Produits!$A$35)</f>
        <v/>
      </c>
      <c r="B35" s="15">
        <f>IF(Produits!$A$35="","",Produits!$C$35)</f>
        <v/>
      </c>
      <c r="C35" s="16">
        <f>IF('Semaine 1'!E36="","",'Semaine 1'!E36)</f>
        <v/>
      </c>
      <c r="D35" s="16">
        <f>IF('Semaine 2'!E36="","",'Semaine 2'!E36)</f>
        <v/>
      </c>
      <c r="E35" s="16">
        <f>IF('Semaine 3'!E36="","",'Semaine 3'!E36)</f>
        <v/>
      </c>
      <c r="F35" s="16">
        <f>IF('Semaine 4'!E36="","",'Semaine 4'!E36)</f>
        <v/>
      </c>
      <c r="G35" s="17">
        <f>IF(COUNT('Semaine 1'!E36,'Semaine 2'!E36,'Semaine 3'!E36,'Semaine 4'!E36)=0,"",SUM('Semaine 1'!E36,'Semaine 2'!E36,'Semaine 3'!E36,'Semaine 4'!E36))</f>
        <v/>
      </c>
      <c r="H35" s="17">
        <f>IF(COUNT('Semaine 1'!F36,'Semaine 2'!F36,'Semaine 3'!F36,'Semaine 4'!F36)=0,"",SUM('Semaine 1'!F36,'Semaine 2'!F36,'Semaine 3'!F36,'Semaine 4'!F36))</f>
        <v/>
      </c>
      <c r="I35" s="16">
        <f>IF(OR(G35="",H35=""),"",H35-G35)</f>
        <v/>
      </c>
      <c r="J35" s="17">
        <f>IF('Semaine 4'!D36&lt;&gt;"",'Semaine 4'!D36,IF('Semaine 3'!D36&lt;&gt;"",'Semaine 3'!D36,IF('Semaine 2'!D36&lt;&gt;"",'Semaine 2'!D36,IF('Semaine 1'!D36&lt;&gt;"",'Semaine 1'!D36,""))))</f>
        <v/>
      </c>
    </row>
    <row r="36">
      <c r="A36" s="13">
        <f>IF(Produits!$A$36="","",Produits!$A$36)</f>
        <v/>
      </c>
      <c r="B36" s="15">
        <f>IF(Produits!$A$36="","",Produits!$C$36)</f>
        <v/>
      </c>
      <c r="C36" s="16">
        <f>IF('Semaine 1'!E37="","",'Semaine 1'!E37)</f>
        <v/>
      </c>
      <c r="D36" s="16">
        <f>IF('Semaine 2'!E37="","",'Semaine 2'!E37)</f>
        <v/>
      </c>
      <c r="E36" s="16">
        <f>IF('Semaine 3'!E37="","",'Semaine 3'!E37)</f>
        <v/>
      </c>
      <c r="F36" s="16">
        <f>IF('Semaine 4'!E37="","",'Semaine 4'!E37)</f>
        <v/>
      </c>
      <c r="G36" s="17">
        <f>IF(COUNT('Semaine 1'!E37,'Semaine 2'!E37,'Semaine 3'!E37,'Semaine 4'!E37)=0,"",SUM('Semaine 1'!E37,'Semaine 2'!E37,'Semaine 3'!E37,'Semaine 4'!E37))</f>
        <v/>
      </c>
      <c r="H36" s="17">
        <f>IF(COUNT('Semaine 1'!F37,'Semaine 2'!F37,'Semaine 3'!F37,'Semaine 4'!F37)=0,"",SUM('Semaine 1'!F37,'Semaine 2'!F37,'Semaine 3'!F37,'Semaine 4'!F37))</f>
        <v/>
      </c>
      <c r="I36" s="16">
        <f>IF(OR(G36="",H36=""),"",H36-G36)</f>
        <v/>
      </c>
      <c r="J36" s="17">
        <f>IF('Semaine 4'!D37&lt;&gt;"",'Semaine 4'!D37,IF('Semaine 3'!D37&lt;&gt;"",'Semaine 3'!D37,IF('Semaine 2'!D37&lt;&gt;"",'Semaine 2'!D37,IF('Semaine 1'!D37&lt;&gt;"",'Semaine 1'!D37,""))))</f>
        <v/>
      </c>
    </row>
    <row r="37">
      <c r="A37" s="13">
        <f>IF(Produits!$A$37="","",Produits!$A$37)</f>
        <v/>
      </c>
      <c r="B37" s="15">
        <f>IF(Produits!$A$37="","",Produits!$C$37)</f>
        <v/>
      </c>
      <c r="C37" s="16">
        <f>IF('Semaine 1'!E38="","",'Semaine 1'!E38)</f>
        <v/>
      </c>
      <c r="D37" s="16">
        <f>IF('Semaine 2'!E38="","",'Semaine 2'!E38)</f>
        <v/>
      </c>
      <c r="E37" s="16">
        <f>IF('Semaine 3'!E38="","",'Semaine 3'!E38)</f>
        <v/>
      </c>
      <c r="F37" s="16">
        <f>IF('Semaine 4'!E38="","",'Semaine 4'!E38)</f>
        <v/>
      </c>
      <c r="G37" s="17">
        <f>IF(COUNT('Semaine 1'!E38,'Semaine 2'!E38,'Semaine 3'!E38,'Semaine 4'!E38)=0,"",SUM('Semaine 1'!E38,'Semaine 2'!E38,'Semaine 3'!E38,'Semaine 4'!E38))</f>
        <v/>
      </c>
      <c r="H37" s="17">
        <f>IF(COUNT('Semaine 1'!F38,'Semaine 2'!F38,'Semaine 3'!F38,'Semaine 4'!F38)=0,"",SUM('Semaine 1'!F38,'Semaine 2'!F38,'Semaine 3'!F38,'Semaine 4'!F38))</f>
        <v/>
      </c>
      <c r="I37" s="16">
        <f>IF(OR(G37="",H37=""),"",H37-G37)</f>
        <v/>
      </c>
      <c r="J37" s="17">
        <f>IF('Semaine 4'!D38&lt;&gt;"",'Semaine 4'!D38,IF('Semaine 3'!D38&lt;&gt;"",'Semaine 3'!D38,IF('Semaine 2'!D38&lt;&gt;"",'Semaine 2'!D38,IF('Semaine 1'!D38&lt;&gt;"",'Semaine 1'!D38,""))))</f>
        <v/>
      </c>
    </row>
    <row r="38">
      <c r="A38" s="13">
        <f>IF(Produits!$A$38="","",Produits!$A$38)</f>
        <v/>
      </c>
      <c r="B38" s="15">
        <f>IF(Produits!$A$38="","",Produits!$C$38)</f>
        <v/>
      </c>
      <c r="C38" s="16">
        <f>IF('Semaine 1'!E39="","",'Semaine 1'!E39)</f>
        <v/>
      </c>
      <c r="D38" s="16">
        <f>IF('Semaine 2'!E39="","",'Semaine 2'!E39)</f>
        <v/>
      </c>
      <c r="E38" s="16">
        <f>IF('Semaine 3'!E39="","",'Semaine 3'!E39)</f>
        <v/>
      </c>
      <c r="F38" s="16">
        <f>IF('Semaine 4'!E39="","",'Semaine 4'!E39)</f>
        <v/>
      </c>
      <c r="G38" s="17">
        <f>IF(COUNT('Semaine 1'!E39,'Semaine 2'!E39,'Semaine 3'!E39,'Semaine 4'!E39)=0,"",SUM('Semaine 1'!E39,'Semaine 2'!E39,'Semaine 3'!E39,'Semaine 4'!E39))</f>
        <v/>
      </c>
      <c r="H38" s="17">
        <f>IF(COUNT('Semaine 1'!F39,'Semaine 2'!F39,'Semaine 3'!F39,'Semaine 4'!F39)=0,"",SUM('Semaine 1'!F39,'Semaine 2'!F39,'Semaine 3'!F39,'Semaine 4'!F39))</f>
        <v/>
      </c>
      <c r="I38" s="16">
        <f>IF(OR(G38="",H38=""),"",H38-G38)</f>
        <v/>
      </c>
      <c r="J38" s="17">
        <f>IF('Semaine 4'!D39&lt;&gt;"",'Semaine 4'!D39,IF('Semaine 3'!D39&lt;&gt;"",'Semaine 3'!D39,IF('Semaine 2'!D39&lt;&gt;"",'Semaine 2'!D39,IF('Semaine 1'!D39&lt;&gt;"",'Semaine 1'!D39,""))))</f>
        <v/>
      </c>
    </row>
    <row r="39">
      <c r="A39" s="13">
        <f>IF(Produits!$A$39="","",Produits!$A$39)</f>
        <v/>
      </c>
      <c r="B39" s="15">
        <f>IF(Produits!$A$39="","",Produits!$C$39)</f>
        <v/>
      </c>
      <c r="C39" s="16">
        <f>IF('Semaine 1'!E40="","",'Semaine 1'!E40)</f>
        <v/>
      </c>
      <c r="D39" s="16">
        <f>IF('Semaine 2'!E40="","",'Semaine 2'!E40)</f>
        <v/>
      </c>
      <c r="E39" s="16">
        <f>IF('Semaine 3'!E40="","",'Semaine 3'!E40)</f>
        <v/>
      </c>
      <c r="F39" s="16">
        <f>IF('Semaine 4'!E40="","",'Semaine 4'!E40)</f>
        <v/>
      </c>
      <c r="G39" s="17">
        <f>IF(COUNT('Semaine 1'!E40,'Semaine 2'!E40,'Semaine 3'!E40,'Semaine 4'!E40)=0,"",SUM('Semaine 1'!E40,'Semaine 2'!E40,'Semaine 3'!E40,'Semaine 4'!E40))</f>
        <v/>
      </c>
      <c r="H39" s="17">
        <f>IF(COUNT('Semaine 1'!F40,'Semaine 2'!F40,'Semaine 3'!F40,'Semaine 4'!F40)=0,"",SUM('Semaine 1'!F40,'Semaine 2'!F40,'Semaine 3'!F40,'Semaine 4'!F40))</f>
        <v/>
      </c>
      <c r="I39" s="16">
        <f>IF(OR(G39="",H39=""),"",H39-G39)</f>
        <v/>
      </c>
      <c r="J39" s="17">
        <f>IF('Semaine 4'!D40&lt;&gt;"",'Semaine 4'!D40,IF('Semaine 3'!D40&lt;&gt;"",'Semaine 3'!D40,IF('Semaine 2'!D40&lt;&gt;"",'Semaine 2'!D40,IF('Semaine 1'!D40&lt;&gt;"",'Semaine 1'!D40,""))))</f>
        <v/>
      </c>
    </row>
    <row r="40">
      <c r="A40" s="13">
        <f>IF(Produits!$A$40="","",Produits!$A$40)</f>
        <v/>
      </c>
      <c r="B40" s="15">
        <f>IF(Produits!$A$40="","",Produits!$C$40)</f>
        <v/>
      </c>
      <c r="C40" s="16">
        <f>IF('Semaine 1'!E41="","",'Semaine 1'!E41)</f>
        <v/>
      </c>
      <c r="D40" s="16">
        <f>IF('Semaine 2'!E41="","",'Semaine 2'!E41)</f>
        <v/>
      </c>
      <c r="E40" s="16">
        <f>IF('Semaine 3'!E41="","",'Semaine 3'!E41)</f>
        <v/>
      </c>
      <c r="F40" s="16">
        <f>IF('Semaine 4'!E41="","",'Semaine 4'!E41)</f>
        <v/>
      </c>
      <c r="G40" s="17">
        <f>IF(COUNT('Semaine 1'!E41,'Semaine 2'!E41,'Semaine 3'!E41,'Semaine 4'!E41)=0,"",SUM('Semaine 1'!E41,'Semaine 2'!E41,'Semaine 3'!E41,'Semaine 4'!E41))</f>
        <v/>
      </c>
      <c r="H40" s="17">
        <f>IF(COUNT('Semaine 1'!F41,'Semaine 2'!F41,'Semaine 3'!F41,'Semaine 4'!F41)=0,"",SUM('Semaine 1'!F41,'Semaine 2'!F41,'Semaine 3'!F41,'Semaine 4'!F41))</f>
        <v/>
      </c>
      <c r="I40" s="16">
        <f>IF(OR(G40="",H40=""),"",H40-G40)</f>
        <v/>
      </c>
      <c r="J40" s="17">
        <f>IF('Semaine 4'!D41&lt;&gt;"",'Semaine 4'!D41,IF('Semaine 3'!D41&lt;&gt;"",'Semaine 3'!D41,IF('Semaine 2'!D41&lt;&gt;"",'Semaine 2'!D41,IF('Semaine 1'!D41&lt;&gt;"",'Semaine 1'!D41,""))))</f>
        <v/>
      </c>
    </row>
    <row r="41">
      <c r="A41" s="13">
        <f>IF(Produits!$A$41="","",Produits!$A$41)</f>
        <v/>
      </c>
      <c r="B41" s="15">
        <f>IF(Produits!$A$41="","",Produits!$C$41)</f>
        <v/>
      </c>
      <c r="C41" s="16">
        <f>IF('Semaine 1'!E42="","",'Semaine 1'!E42)</f>
        <v/>
      </c>
      <c r="D41" s="16">
        <f>IF('Semaine 2'!E42="","",'Semaine 2'!E42)</f>
        <v/>
      </c>
      <c r="E41" s="16">
        <f>IF('Semaine 3'!E42="","",'Semaine 3'!E42)</f>
        <v/>
      </c>
      <c r="F41" s="16">
        <f>IF('Semaine 4'!E42="","",'Semaine 4'!E42)</f>
        <v/>
      </c>
      <c r="G41" s="17">
        <f>IF(COUNT('Semaine 1'!E42,'Semaine 2'!E42,'Semaine 3'!E42,'Semaine 4'!E42)=0,"",SUM('Semaine 1'!E42,'Semaine 2'!E42,'Semaine 3'!E42,'Semaine 4'!E42))</f>
        <v/>
      </c>
      <c r="H41" s="17">
        <f>IF(COUNT('Semaine 1'!F42,'Semaine 2'!F42,'Semaine 3'!F42,'Semaine 4'!F42)=0,"",SUM('Semaine 1'!F42,'Semaine 2'!F42,'Semaine 3'!F42,'Semaine 4'!F42))</f>
        <v/>
      </c>
      <c r="I41" s="16">
        <f>IF(OR(G41="",H41=""),"",H41-G41)</f>
        <v/>
      </c>
      <c r="J41" s="17">
        <f>IF('Semaine 4'!D42&lt;&gt;"",'Semaine 4'!D42,IF('Semaine 3'!D42&lt;&gt;"",'Semaine 3'!D42,IF('Semaine 2'!D42&lt;&gt;"",'Semaine 2'!D42,IF('Semaine 1'!D42&lt;&gt;"",'Semaine 1'!D42,""))))</f>
        <v/>
      </c>
    </row>
    <row r="42">
      <c r="A42" s="13">
        <f>IF(Produits!$A$42="","",Produits!$A$42)</f>
        <v/>
      </c>
      <c r="B42" s="15">
        <f>IF(Produits!$A$42="","",Produits!$C$42)</f>
        <v/>
      </c>
      <c r="C42" s="16">
        <f>IF('Semaine 1'!E43="","",'Semaine 1'!E43)</f>
        <v/>
      </c>
      <c r="D42" s="16">
        <f>IF('Semaine 2'!E43="","",'Semaine 2'!E43)</f>
        <v/>
      </c>
      <c r="E42" s="16">
        <f>IF('Semaine 3'!E43="","",'Semaine 3'!E43)</f>
        <v/>
      </c>
      <c r="F42" s="16">
        <f>IF('Semaine 4'!E43="","",'Semaine 4'!E43)</f>
        <v/>
      </c>
      <c r="G42" s="17">
        <f>IF(COUNT('Semaine 1'!E43,'Semaine 2'!E43,'Semaine 3'!E43,'Semaine 4'!E43)=0,"",SUM('Semaine 1'!E43,'Semaine 2'!E43,'Semaine 3'!E43,'Semaine 4'!E43))</f>
        <v/>
      </c>
      <c r="H42" s="17">
        <f>IF(COUNT('Semaine 1'!F43,'Semaine 2'!F43,'Semaine 3'!F43,'Semaine 4'!F43)=0,"",SUM('Semaine 1'!F43,'Semaine 2'!F43,'Semaine 3'!F43,'Semaine 4'!F43))</f>
        <v/>
      </c>
      <c r="I42" s="16">
        <f>IF(OR(G42="",H42=""),"",H42-G42)</f>
        <v/>
      </c>
      <c r="J42" s="17">
        <f>IF('Semaine 4'!D43&lt;&gt;"",'Semaine 4'!D43,IF('Semaine 3'!D43&lt;&gt;"",'Semaine 3'!D43,IF('Semaine 2'!D43&lt;&gt;"",'Semaine 2'!D43,IF('Semaine 1'!D43&lt;&gt;"",'Semaine 1'!D43,""))))</f>
        <v/>
      </c>
    </row>
    <row r="43">
      <c r="A43" s="13">
        <f>IF(Produits!$A$43="","",Produits!$A$43)</f>
        <v/>
      </c>
      <c r="B43" s="15">
        <f>IF(Produits!$A$43="","",Produits!$C$43)</f>
        <v/>
      </c>
      <c r="C43" s="16">
        <f>IF('Semaine 1'!E44="","",'Semaine 1'!E44)</f>
        <v/>
      </c>
      <c r="D43" s="16">
        <f>IF('Semaine 2'!E44="","",'Semaine 2'!E44)</f>
        <v/>
      </c>
      <c r="E43" s="16">
        <f>IF('Semaine 3'!E44="","",'Semaine 3'!E44)</f>
        <v/>
      </c>
      <c r="F43" s="16">
        <f>IF('Semaine 4'!E44="","",'Semaine 4'!E44)</f>
        <v/>
      </c>
      <c r="G43" s="17">
        <f>IF(COUNT('Semaine 1'!E44,'Semaine 2'!E44,'Semaine 3'!E44,'Semaine 4'!E44)=0,"",SUM('Semaine 1'!E44,'Semaine 2'!E44,'Semaine 3'!E44,'Semaine 4'!E44))</f>
        <v/>
      </c>
      <c r="H43" s="17">
        <f>IF(COUNT('Semaine 1'!F44,'Semaine 2'!F44,'Semaine 3'!F44,'Semaine 4'!F44)=0,"",SUM('Semaine 1'!F44,'Semaine 2'!F44,'Semaine 3'!F44,'Semaine 4'!F44))</f>
        <v/>
      </c>
      <c r="I43" s="16">
        <f>IF(OR(G43="",H43=""),"",H43-G43)</f>
        <v/>
      </c>
      <c r="J43" s="17">
        <f>IF('Semaine 4'!D44&lt;&gt;"",'Semaine 4'!D44,IF('Semaine 3'!D44&lt;&gt;"",'Semaine 3'!D44,IF('Semaine 2'!D44&lt;&gt;"",'Semaine 2'!D44,IF('Semaine 1'!D44&lt;&gt;"",'Semaine 1'!D44,""))))</f>
        <v/>
      </c>
    </row>
    <row r="44">
      <c r="A44" s="13">
        <f>IF(Produits!$A$44="","",Produits!$A$44)</f>
        <v/>
      </c>
      <c r="B44" s="15">
        <f>IF(Produits!$A$44="","",Produits!$C$44)</f>
        <v/>
      </c>
      <c r="C44" s="16">
        <f>IF('Semaine 1'!E45="","",'Semaine 1'!E45)</f>
        <v/>
      </c>
      <c r="D44" s="16">
        <f>IF('Semaine 2'!E45="","",'Semaine 2'!E45)</f>
        <v/>
      </c>
      <c r="E44" s="16">
        <f>IF('Semaine 3'!E45="","",'Semaine 3'!E45)</f>
        <v/>
      </c>
      <c r="F44" s="16">
        <f>IF('Semaine 4'!E45="","",'Semaine 4'!E45)</f>
        <v/>
      </c>
      <c r="G44" s="17">
        <f>IF(COUNT('Semaine 1'!E45,'Semaine 2'!E45,'Semaine 3'!E45,'Semaine 4'!E45)=0,"",SUM('Semaine 1'!E45,'Semaine 2'!E45,'Semaine 3'!E45,'Semaine 4'!E45))</f>
        <v/>
      </c>
      <c r="H44" s="17">
        <f>IF(COUNT('Semaine 1'!F45,'Semaine 2'!F45,'Semaine 3'!F45,'Semaine 4'!F45)=0,"",SUM('Semaine 1'!F45,'Semaine 2'!F45,'Semaine 3'!F45,'Semaine 4'!F45))</f>
        <v/>
      </c>
      <c r="I44" s="16">
        <f>IF(OR(G44="",H44=""),"",H44-G44)</f>
        <v/>
      </c>
      <c r="J44" s="17">
        <f>IF('Semaine 4'!D45&lt;&gt;"",'Semaine 4'!D45,IF('Semaine 3'!D45&lt;&gt;"",'Semaine 3'!D45,IF('Semaine 2'!D45&lt;&gt;"",'Semaine 2'!D45,IF('Semaine 1'!D45&lt;&gt;"",'Semaine 1'!D45,""))))</f>
        <v/>
      </c>
    </row>
  </sheetData>
  <conditionalFormatting sqref="I5:I44">
    <cfRule type="expression" priority="1" dxfId="0">
      <formula>AND(ISNUMBER(I5),I5&lt;0)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2026-09-24T19:35:39Z</dcterms:created>
  <dcterms:modified xmlns:dcterms="http://purl.org/dc/terms/" xmlns:xsi="http://www.w3.org/2001/XMLSchema-instance" xsi:type="dcterms:W3CDTF">2026-09-24T19:35:39Z</dcterms:modified>
</cp:coreProperties>
</file>