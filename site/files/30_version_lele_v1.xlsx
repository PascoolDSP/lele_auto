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 d'emploi" sheetId="1" state="visible" r:id="rId1"/>
    <sheet xmlns:r="http://schemas.openxmlformats.org/officeDocument/2006/relationships" name="Tableau de bord" sheetId="2" state="visible" r:id="rId2"/>
    <sheet xmlns:r="http://schemas.openxmlformats.org/officeDocument/2006/relationships" name="Produits" sheetId="3" state="visible" r:id="rId3"/>
    <sheet xmlns:r="http://schemas.openxmlformats.org/officeDocument/2006/relationships" name="Fournisseurs" sheetId="4" state="visible" r:id="rId4"/>
    <sheet xmlns:r="http://schemas.openxmlformats.org/officeDocument/2006/relationships" name="Réceptions" sheetId="5" state="visible" r:id="rId5"/>
    <sheet xmlns:r="http://schemas.openxmlformats.org/officeDocument/2006/relationships" name="Janvier" sheetId="6" state="visible" r:id="rId6"/>
    <sheet xmlns:r="http://schemas.openxmlformats.org/officeDocument/2006/relationships" name="Février" sheetId="7" state="visible" r:id="rId7"/>
    <sheet xmlns:r="http://schemas.openxmlformats.org/officeDocument/2006/relationships" name="Mars" sheetId="8" state="visible" r:id="rId8"/>
    <sheet xmlns:r="http://schemas.openxmlformats.org/officeDocument/2006/relationships" name="Avril" sheetId="9" state="visible" r:id="rId9"/>
    <sheet xmlns:r="http://schemas.openxmlformats.org/officeDocument/2006/relationships" name="Mai" sheetId="10" state="visible" r:id="rId10"/>
    <sheet xmlns:r="http://schemas.openxmlformats.org/officeDocument/2006/relationships" name="Juin" sheetId="11" state="visible" r:id="rId11"/>
    <sheet xmlns:r="http://schemas.openxmlformats.org/officeDocument/2006/relationships" name="Juillet" sheetId="12" state="visible" r:id="rId12"/>
    <sheet xmlns:r="http://schemas.openxmlformats.org/officeDocument/2006/relationships" name="Août" sheetId="13" state="visible" r:id="rId13"/>
    <sheet xmlns:r="http://schemas.openxmlformats.org/officeDocument/2006/relationships" name="Septembre" sheetId="14" state="visible" r:id="rId14"/>
    <sheet xmlns:r="http://schemas.openxmlformats.org/officeDocument/2006/relationships" name="Octobre" sheetId="15" state="visible" r:id="rId15"/>
    <sheet xmlns:r="http://schemas.openxmlformats.org/officeDocument/2006/relationships" name="Novembre" sheetId="16" state="visible" r:id="rId16"/>
    <sheet xmlns:r="http://schemas.openxmlformats.org/officeDocument/2006/relationships" name="Décembre" sheetId="17" state="visible" r:id="rId17"/>
    <sheet xmlns:r="http://schemas.openxmlformats.org/officeDocument/2006/relationships" name="Année 2026" sheetId="18" state="visible" r:id="rId18"/>
  </sheets>
  <definedNames/>
  <calcPr calcId="124519" fullCalcOnLoad="1"/>
</workbook>
</file>

<file path=xl/styles.xml><?xml version="1.0" encoding="utf-8"?>
<styleSheet xmlns="http://schemas.openxmlformats.org/spreadsheetml/2006/main">
  <numFmts count="2">
    <numFmt numFmtId="164" formatCode="#,##0.00 &quot;€&quot;"/>
    <numFmt numFmtId="165" formatCode="DD/MM/YYYY"/>
  </numFmts>
  <fonts count="16">
    <font>
      <name val="Calibri"/>
      <family val="2"/>
      <color theme="1"/>
      <sz val="11"/>
      <scheme val="minor"/>
    </font>
    <font>
      <name val="Arial"/>
      <b val="1"/>
      <color rgb="002E6B3F"/>
      <sz val="16"/>
    </font>
    <font>
      <name val="Arial"/>
      <i val="1"/>
      <color rgb="00666666"/>
      <sz val="9"/>
    </font>
    <font>
      <name val="Arial"/>
      <b val="1"/>
      <color rgb="002E6B3F"/>
    </font>
    <font>
      <name val="Arial"/>
    </font>
    <font>
      <name val="Arial"/>
      <b val="1"/>
      <color rgb="00FFFFFF"/>
      <sz val="10"/>
    </font>
    <font>
      <name val="Arial"/>
      <color rgb="00000000"/>
      <sz val="10"/>
    </font>
    <font>
      <name val="Arial"/>
      <color rgb="001F4FD1"/>
    </font>
    <font>
      <name val="Arial"/>
      <b val="1"/>
      <color rgb="00000000"/>
      <sz val="10"/>
    </font>
    <font>
      <name val="Arial"/>
      <color rgb="00999999"/>
      <sz val="9"/>
    </font>
    <font>
      <name val="Arial"/>
      <color rgb="00555555"/>
      <sz val="10"/>
    </font>
    <font>
      <name val="Arial"/>
      <b val="1"/>
      <color rgb="002E6B3F"/>
      <sz val="12"/>
    </font>
    <font>
      <name val="Arial"/>
      <b val="1"/>
      <sz val="12"/>
    </font>
    <font>
      <name val="Arial"/>
      <b val="1"/>
      <color rgb="00FFFFFF"/>
      <sz val="9"/>
    </font>
    <font>
      <name val="Arial"/>
      <b val="1"/>
      <color rgb="00000000"/>
      <sz val="18"/>
    </font>
    <font>
      <name val="Arial"/>
      <color rgb="002E6B3F"/>
      <sz val="8"/>
    </font>
  </fonts>
  <fills count="6">
    <fill>
      <patternFill/>
    </fill>
    <fill>
      <patternFill patternType="gray125"/>
    </fill>
    <fill>
      <patternFill patternType="solid">
        <fgColor rgb="002E6B3F"/>
      </patternFill>
    </fill>
    <fill>
      <patternFill patternType="solid">
        <fgColor rgb="00FFF6D5"/>
      </patternFill>
    </fill>
    <fill>
      <patternFill patternType="solid">
        <fgColor rgb="00D5E1D8"/>
      </patternFill>
    </fill>
    <fill>
      <patternFill patternType="solid">
        <fgColor rgb="00EEF3EF"/>
      </patternFill>
    </fill>
  </fills>
  <borders count="5">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style="thin">
        <color rgb="00D0D0D0"/>
      </right>
      <top style="thin">
        <color rgb="00D0D0D0"/>
      </top>
      <bottom style="thin">
        <color rgb="00D0D0D0"/>
      </bottom>
      <diagonal/>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xf>
    <xf numFmtId="0" fontId="4" fillId="0" borderId="0" applyAlignment="1" pivotButton="0" quotePrefix="0" xfId="0">
      <alignment vertical="top" wrapText="1"/>
    </xf>
    <xf numFmtId="0" fontId="3" fillId="0" borderId="0" pivotButton="0" quotePrefix="0" xfId="0"/>
    <xf numFmtId="0" fontId="8" fillId="0" borderId="0" applyAlignment="1" pivotButton="0" quotePrefix="0" xfId="0">
      <alignment horizontal="right" vertical="center"/>
    </xf>
    <xf numFmtId="0" fontId="12" fillId="3" borderId="1" applyAlignment="1" pivotButton="0" quotePrefix="0" xfId="0">
      <alignment horizontal="center" vertical="center"/>
    </xf>
    <xf numFmtId="0" fontId="8" fillId="4" borderId="1" applyAlignment="1" pivotButton="0" quotePrefix="0" xfId="0">
      <alignment horizontal="center" vertical="center" wrapText="1"/>
    </xf>
    <xf numFmtId="0" fontId="13" fillId="2" borderId="1" applyAlignment="1" pivotButton="0" quotePrefix="0" xfId="0">
      <alignment horizontal="center" vertical="center"/>
    </xf>
    <xf numFmtId="0" fontId="0" fillId="2" borderId="0" pivotButton="0" quotePrefix="0" xfId="0"/>
    <xf numFmtId="0" fontId="6" fillId="0" borderId="1" applyAlignment="1" pivotButton="0" quotePrefix="0" xfId="0">
      <alignment horizontal="center" vertical="center"/>
    </xf>
    <xf numFmtId="164" fontId="14" fillId="5" borderId="1" applyAlignment="1" pivotButton="0" quotePrefix="0" xfId="0">
      <alignment horizontal="center" vertical="center"/>
    </xf>
    <xf numFmtId="1" fontId="14" fillId="5" borderId="1" applyAlignment="1" pivotButton="0" quotePrefix="0" xfId="0">
      <alignment horizontal="center" vertical="center"/>
    </xf>
    <xf numFmtId="0" fontId="11" fillId="0" borderId="0" applyAlignment="1" pivotButton="0" quotePrefix="0" xfId="0">
      <alignment horizontal="left" vertical="center"/>
    </xf>
    <xf numFmtId="0" fontId="5" fillId="2" borderId="1" applyAlignment="1" pivotButton="0" quotePrefix="0" xfId="0">
      <alignment horizontal="center" vertical="center" wrapText="1"/>
    </xf>
    <xf numFmtId="0" fontId="0" fillId="0" borderId="4" pivotButton="0" quotePrefix="0" xfId="0"/>
    <xf numFmtId="0" fontId="6" fillId="0" borderId="1" applyAlignment="1" pivotButton="0" quotePrefix="0" xfId="0">
      <alignment horizontal="left" vertical="center"/>
    </xf>
    <xf numFmtId="164" fontId="6" fillId="0" borderId="1" applyAlignment="1" pivotButton="0" quotePrefix="0" xfId="0">
      <alignment horizontal="center" vertical="center"/>
    </xf>
    <xf numFmtId="0" fontId="0" fillId="2" borderId="1" pivotButton="0" quotePrefix="0" xfId="0"/>
    <xf numFmtId="0" fontId="8" fillId="0" borderId="1" applyAlignment="1" pivotButton="0" quotePrefix="0" xfId="0">
      <alignment horizontal="left" vertical="center"/>
    </xf>
    <xf numFmtId="0" fontId="15" fillId="0" borderId="1" applyAlignment="1" pivotButton="0" quotePrefix="0" xfId="0">
      <alignment horizontal="left" vertical="bottom"/>
    </xf>
    <xf numFmtId="0" fontId="8" fillId="0" borderId="1" applyAlignment="1" pivotButton="0" quotePrefix="0" xfId="0">
      <alignment horizontal="center" vertical="center"/>
    </xf>
    <xf numFmtId="0" fontId="5" fillId="2" borderId="1" applyAlignment="1" pivotButton="0" quotePrefix="0" xfId="0">
      <alignment horizontal="left" vertical="center"/>
    </xf>
    <xf numFmtId="0" fontId="9" fillId="0" borderId="1" applyAlignment="1" pivotButton="0" quotePrefix="0" xfId="0">
      <alignment horizontal="center" vertical="center"/>
    </xf>
    <xf numFmtId="0" fontId="7" fillId="3" borderId="1" applyAlignment="1" pivotButton="0" quotePrefix="0" xfId="0">
      <alignment horizontal="left" vertical="center"/>
    </xf>
    <xf numFmtId="0" fontId="7" fillId="3" borderId="1" applyAlignment="1" pivotButton="0" quotePrefix="0" xfId="0">
      <alignment horizontal="center" vertical="center"/>
    </xf>
    <xf numFmtId="164" fontId="7" fillId="3" borderId="1" applyAlignment="1" pivotButton="0" quotePrefix="0" xfId="0">
      <alignment horizontal="center" vertical="center"/>
    </xf>
    <xf numFmtId="0" fontId="6" fillId="3" borderId="1" applyAlignment="1" pivotButton="0" quotePrefix="0" xfId="0">
      <alignment horizontal="left" vertical="center"/>
    </xf>
    <xf numFmtId="0" fontId="6" fillId="3" borderId="1" applyAlignment="1" pivotButton="0" quotePrefix="0" xfId="0">
      <alignment horizontal="center" vertical="center"/>
    </xf>
    <xf numFmtId="164" fontId="6" fillId="3" borderId="1" applyAlignment="1" pivotButton="0" quotePrefix="0" xfId="0">
      <alignment horizontal="center" vertical="center"/>
    </xf>
    <xf numFmtId="165" fontId="7" fillId="3" borderId="1" applyAlignment="1" pivotButton="0" quotePrefix="0" xfId="0">
      <alignment horizontal="center" vertical="center"/>
    </xf>
    <xf numFmtId="165" fontId="6" fillId="3" borderId="1" applyAlignment="1" pivotButton="0" quotePrefix="0" xfId="0">
      <alignment horizontal="center" vertical="center"/>
    </xf>
    <xf numFmtId="0" fontId="8" fillId="0" borderId="1" applyAlignment="1" pivotButton="0" quotePrefix="0" xfId="0">
      <alignment horizontal="left" vertical="center"/>
    </xf>
    <xf numFmtId="0" fontId="10" fillId="0" borderId="1" applyAlignment="1" pivotButton="0" quotePrefix="0" xfId="0">
      <alignment horizontal="center" vertical="center"/>
    </xf>
    <xf numFmtId="164" fontId="8" fillId="4" borderId="1" applyAlignment="1" pivotButton="0" quotePrefix="0" xfId="0">
      <alignment horizontal="center" vertical="center"/>
    </xf>
    <xf numFmtId="164" fontId="8" fillId="0" borderId="1" applyAlignment="1" pivotButton="0" quotePrefix="0" xfId="0">
      <alignment horizontal="center" vertical="center"/>
    </xf>
  </cellXfs>
  <cellStyles count="1">
    <cellStyle name="Normal" xfId="0" builtinId="0" hidden="0"/>
  </cellStyles>
  <dxfs count="6">
    <dxf>
      <fill>
        <patternFill patternType="solid">
          <fgColor rgb="00F8C9C4"/>
        </patternFill>
      </fill>
    </dxf>
    <dxf>
      <fill>
        <patternFill patternType="solid">
          <fgColor rgb="00FBDDB0"/>
        </patternFill>
      </fill>
    </dxf>
    <dxf>
      <font>
        <color rgb="00C0392B"/>
      </font>
      <fill>
        <patternFill patternType="solid">
          <fgColor rgb="00F8C9C4"/>
        </patternFill>
      </fill>
    </dxf>
    <dxf>
      <font>
        <color rgb="001E7B34"/>
      </font>
      <fill>
        <patternFill patternType="solid">
          <fgColor rgb="00D3EBD0"/>
        </patternFill>
      </fill>
    </dxf>
    <dxf>
      <font>
        <color rgb="008C8C8C"/>
      </font>
      <fill>
        <patternFill patternType="solid">
          <fgColor rgb="00E7E6E6"/>
        </patternFill>
      </fill>
    </dxf>
    <dxf>
      <fill>
        <patternFill patternType="solid">
          <fgColor rgb="00D3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Dépenses du mois (€)</a:t>
            </a:r>
          </a:p>
        </rich>
      </tx>
    </title>
    <plotArea>
      <barChart>
        <barDir val="bar"/>
        <grouping val="clustered"/>
        <ser>
          <idx val="0"/>
          <order val="0"/>
          <tx>
            <strRef>
              <f>'Tableau de bord'!E11</f>
            </strRef>
          </tx>
          <spPr>
            <a:solidFill xmlns:a="http://schemas.openxmlformats.org/drawingml/2006/main">
              <a:srgbClr val="2E6B3F"/>
            </a:solidFill>
            <a:ln xmlns:a="http://schemas.openxmlformats.org/drawingml/2006/main">
              <a:prstDash val="solid"/>
            </a:ln>
          </spPr>
          <cat>
            <numRef>
              <f>'Tableau de bord'!$B$12:$B$21</f>
            </numRef>
          </cat>
          <val>
            <numRef>
              <f>'Tableau de bord'!$E$12:$E$21</f>
            </numRef>
          </val>
        </ser>
        <gapWidth val="150"/>
        <axId val="10"/>
        <axId val="100"/>
      </barChart>
      <catAx>
        <axId val="10"/>
        <scaling>
          <orientation val="maxMin"/>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6</col>
      <colOff>0</colOff>
      <row>9</row>
      <rowOff>0</rowOff>
    </from>
    <ext cx="50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23"/>
  <sheetViews>
    <sheetView showGridLines="0" workbookViewId="0">
      <selection activeCell="A1" sqref="A1"/>
    </sheetView>
  </sheetViews>
  <sheetFormatPr baseColWidth="8" defaultRowHeight="15"/>
  <cols>
    <col width="16" customWidth="1" min="1" max="1"/>
    <col width="100" customWidth="1" min="2" max="2"/>
  </cols>
  <sheetData>
    <row r="1" ht="26" customHeight="1">
      <c r="A1" s="1" t="inlineStr">
        <is>
          <t>Suivi des stocks — version pour Lele (v1)</t>
        </is>
      </c>
    </row>
    <row r="2">
      <c r="A2" s="2" t="inlineStr">
        <is>
          <t>Proposition de tableau de gestion des stocks — Excel et Google Sheets</t>
        </is>
      </c>
    </row>
    <row r="4">
      <c r="A4" s="3" t="inlineStr">
        <is>
          <t>L'idée</t>
        </is>
      </c>
      <c r="B4" s="4" t="inlineStr">
        <is>
          <t>Ton suivi sur l'année, avec tout ce que tu as demandé : les produits rangés par zone (réserve sèche, chambre froide positive, chambre froide négative, ménager), la date de commande chaque semaine, le tableau de bord avec les tendances, et le registre de réception qui remplace ton cahier.</t>
        </is>
      </c>
    </row>
    <row r="5">
      <c r="A5" s="5" t="inlineStr"/>
      <c r="B5" s="4" t="inlineStr"/>
    </row>
    <row r="6">
      <c r="A6" s="5" t="inlineStr">
        <is>
          <t>Comment faire</t>
        </is>
      </c>
      <c r="B6" s="4" t="inlineStr">
        <is>
          <t>1. Onglet Produits : écris chaque produit dans sa zone, avec son fournisseur habituel, l'unité, le stock minimum et le prix unitaire (une seule fois — à changer seulement si le tarif change).</t>
        </is>
      </c>
    </row>
    <row r="7">
      <c r="A7" s="5" t="inlineStr"/>
      <c r="B7" s="4" t="inlineStr">
        <is>
          <t>2. Chaque semaine, dans l'onglet du mois : la date de commande, le stock compté, ce que tu commandes, puis ce que tu reçois à la livraison. Rouge = reçu moins que commandé, orange = sous le minimum.</t>
        </is>
      </c>
    </row>
    <row r="8">
      <c r="A8" s="5" t="inlineStr"/>
      <c r="B8" s="4" t="inlineStr">
        <is>
          <t>3. À chaque livraison : une ligne par produit dans Réceptions (date, produit, fournisseur, quantité, n° de lot, DLC). Le fournisseur peut être différent de l'habituel.</t>
        </is>
      </c>
    </row>
    <row r="9">
      <c r="A9" s="5" t="inlineStr"/>
      <c r="B9" s="4" t="inlineStr">
        <is>
          <t>4. Tableau de bord : choisis le mois, tout se calcule. Année 2026 : le récap mois par mois.</t>
        </is>
      </c>
    </row>
    <row r="10">
      <c r="A10" s="5" t="inlineStr"/>
      <c r="B10" s="4" t="inlineStr">
        <is>
          <t>5. Les chiffres en bleu sont des exemples : efface-les avant de commencer.</t>
        </is>
      </c>
    </row>
    <row r="11">
      <c r="A11" s="5" t="inlineStr"/>
      <c r="B11" s="4" t="inlineStr"/>
    </row>
    <row r="12">
      <c r="A12" s="5" t="inlineStr">
        <is>
          <t>Les onglets</t>
        </is>
      </c>
      <c r="B12" s="4" t="inlineStr">
        <is>
          <t>Tableau de bord — dépenses, livraisons incomplètes, produits sous le minimum, tendances, top 10.</t>
        </is>
      </c>
    </row>
    <row r="13">
      <c r="A13" s="5" t="inlineStr"/>
      <c r="B13" s="4" t="inlineStr">
        <is>
          <t>Produits — ta liste par zone, avec minimum et prix.</t>
        </is>
      </c>
    </row>
    <row r="14">
      <c r="A14" s="5" t="inlineStr"/>
      <c r="B14" s="4" t="inlineStr">
        <is>
          <t>Fournisseurs — carnet d'adresses.</t>
        </is>
      </c>
    </row>
    <row r="15">
      <c r="A15" s="5" t="inlineStr"/>
      <c r="B15" s="4" t="inlineStr">
        <is>
          <t>Janvier à Décembre — la saisie de chaque semaine.</t>
        </is>
      </c>
    </row>
    <row r="16">
      <c r="A16" s="5" t="inlineStr"/>
      <c r="B16" s="4" t="inlineStr">
        <is>
          <t>Année 2026 — reçu, dépenses et stock de fin de mois.</t>
        </is>
      </c>
    </row>
    <row r="17">
      <c r="A17" s="5" t="inlineStr"/>
      <c r="B17" s="4" t="inlineStr">
        <is>
          <t>Réceptions — le registre qui remplace le cahier.</t>
        </is>
      </c>
    </row>
    <row r="18">
      <c r="A18" s="5" t="inlineStr"/>
      <c r="B18" s="4" t="inlineStr"/>
    </row>
    <row r="19">
      <c r="A19" s="5" t="inlineStr">
        <is>
          <t>Couleurs</t>
        </is>
      </c>
      <c r="B19" s="4" t="inlineStr">
        <is>
          <t>Cases jaunes = à remplir. Cases blanches = calculées toutes seules, ne pas y toucher.</t>
        </is>
      </c>
    </row>
    <row r="20">
      <c r="A20" s="5" t="inlineStr"/>
      <c r="B20" s="4" t="inlineStr">
        <is>
          <t>Chiffres en bleu = exemple pour montrer le fonctionnement, à effacer.</t>
        </is>
      </c>
    </row>
    <row r="21">
      <c r="A21" s="5" t="inlineStr"/>
      <c r="B21" s="4" t="inlineStr">
        <is>
          <t>Rouge = il manque quelque chose (livraison incomplète, stock trop bas).</t>
        </is>
      </c>
    </row>
    <row r="22">
      <c r="A22" s="5" t="inlineStr"/>
      <c r="B22" s="4" t="inlineStr"/>
    </row>
    <row r="23">
      <c r="A23" s="5" t="inlineStr">
        <is>
          <t>Google Sheets</t>
        </is>
      </c>
      <c r="B23" s="4" t="inlineStr">
        <is>
          <t>Fichier &gt; Importer &gt; Importer ce fichier. Tout fonctionne pareil, y compris sur téléphone.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85"/>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9" customWidth="1" min="3" max="3"/>
    <col width="9" customWidth="1" min="4" max="4"/>
    <col width="9" customWidth="1" min="5" max="5"/>
    <col width="9" customWidth="1" min="6" max="6"/>
    <col width="7" customWidth="1" min="7" max="7"/>
    <col width="14" customWidth="1" min="8" max="8"/>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s>
  <sheetData>
    <row r="1" ht="26" customHeight="1">
      <c r="A1" s="1" t="inlineStr">
        <is>
          <t>Tableau de bord</t>
        </is>
      </c>
    </row>
    <row r="2">
      <c r="A2" s="2" t="inlineStr">
        <is>
          <t>Choisis le mois dans la case jaune — tout se recalcule. Rien d'autre à remplir ici.</t>
        </is>
      </c>
    </row>
    <row r="3">
      <c r="A3" s="6" t="inlineStr">
        <is>
          <t>Mois :</t>
        </is>
      </c>
      <c r="B3" s="7" t="inlineStr">
        <is>
          <t>Octobre</t>
        </is>
      </c>
      <c r="Z3">
        <f>MATCH($B$3,$Z$5:$Z$16,0)</f>
        <v/>
      </c>
    </row>
    <row r="4">
      <c r="AA4" s="8" t="inlineStr">
        <is>
          <t>Produit</t>
        </is>
      </c>
      <c r="AB4" s="8" t="inlineStr">
        <is>
          <t>S1</t>
        </is>
      </c>
      <c r="AC4" s="8" t="inlineStr">
        <is>
          <t>S2</t>
        </is>
      </c>
      <c r="AD4" s="8" t="inlineStr">
        <is>
          <t>S3</t>
        </is>
      </c>
      <c r="AE4" s="8" t="inlineStr">
        <is>
          <t>S4</t>
        </is>
      </c>
      <c r="AF4" s="8" t="inlineStr">
        <is>
          <t>Commandé</t>
        </is>
      </c>
      <c r="AG4" s="8" t="inlineStr">
        <is>
          <t>Reçu</t>
        </is>
      </c>
      <c r="AH4" s="8" t="inlineStr">
        <is>
          <t>Écart</t>
        </is>
      </c>
      <c r="AI4" s="8" t="inlineStr">
        <is>
          <t>Dernier</t>
        </is>
      </c>
      <c r="AJ4" s="8" t="inlineStr">
        <is>
          <t>Mini</t>
        </is>
      </c>
      <c r="AK4" s="8" t="inlineStr">
        <is>
          <t>Dépense</t>
        </is>
      </c>
      <c r="AL4" s="8" t="inlineStr">
        <is>
          <t>SousMini</t>
        </is>
      </c>
      <c r="AM4" s="8" t="inlineStr">
        <is>
          <t>Tri</t>
        </is>
      </c>
    </row>
    <row r="5">
      <c r="A5" s="9" t="inlineStr">
        <is>
          <t>Dépensé ce mois</t>
        </is>
      </c>
      <c r="B5" s="10" t="n"/>
      <c r="C5" s="9" t="inlineStr">
        <is>
          <t>Reçu incomplet</t>
        </is>
      </c>
      <c r="D5" s="10" t="n"/>
      <c r="E5" s="9" t="inlineStr">
        <is>
          <t>Sous le minimum</t>
        </is>
      </c>
      <c r="F5" s="10" t="n"/>
      <c r="G5" s="9" t="inlineStr">
        <is>
          <t>Produits suivis</t>
        </is>
      </c>
      <c r="H5" s="10" t="n"/>
      <c r="Z5" t="inlineStr">
        <is>
          <t>Janvier</t>
        </is>
      </c>
      <c r="AA5" s="11">
        <f>IF(Produits!$A$6="","",Produits!$A$6)</f>
        <v/>
      </c>
      <c r="AB5" s="11">
        <f>IF(ISNUMBER(CHOOSE($Z$3,'Janvier'!E7,'Février'!E7,'Mars'!E7,'Avril'!E7,'Mai'!E7,'Juin'!E7,'Juillet'!E7,'Août'!E7,'Septembre'!E7,'Octobre'!E7,'Novembre'!E7,'Décembre'!E7)),CHOOSE($Z$3,'Janvier'!E7,'Février'!E7,'Mars'!E7,'Avril'!E7,'Mai'!E7,'Juin'!E7,'Juillet'!E7,'Août'!E7,'Septembre'!E7,'Octobre'!E7,'Novembre'!E7,'Décembre'!E7),"")</f>
        <v/>
      </c>
      <c r="AC5" s="11">
        <f>IF(ISNUMBER(CHOOSE($Z$3,'Janvier'!I7,'Février'!I7,'Mars'!I7,'Avril'!I7,'Mai'!I7,'Juin'!I7,'Juillet'!I7,'Août'!I7,'Septembre'!I7,'Octobre'!I7,'Novembre'!I7,'Décembre'!I7)),CHOOSE($Z$3,'Janvier'!I7,'Février'!I7,'Mars'!I7,'Avril'!I7,'Mai'!I7,'Juin'!I7,'Juillet'!I7,'Août'!I7,'Septembre'!I7,'Octobre'!I7,'Novembre'!I7,'Décembre'!I7),"")</f>
        <v/>
      </c>
      <c r="AD5" s="11">
        <f>IF(ISNUMBER(CHOOSE($Z$3,'Janvier'!M7,'Février'!M7,'Mars'!M7,'Avril'!M7,'Mai'!M7,'Juin'!M7,'Juillet'!M7,'Août'!M7,'Septembre'!M7,'Octobre'!M7,'Novembre'!M7,'Décembre'!M7)),CHOOSE($Z$3,'Janvier'!M7,'Février'!M7,'Mars'!M7,'Avril'!M7,'Mai'!M7,'Juin'!M7,'Juillet'!M7,'Août'!M7,'Septembre'!M7,'Octobre'!M7,'Novembre'!M7,'Décembre'!M7),"")</f>
        <v/>
      </c>
      <c r="AE5" s="11">
        <f>IF(ISNUMBER(CHOOSE($Z$3,'Janvier'!Q7,'Février'!Q7,'Mars'!Q7,'Avril'!Q7,'Mai'!Q7,'Juin'!Q7,'Juillet'!Q7,'Août'!Q7,'Septembre'!Q7,'Octobre'!Q7,'Novembre'!Q7,'Décembre'!Q7)),CHOOSE($Z$3,'Janvier'!Q7,'Février'!Q7,'Mars'!Q7,'Avril'!Q7,'Mai'!Q7,'Juin'!Q7,'Juillet'!Q7,'Août'!Q7,'Septembre'!Q7,'Octobre'!Q7,'Novembre'!Q7,'Décembre'!Q7),"")</f>
        <v/>
      </c>
      <c r="AF5" s="11">
        <f>IF(ISNUMBER(CHOOSE($Z$3,'Janvier'!T7,'Février'!T7,'Mars'!T7,'Avril'!T7,'Mai'!T7,'Juin'!T7,'Juillet'!T7,'Août'!T7,'Septembre'!T7,'Octobre'!T7,'Novembre'!T7,'Décembre'!T7)),CHOOSE($Z$3,'Janvier'!T7,'Février'!T7,'Mars'!T7,'Avril'!T7,'Mai'!T7,'Juin'!T7,'Juillet'!T7,'Août'!T7,'Septembre'!T7,'Octobre'!T7,'Novembre'!T7,'Décembre'!T7),"")</f>
        <v/>
      </c>
      <c r="AG5" s="11">
        <f>IF(ISNUMBER(CHOOSE($Z$3,'Janvier'!U7,'Février'!U7,'Mars'!U7,'Avril'!U7,'Mai'!U7,'Juin'!U7,'Juillet'!U7,'Août'!U7,'Septembre'!U7,'Octobre'!U7,'Novembre'!U7,'Décembre'!U7)),CHOOSE($Z$3,'Janvier'!U7,'Février'!U7,'Mars'!U7,'Avril'!U7,'Mai'!U7,'Juin'!U7,'Juillet'!U7,'Août'!U7,'Septembre'!U7,'Octobre'!U7,'Novembre'!U7,'Décembre'!U7),"")</f>
        <v/>
      </c>
      <c r="AH5" s="11">
        <f>IF(ISNUMBER(CHOOSE($Z$3,'Janvier'!V7,'Février'!V7,'Mars'!V7,'Avril'!V7,'Mai'!V7,'Juin'!V7,'Juillet'!V7,'Août'!V7,'Septembre'!V7,'Octobre'!V7,'Novembre'!V7,'Décembre'!V7)),CHOOSE($Z$3,'Janvier'!V7,'Février'!V7,'Mars'!V7,'Avril'!V7,'Mai'!V7,'Juin'!V7,'Juillet'!V7,'Août'!V7,'Septembre'!V7,'Octobre'!V7,'Novembre'!V7,'Décembre'!V7),"")</f>
        <v/>
      </c>
      <c r="AI5" s="11">
        <f>IF(ISNUMBER(CHOOSE($Z$3,'Janvier'!W7,'Février'!W7,'Mars'!W7,'Avril'!W7,'Mai'!W7,'Juin'!W7,'Juillet'!W7,'Août'!W7,'Septembre'!W7,'Octobre'!W7,'Novembre'!W7,'Décembre'!W7)),CHOOSE($Z$3,'Janvier'!W7,'Février'!W7,'Mars'!W7,'Avril'!W7,'Mai'!W7,'Juin'!W7,'Juillet'!W7,'Août'!W7,'Septembre'!W7,'Octobre'!W7,'Novembre'!W7,'Décembre'!W7),"")</f>
        <v/>
      </c>
      <c r="AJ5" s="11">
        <f>IF(Produits!$A$6="","",Produits!$D$6)</f>
        <v/>
      </c>
      <c r="AK5" s="11">
        <f>IF(ISNUMBER(CHOOSE($Z$3,'Janvier'!X7,'Février'!X7,'Mars'!X7,'Avril'!X7,'Mai'!X7,'Juin'!X7,'Juillet'!X7,'Août'!X7,'Septembre'!X7,'Octobre'!X7,'Novembre'!X7,'Décembre'!X7)),CHOOSE($Z$3,'Janvier'!X7,'Février'!X7,'Mars'!X7,'Avril'!X7,'Mai'!X7,'Juin'!X7,'Juillet'!X7,'Août'!X7,'Septembre'!X7,'Octobre'!X7,'Novembre'!X7,'Décembre'!X7),"")</f>
        <v/>
      </c>
      <c r="AL5" s="11">
        <f>IF(AND(ISNUMBER(AI5),ISNUMBER(AJ5)),IF(AI5&lt;=AJ5,1,0),0)</f>
        <v/>
      </c>
      <c r="AM5" s="11">
        <f>IF(OR(AA5="",AK5=""),-1,AK5+ROW()/1000000)</f>
        <v/>
      </c>
    </row>
    <row r="6">
      <c r="A6" s="12">
        <f>SUM(AK5:AK64)</f>
        <v/>
      </c>
      <c r="C6" s="13">
        <f>COUNTIF(AH5:AH64,"&lt;0")</f>
        <v/>
      </c>
      <c r="E6" s="13">
        <f>SUM(AL5:AL64)</f>
        <v/>
      </c>
      <c r="G6" s="13">
        <f>COUNTA(Produits!A6:A20)+COUNTA(Produits!A22:A36)+COUNTA(Produits!A38:A52)+COUNTA(Produits!A54:A68)</f>
        <v/>
      </c>
      <c r="Z6" t="inlineStr">
        <is>
          <t>Février</t>
        </is>
      </c>
      <c r="AA6" s="11">
        <f>IF(Produits!$A$7="","",Produits!$A$7)</f>
        <v/>
      </c>
      <c r="AB6" s="11">
        <f>IF(ISNUMBER(CHOOSE($Z$3,'Janvier'!E8,'Février'!E8,'Mars'!E8,'Avril'!E8,'Mai'!E8,'Juin'!E8,'Juillet'!E8,'Août'!E8,'Septembre'!E8,'Octobre'!E8,'Novembre'!E8,'Décembre'!E8)),CHOOSE($Z$3,'Janvier'!E8,'Février'!E8,'Mars'!E8,'Avril'!E8,'Mai'!E8,'Juin'!E8,'Juillet'!E8,'Août'!E8,'Septembre'!E8,'Octobre'!E8,'Novembre'!E8,'Décembre'!E8),"")</f>
        <v/>
      </c>
      <c r="AC6" s="11">
        <f>IF(ISNUMBER(CHOOSE($Z$3,'Janvier'!I8,'Février'!I8,'Mars'!I8,'Avril'!I8,'Mai'!I8,'Juin'!I8,'Juillet'!I8,'Août'!I8,'Septembre'!I8,'Octobre'!I8,'Novembre'!I8,'Décembre'!I8)),CHOOSE($Z$3,'Janvier'!I8,'Février'!I8,'Mars'!I8,'Avril'!I8,'Mai'!I8,'Juin'!I8,'Juillet'!I8,'Août'!I8,'Septembre'!I8,'Octobre'!I8,'Novembre'!I8,'Décembre'!I8),"")</f>
        <v/>
      </c>
      <c r="AD6" s="11">
        <f>IF(ISNUMBER(CHOOSE($Z$3,'Janvier'!M8,'Février'!M8,'Mars'!M8,'Avril'!M8,'Mai'!M8,'Juin'!M8,'Juillet'!M8,'Août'!M8,'Septembre'!M8,'Octobre'!M8,'Novembre'!M8,'Décembre'!M8)),CHOOSE($Z$3,'Janvier'!M8,'Février'!M8,'Mars'!M8,'Avril'!M8,'Mai'!M8,'Juin'!M8,'Juillet'!M8,'Août'!M8,'Septembre'!M8,'Octobre'!M8,'Novembre'!M8,'Décembre'!M8),"")</f>
        <v/>
      </c>
      <c r="AE6" s="11">
        <f>IF(ISNUMBER(CHOOSE($Z$3,'Janvier'!Q8,'Février'!Q8,'Mars'!Q8,'Avril'!Q8,'Mai'!Q8,'Juin'!Q8,'Juillet'!Q8,'Août'!Q8,'Septembre'!Q8,'Octobre'!Q8,'Novembre'!Q8,'Décembre'!Q8)),CHOOSE($Z$3,'Janvier'!Q8,'Février'!Q8,'Mars'!Q8,'Avril'!Q8,'Mai'!Q8,'Juin'!Q8,'Juillet'!Q8,'Août'!Q8,'Septembre'!Q8,'Octobre'!Q8,'Novembre'!Q8,'Décembre'!Q8),"")</f>
        <v/>
      </c>
      <c r="AF6" s="11">
        <f>IF(ISNUMBER(CHOOSE($Z$3,'Janvier'!T8,'Février'!T8,'Mars'!T8,'Avril'!T8,'Mai'!T8,'Juin'!T8,'Juillet'!T8,'Août'!T8,'Septembre'!T8,'Octobre'!T8,'Novembre'!T8,'Décembre'!T8)),CHOOSE($Z$3,'Janvier'!T8,'Février'!T8,'Mars'!T8,'Avril'!T8,'Mai'!T8,'Juin'!T8,'Juillet'!T8,'Août'!T8,'Septembre'!T8,'Octobre'!T8,'Novembre'!T8,'Décembre'!T8),"")</f>
        <v/>
      </c>
      <c r="AG6" s="11">
        <f>IF(ISNUMBER(CHOOSE($Z$3,'Janvier'!U8,'Février'!U8,'Mars'!U8,'Avril'!U8,'Mai'!U8,'Juin'!U8,'Juillet'!U8,'Août'!U8,'Septembre'!U8,'Octobre'!U8,'Novembre'!U8,'Décembre'!U8)),CHOOSE($Z$3,'Janvier'!U8,'Février'!U8,'Mars'!U8,'Avril'!U8,'Mai'!U8,'Juin'!U8,'Juillet'!U8,'Août'!U8,'Septembre'!U8,'Octobre'!U8,'Novembre'!U8,'Décembre'!U8),"")</f>
        <v/>
      </c>
      <c r="AH6" s="11">
        <f>IF(ISNUMBER(CHOOSE($Z$3,'Janvier'!V8,'Février'!V8,'Mars'!V8,'Avril'!V8,'Mai'!V8,'Juin'!V8,'Juillet'!V8,'Août'!V8,'Septembre'!V8,'Octobre'!V8,'Novembre'!V8,'Décembre'!V8)),CHOOSE($Z$3,'Janvier'!V8,'Février'!V8,'Mars'!V8,'Avril'!V8,'Mai'!V8,'Juin'!V8,'Juillet'!V8,'Août'!V8,'Septembre'!V8,'Octobre'!V8,'Novembre'!V8,'Décembre'!V8),"")</f>
        <v/>
      </c>
      <c r="AI6" s="11">
        <f>IF(ISNUMBER(CHOOSE($Z$3,'Janvier'!W8,'Février'!W8,'Mars'!W8,'Avril'!W8,'Mai'!W8,'Juin'!W8,'Juillet'!W8,'Août'!W8,'Septembre'!W8,'Octobre'!W8,'Novembre'!W8,'Décembre'!W8)),CHOOSE($Z$3,'Janvier'!W8,'Février'!W8,'Mars'!W8,'Avril'!W8,'Mai'!W8,'Juin'!W8,'Juillet'!W8,'Août'!W8,'Septembre'!W8,'Octobre'!W8,'Novembre'!W8,'Décembre'!W8),"")</f>
        <v/>
      </c>
      <c r="AJ6" s="11">
        <f>IF(Produits!$A$7="","",Produits!$D$7)</f>
        <v/>
      </c>
      <c r="AK6" s="11">
        <f>IF(ISNUMBER(CHOOSE($Z$3,'Janvier'!X8,'Février'!X8,'Mars'!X8,'Avril'!X8,'Mai'!X8,'Juin'!X8,'Juillet'!X8,'Août'!X8,'Septembre'!X8,'Octobre'!X8,'Novembre'!X8,'Décembre'!X8)),CHOOSE($Z$3,'Janvier'!X8,'Février'!X8,'Mars'!X8,'Avril'!X8,'Mai'!X8,'Juin'!X8,'Juillet'!X8,'Août'!X8,'Septembre'!X8,'Octobre'!X8,'Novembre'!X8,'Décembre'!X8),"")</f>
        <v/>
      </c>
      <c r="AL6" s="11">
        <f>IF(AND(ISNUMBER(AI6),ISNUMBER(AJ6)),IF(AI6&lt;=AJ6,1,0),0)</f>
        <v/>
      </c>
      <c r="AM6" s="11">
        <f>IF(OR(AA6="",AK6=""),-1,AK6+ROW()/1000000)</f>
        <v/>
      </c>
    </row>
    <row r="7">
      <c r="Z7" t="inlineStr">
        <is>
          <t>Mars</t>
        </is>
      </c>
      <c r="AA7" s="11">
        <f>IF(Produits!$A$8="","",Produits!$A$8)</f>
        <v/>
      </c>
      <c r="AB7" s="11">
        <f>IF(ISNUMBER(CHOOSE($Z$3,'Janvier'!E9,'Février'!E9,'Mars'!E9,'Avril'!E9,'Mai'!E9,'Juin'!E9,'Juillet'!E9,'Août'!E9,'Septembre'!E9,'Octobre'!E9,'Novembre'!E9,'Décembre'!E9)),CHOOSE($Z$3,'Janvier'!E9,'Février'!E9,'Mars'!E9,'Avril'!E9,'Mai'!E9,'Juin'!E9,'Juillet'!E9,'Août'!E9,'Septembre'!E9,'Octobre'!E9,'Novembre'!E9,'Décembre'!E9),"")</f>
        <v/>
      </c>
      <c r="AC7" s="11">
        <f>IF(ISNUMBER(CHOOSE($Z$3,'Janvier'!I9,'Février'!I9,'Mars'!I9,'Avril'!I9,'Mai'!I9,'Juin'!I9,'Juillet'!I9,'Août'!I9,'Septembre'!I9,'Octobre'!I9,'Novembre'!I9,'Décembre'!I9)),CHOOSE($Z$3,'Janvier'!I9,'Février'!I9,'Mars'!I9,'Avril'!I9,'Mai'!I9,'Juin'!I9,'Juillet'!I9,'Août'!I9,'Septembre'!I9,'Octobre'!I9,'Novembre'!I9,'Décembre'!I9),"")</f>
        <v/>
      </c>
      <c r="AD7" s="11">
        <f>IF(ISNUMBER(CHOOSE($Z$3,'Janvier'!M9,'Février'!M9,'Mars'!M9,'Avril'!M9,'Mai'!M9,'Juin'!M9,'Juillet'!M9,'Août'!M9,'Septembre'!M9,'Octobre'!M9,'Novembre'!M9,'Décembre'!M9)),CHOOSE($Z$3,'Janvier'!M9,'Février'!M9,'Mars'!M9,'Avril'!M9,'Mai'!M9,'Juin'!M9,'Juillet'!M9,'Août'!M9,'Septembre'!M9,'Octobre'!M9,'Novembre'!M9,'Décembre'!M9),"")</f>
        <v/>
      </c>
      <c r="AE7" s="11">
        <f>IF(ISNUMBER(CHOOSE($Z$3,'Janvier'!Q9,'Février'!Q9,'Mars'!Q9,'Avril'!Q9,'Mai'!Q9,'Juin'!Q9,'Juillet'!Q9,'Août'!Q9,'Septembre'!Q9,'Octobre'!Q9,'Novembre'!Q9,'Décembre'!Q9)),CHOOSE($Z$3,'Janvier'!Q9,'Février'!Q9,'Mars'!Q9,'Avril'!Q9,'Mai'!Q9,'Juin'!Q9,'Juillet'!Q9,'Août'!Q9,'Septembre'!Q9,'Octobre'!Q9,'Novembre'!Q9,'Décembre'!Q9),"")</f>
        <v/>
      </c>
      <c r="AF7" s="11">
        <f>IF(ISNUMBER(CHOOSE($Z$3,'Janvier'!T9,'Février'!T9,'Mars'!T9,'Avril'!T9,'Mai'!T9,'Juin'!T9,'Juillet'!T9,'Août'!T9,'Septembre'!T9,'Octobre'!T9,'Novembre'!T9,'Décembre'!T9)),CHOOSE($Z$3,'Janvier'!T9,'Février'!T9,'Mars'!T9,'Avril'!T9,'Mai'!T9,'Juin'!T9,'Juillet'!T9,'Août'!T9,'Septembre'!T9,'Octobre'!T9,'Novembre'!T9,'Décembre'!T9),"")</f>
        <v/>
      </c>
      <c r="AG7" s="11">
        <f>IF(ISNUMBER(CHOOSE($Z$3,'Janvier'!U9,'Février'!U9,'Mars'!U9,'Avril'!U9,'Mai'!U9,'Juin'!U9,'Juillet'!U9,'Août'!U9,'Septembre'!U9,'Octobre'!U9,'Novembre'!U9,'Décembre'!U9)),CHOOSE($Z$3,'Janvier'!U9,'Février'!U9,'Mars'!U9,'Avril'!U9,'Mai'!U9,'Juin'!U9,'Juillet'!U9,'Août'!U9,'Septembre'!U9,'Octobre'!U9,'Novembre'!U9,'Décembre'!U9),"")</f>
        <v/>
      </c>
      <c r="AH7" s="11">
        <f>IF(ISNUMBER(CHOOSE($Z$3,'Janvier'!V9,'Février'!V9,'Mars'!V9,'Avril'!V9,'Mai'!V9,'Juin'!V9,'Juillet'!V9,'Août'!V9,'Septembre'!V9,'Octobre'!V9,'Novembre'!V9,'Décembre'!V9)),CHOOSE($Z$3,'Janvier'!V9,'Février'!V9,'Mars'!V9,'Avril'!V9,'Mai'!V9,'Juin'!V9,'Juillet'!V9,'Août'!V9,'Septembre'!V9,'Octobre'!V9,'Novembre'!V9,'Décembre'!V9),"")</f>
        <v/>
      </c>
      <c r="AI7" s="11">
        <f>IF(ISNUMBER(CHOOSE($Z$3,'Janvier'!W9,'Février'!W9,'Mars'!W9,'Avril'!W9,'Mai'!W9,'Juin'!W9,'Juillet'!W9,'Août'!W9,'Septembre'!W9,'Octobre'!W9,'Novembre'!W9,'Décembre'!W9)),CHOOSE($Z$3,'Janvier'!W9,'Février'!W9,'Mars'!W9,'Avril'!W9,'Mai'!W9,'Juin'!W9,'Juillet'!W9,'Août'!W9,'Septembre'!W9,'Octobre'!W9,'Novembre'!W9,'Décembre'!W9),"")</f>
        <v/>
      </c>
      <c r="AJ7" s="11">
        <f>IF(Produits!$A$8="","",Produits!$D$8)</f>
        <v/>
      </c>
      <c r="AK7" s="11">
        <f>IF(ISNUMBER(CHOOSE($Z$3,'Janvier'!X9,'Février'!X9,'Mars'!X9,'Avril'!X9,'Mai'!X9,'Juin'!X9,'Juillet'!X9,'Août'!X9,'Septembre'!X9,'Octobre'!X9,'Novembre'!X9,'Décembre'!X9)),CHOOSE($Z$3,'Janvier'!X9,'Février'!X9,'Mars'!X9,'Avril'!X9,'Mai'!X9,'Juin'!X9,'Juillet'!X9,'Août'!X9,'Septembre'!X9,'Octobre'!X9,'Novembre'!X9,'Décembre'!X9),"")</f>
        <v/>
      </c>
      <c r="AL7" s="11">
        <f>IF(AND(ISNUMBER(AI7),ISNUMBER(AJ7)),IF(AI7&lt;=AJ7,1,0),0)</f>
        <v/>
      </c>
      <c r="AM7" s="11">
        <f>IF(OR(AA7="",AK7=""),-1,AK7+ROW()/1000000)</f>
        <v/>
      </c>
    </row>
    <row r="8">
      <c r="Z8" t="inlineStr">
        <is>
          <t>Avril</t>
        </is>
      </c>
      <c r="AA8" s="11">
        <f>IF(Produits!$A$9="","",Produits!$A$9)</f>
        <v/>
      </c>
      <c r="AB8" s="11">
        <f>IF(ISNUMBER(CHOOSE($Z$3,'Janvier'!E10,'Février'!E10,'Mars'!E10,'Avril'!E10,'Mai'!E10,'Juin'!E10,'Juillet'!E10,'Août'!E10,'Septembre'!E10,'Octobre'!E10,'Novembre'!E10,'Décembre'!E10)),CHOOSE($Z$3,'Janvier'!E10,'Février'!E10,'Mars'!E10,'Avril'!E10,'Mai'!E10,'Juin'!E10,'Juillet'!E10,'Août'!E10,'Septembre'!E10,'Octobre'!E10,'Novembre'!E10,'Décembre'!E10),"")</f>
        <v/>
      </c>
      <c r="AC8" s="11">
        <f>IF(ISNUMBER(CHOOSE($Z$3,'Janvier'!I10,'Février'!I10,'Mars'!I10,'Avril'!I10,'Mai'!I10,'Juin'!I10,'Juillet'!I10,'Août'!I10,'Septembre'!I10,'Octobre'!I10,'Novembre'!I10,'Décembre'!I10)),CHOOSE($Z$3,'Janvier'!I10,'Février'!I10,'Mars'!I10,'Avril'!I10,'Mai'!I10,'Juin'!I10,'Juillet'!I10,'Août'!I10,'Septembre'!I10,'Octobre'!I10,'Novembre'!I10,'Décembre'!I10),"")</f>
        <v/>
      </c>
      <c r="AD8" s="11">
        <f>IF(ISNUMBER(CHOOSE($Z$3,'Janvier'!M10,'Février'!M10,'Mars'!M10,'Avril'!M10,'Mai'!M10,'Juin'!M10,'Juillet'!M10,'Août'!M10,'Septembre'!M10,'Octobre'!M10,'Novembre'!M10,'Décembre'!M10)),CHOOSE($Z$3,'Janvier'!M10,'Février'!M10,'Mars'!M10,'Avril'!M10,'Mai'!M10,'Juin'!M10,'Juillet'!M10,'Août'!M10,'Septembre'!M10,'Octobre'!M10,'Novembre'!M10,'Décembre'!M10),"")</f>
        <v/>
      </c>
      <c r="AE8" s="11">
        <f>IF(ISNUMBER(CHOOSE($Z$3,'Janvier'!Q10,'Février'!Q10,'Mars'!Q10,'Avril'!Q10,'Mai'!Q10,'Juin'!Q10,'Juillet'!Q10,'Août'!Q10,'Septembre'!Q10,'Octobre'!Q10,'Novembre'!Q10,'Décembre'!Q10)),CHOOSE($Z$3,'Janvier'!Q10,'Février'!Q10,'Mars'!Q10,'Avril'!Q10,'Mai'!Q10,'Juin'!Q10,'Juillet'!Q10,'Août'!Q10,'Septembre'!Q10,'Octobre'!Q10,'Novembre'!Q10,'Décembre'!Q10),"")</f>
        <v/>
      </c>
      <c r="AF8" s="11">
        <f>IF(ISNUMBER(CHOOSE($Z$3,'Janvier'!T10,'Février'!T10,'Mars'!T10,'Avril'!T10,'Mai'!T10,'Juin'!T10,'Juillet'!T10,'Août'!T10,'Septembre'!T10,'Octobre'!T10,'Novembre'!T10,'Décembre'!T10)),CHOOSE($Z$3,'Janvier'!T10,'Février'!T10,'Mars'!T10,'Avril'!T10,'Mai'!T10,'Juin'!T10,'Juillet'!T10,'Août'!T10,'Septembre'!T10,'Octobre'!T10,'Novembre'!T10,'Décembre'!T10),"")</f>
        <v/>
      </c>
      <c r="AG8" s="11">
        <f>IF(ISNUMBER(CHOOSE($Z$3,'Janvier'!U10,'Février'!U10,'Mars'!U10,'Avril'!U10,'Mai'!U10,'Juin'!U10,'Juillet'!U10,'Août'!U10,'Septembre'!U10,'Octobre'!U10,'Novembre'!U10,'Décembre'!U10)),CHOOSE($Z$3,'Janvier'!U10,'Février'!U10,'Mars'!U10,'Avril'!U10,'Mai'!U10,'Juin'!U10,'Juillet'!U10,'Août'!U10,'Septembre'!U10,'Octobre'!U10,'Novembre'!U10,'Décembre'!U10),"")</f>
        <v/>
      </c>
      <c r="AH8" s="11">
        <f>IF(ISNUMBER(CHOOSE($Z$3,'Janvier'!V10,'Février'!V10,'Mars'!V10,'Avril'!V10,'Mai'!V10,'Juin'!V10,'Juillet'!V10,'Août'!V10,'Septembre'!V10,'Octobre'!V10,'Novembre'!V10,'Décembre'!V10)),CHOOSE($Z$3,'Janvier'!V10,'Février'!V10,'Mars'!V10,'Avril'!V10,'Mai'!V10,'Juin'!V10,'Juillet'!V10,'Août'!V10,'Septembre'!V10,'Octobre'!V10,'Novembre'!V10,'Décembre'!V10),"")</f>
        <v/>
      </c>
      <c r="AI8" s="11">
        <f>IF(ISNUMBER(CHOOSE($Z$3,'Janvier'!W10,'Février'!W10,'Mars'!W10,'Avril'!W10,'Mai'!W10,'Juin'!W10,'Juillet'!W10,'Août'!W10,'Septembre'!W10,'Octobre'!W10,'Novembre'!W10,'Décembre'!W10)),CHOOSE($Z$3,'Janvier'!W10,'Février'!W10,'Mars'!W10,'Avril'!W10,'Mai'!W10,'Juin'!W10,'Juillet'!W10,'Août'!W10,'Septembre'!W10,'Octobre'!W10,'Novembre'!W10,'Décembre'!W10),"")</f>
        <v/>
      </c>
      <c r="AJ8" s="11">
        <f>IF(Produits!$A$9="","",Produits!$D$9)</f>
        <v/>
      </c>
      <c r="AK8" s="11">
        <f>IF(ISNUMBER(CHOOSE($Z$3,'Janvier'!X10,'Février'!X10,'Mars'!X10,'Avril'!X10,'Mai'!X10,'Juin'!X10,'Juillet'!X10,'Août'!X10,'Septembre'!X10,'Octobre'!X10,'Novembre'!X10,'Décembre'!X10)),CHOOSE($Z$3,'Janvier'!X10,'Février'!X10,'Mars'!X10,'Avril'!X10,'Mai'!X10,'Juin'!X10,'Juillet'!X10,'Août'!X10,'Septembre'!X10,'Octobre'!X10,'Novembre'!X10,'Décembre'!X10),"")</f>
        <v/>
      </c>
      <c r="AL8" s="11">
        <f>IF(AND(ISNUMBER(AI8),ISNUMBER(AJ8)),IF(AI8&lt;=AJ8,1,0),0)</f>
        <v/>
      </c>
      <c r="AM8" s="11">
        <f>IF(OR(AA8="",AK8=""),-1,AK8+ROW()/1000000)</f>
        <v/>
      </c>
    </row>
    <row r="9">
      <c r="Z9" t="inlineStr">
        <is>
          <t>Mai</t>
        </is>
      </c>
      <c r="AA9" s="11">
        <f>IF(Produits!$A$10="","",Produits!$A$10)</f>
        <v/>
      </c>
      <c r="AB9" s="11">
        <f>IF(ISNUMBER(CHOOSE($Z$3,'Janvier'!E11,'Février'!E11,'Mars'!E11,'Avril'!E11,'Mai'!E11,'Juin'!E11,'Juillet'!E11,'Août'!E11,'Septembre'!E11,'Octobre'!E11,'Novembre'!E11,'Décembre'!E11)),CHOOSE($Z$3,'Janvier'!E11,'Février'!E11,'Mars'!E11,'Avril'!E11,'Mai'!E11,'Juin'!E11,'Juillet'!E11,'Août'!E11,'Septembre'!E11,'Octobre'!E11,'Novembre'!E11,'Décembre'!E11),"")</f>
        <v/>
      </c>
      <c r="AC9" s="11">
        <f>IF(ISNUMBER(CHOOSE($Z$3,'Janvier'!I11,'Février'!I11,'Mars'!I11,'Avril'!I11,'Mai'!I11,'Juin'!I11,'Juillet'!I11,'Août'!I11,'Septembre'!I11,'Octobre'!I11,'Novembre'!I11,'Décembre'!I11)),CHOOSE($Z$3,'Janvier'!I11,'Février'!I11,'Mars'!I11,'Avril'!I11,'Mai'!I11,'Juin'!I11,'Juillet'!I11,'Août'!I11,'Septembre'!I11,'Octobre'!I11,'Novembre'!I11,'Décembre'!I11),"")</f>
        <v/>
      </c>
      <c r="AD9" s="11">
        <f>IF(ISNUMBER(CHOOSE($Z$3,'Janvier'!M11,'Février'!M11,'Mars'!M11,'Avril'!M11,'Mai'!M11,'Juin'!M11,'Juillet'!M11,'Août'!M11,'Septembre'!M11,'Octobre'!M11,'Novembre'!M11,'Décembre'!M11)),CHOOSE($Z$3,'Janvier'!M11,'Février'!M11,'Mars'!M11,'Avril'!M11,'Mai'!M11,'Juin'!M11,'Juillet'!M11,'Août'!M11,'Septembre'!M11,'Octobre'!M11,'Novembre'!M11,'Décembre'!M11),"")</f>
        <v/>
      </c>
      <c r="AE9" s="11">
        <f>IF(ISNUMBER(CHOOSE($Z$3,'Janvier'!Q11,'Février'!Q11,'Mars'!Q11,'Avril'!Q11,'Mai'!Q11,'Juin'!Q11,'Juillet'!Q11,'Août'!Q11,'Septembre'!Q11,'Octobre'!Q11,'Novembre'!Q11,'Décembre'!Q11)),CHOOSE($Z$3,'Janvier'!Q11,'Février'!Q11,'Mars'!Q11,'Avril'!Q11,'Mai'!Q11,'Juin'!Q11,'Juillet'!Q11,'Août'!Q11,'Septembre'!Q11,'Octobre'!Q11,'Novembre'!Q11,'Décembre'!Q11),"")</f>
        <v/>
      </c>
      <c r="AF9" s="11">
        <f>IF(ISNUMBER(CHOOSE($Z$3,'Janvier'!T11,'Février'!T11,'Mars'!T11,'Avril'!T11,'Mai'!T11,'Juin'!T11,'Juillet'!T11,'Août'!T11,'Septembre'!T11,'Octobre'!T11,'Novembre'!T11,'Décembre'!T11)),CHOOSE($Z$3,'Janvier'!T11,'Février'!T11,'Mars'!T11,'Avril'!T11,'Mai'!T11,'Juin'!T11,'Juillet'!T11,'Août'!T11,'Septembre'!T11,'Octobre'!T11,'Novembre'!T11,'Décembre'!T11),"")</f>
        <v/>
      </c>
      <c r="AG9" s="11">
        <f>IF(ISNUMBER(CHOOSE($Z$3,'Janvier'!U11,'Février'!U11,'Mars'!U11,'Avril'!U11,'Mai'!U11,'Juin'!U11,'Juillet'!U11,'Août'!U11,'Septembre'!U11,'Octobre'!U11,'Novembre'!U11,'Décembre'!U11)),CHOOSE($Z$3,'Janvier'!U11,'Février'!U11,'Mars'!U11,'Avril'!U11,'Mai'!U11,'Juin'!U11,'Juillet'!U11,'Août'!U11,'Septembre'!U11,'Octobre'!U11,'Novembre'!U11,'Décembre'!U11),"")</f>
        <v/>
      </c>
      <c r="AH9" s="11">
        <f>IF(ISNUMBER(CHOOSE($Z$3,'Janvier'!V11,'Février'!V11,'Mars'!V11,'Avril'!V11,'Mai'!V11,'Juin'!V11,'Juillet'!V11,'Août'!V11,'Septembre'!V11,'Octobre'!V11,'Novembre'!V11,'Décembre'!V11)),CHOOSE($Z$3,'Janvier'!V11,'Février'!V11,'Mars'!V11,'Avril'!V11,'Mai'!V11,'Juin'!V11,'Juillet'!V11,'Août'!V11,'Septembre'!V11,'Octobre'!V11,'Novembre'!V11,'Décembre'!V11),"")</f>
        <v/>
      </c>
      <c r="AI9" s="11">
        <f>IF(ISNUMBER(CHOOSE($Z$3,'Janvier'!W11,'Février'!W11,'Mars'!W11,'Avril'!W11,'Mai'!W11,'Juin'!W11,'Juillet'!W11,'Août'!W11,'Septembre'!W11,'Octobre'!W11,'Novembre'!W11,'Décembre'!W11)),CHOOSE($Z$3,'Janvier'!W11,'Février'!W11,'Mars'!W11,'Avril'!W11,'Mai'!W11,'Juin'!W11,'Juillet'!W11,'Août'!W11,'Septembre'!W11,'Octobre'!W11,'Novembre'!W11,'Décembre'!W11),"")</f>
        <v/>
      </c>
      <c r="AJ9" s="11">
        <f>IF(Produits!$A$10="","",Produits!$D$10)</f>
        <v/>
      </c>
      <c r="AK9" s="11">
        <f>IF(ISNUMBER(CHOOSE($Z$3,'Janvier'!X11,'Février'!X11,'Mars'!X11,'Avril'!X11,'Mai'!X11,'Juin'!X11,'Juillet'!X11,'Août'!X11,'Septembre'!X11,'Octobre'!X11,'Novembre'!X11,'Décembre'!X11)),CHOOSE($Z$3,'Janvier'!X11,'Février'!X11,'Mars'!X11,'Avril'!X11,'Mai'!X11,'Juin'!X11,'Juillet'!X11,'Août'!X11,'Septembre'!X11,'Octobre'!X11,'Novembre'!X11,'Décembre'!X11),"")</f>
        <v/>
      </c>
      <c r="AL9" s="11">
        <f>IF(AND(ISNUMBER(AI9),ISNUMBER(AJ9)),IF(AI9&lt;=AJ9,1,0),0)</f>
        <v/>
      </c>
      <c r="AM9" s="11">
        <f>IF(OR(AA9="",AK9=""),-1,AK9+ROW()/1000000)</f>
        <v/>
      </c>
    </row>
    <row r="10">
      <c r="A10" s="14" t="inlineStr">
        <is>
          <t>Top 10 des dépenses du mois</t>
        </is>
      </c>
      <c r="Z10" t="inlineStr">
        <is>
          <t>Juin</t>
        </is>
      </c>
      <c r="AA10" s="11">
        <f>IF(Produits!$A$11="","",Produits!$A$11)</f>
        <v/>
      </c>
      <c r="AB10" s="11">
        <f>IF(ISNUMBER(CHOOSE($Z$3,'Janvier'!E12,'Février'!E12,'Mars'!E12,'Avril'!E12,'Mai'!E12,'Juin'!E12,'Juillet'!E12,'Août'!E12,'Septembre'!E12,'Octobre'!E12,'Novembre'!E12,'Décembre'!E12)),CHOOSE($Z$3,'Janvier'!E12,'Février'!E12,'Mars'!E12,'Avril'!E12,'Mai'!E12,'Juin'!E12,'Juillet'!E12,'Août'!E12,'Septembre'!E12,'Octobre'!E12,'Novembre'!E12,'Décembre'!E12),"")</f>
        <v/>
      </c>
      <c r="AC10" s="11">
        <f>IF(ISNUMBER(CHOOSE($Z$3,'Janvier'!I12,'Février'!I12,'Mars'!I12,'Avril'!I12,'Mai'!I12,'Juin'!I12,'Juillet'!I12,'Août'!I12,'Septembre'!I12,'Octobre'!I12,'Novembre'!I12,'Décembre'!I12)),CHOOSE($Z$3,'Janvier'!I12,'Février'!I12,'Mars'!I12,'Avril'!I12,'Mai'!I12,'Juin'!I12,'Juillet'!I12,'Août'!I12,'Septembre'!I12,'Octobre'!I12,'Novembre'!I12,'Décembre'!I12),"")</f>
        <v/>
      </c>
      <c r="AD10" s="11">
        <f>IF(ISNUMBER(CHOOSE($Z$3,'Janvier'!M12,'Février'!M12,'Mars'!M12,'Avril'!M12,'Mai'!M12,'Juin'!M12,'Juillet'!M12,'Août'!M12,'Septembre'!M12,'Octobre'!M12,'Novembre'!M12,'Décembre'!M12)),CHOOSE($Z$3,'Janvier'!M12,'Février'!M12,'Mars'!M12,'Avril'!M12,'Mai'!M12,'Juin'!M12,'Juillet'!M12,'Août'!M12,'Septembre'!M12,'Octobre'!M12,'Novembre'!M12,'Décembre'!M12),"")</f>
        <v/>
      </c>
      <c r="AE10" s="11">
        <f>IF(ISNUMBER(CHOOSE($Z$3,'Janvier'!Q12,'Février'!Q12,'Mars'!Q12,'Avril'!Q12,'Mai'!Q12,'Juin'!Q12,'Juillet'!Q12,'Août'!Q12,'Septembre'!Q12,'Octobre'!Q12,'Novembre'!Q12,'Décembre'!Q12)),CHOOSE($Z$3,'Janvier'!Q12,'Février'!Q12,'Mars'!Q12,'Avril'!Q12,'Mai'!Q12,'Juin'!Q12,'Juillet'!Q12,'Août'!Q12,'Septembre'!Q12,'Octobre'!Q12,'Novembre'!Q12,'Décembre'!Q12),"")</f>
        <v/>
      </c>
      <c r="AF10" s="11">
        <f>IF(ISNUMBER(CHOOSE($Z$3,'Janvier'!T12,'Février'!T12,'Mars'!T12,'Avril'!T12,'Mai'!T12,'Juin'!T12,'Juillet'!T12,'Août'!T12,'Septembre'!T12,'Octobre'!T12,'Novembre'!T12,'Décembre'!T12)),CHOOSE($Z$3,'Janvier'!T12,'Février'!T12,'Mars'!T12,'Avril'!T12,'Mai'!T12,'Juin'!T12,'Juillet'!T12,'Août'!T12,'Septembre'!T12,'Octobre'!T12,'Novembre'!T12,'Décembre'!T12),"")</f>
        <v/>
      </c>
      <c r="AG10" s="11">
        <f>IF(ISNUMBER(CHOOSE($Z$3,'Janvier'!U12,'Février'!U12,'Mars'!U12,'Avril'!U12,'Mai'!U12,'Juin'!U12,'Juillet'!U12,'Août'!U12,'Septembre'!U12,'Octobre'!U12,'Novembre'!U12,'Décembre'!U12)),CHOOSE($Z$3,'Janvier'!U12,'Février'!U12,'Mars'!U12,'Avril'!U12,'Mai'!U12,'Juin'!U12,'Juillet'!U12,'Août'!U12,'Septembre'!U12,'Octobre'!U12,'Novembre'!U12,'Décembre'!U12),"")</f>
        <v/>
      </c>
      <c r="AH10" s="11">
        <f>IF(ISNUMBER(CHOOSE($Z$3,'Janvier'!V12,'Février'!V12,'Mars'!V12,'Avril'!V12,'Mai'!V12,'Juin'!V12,'Juillet'!V12,'Août'!V12,'Septembre'!V12,'Octobre'!V12,'Novembre'!V12,'Décembre'!V12)),CHOOSE($Z$3,'Janvier'!V12,'Février'!V12,'Mars'!V12,'Avril'!V12,'Mai'!V12,'Juin'!V12,'Juillet'!V12,'Août'!V12,'Septembre'!V12,'Octobre'!V12,'Novembre'!V12,'Décembre'!V12),"")</f>
        <v/>
      </c>
      <c r="AI10" s="11">
        <f>IF(ISNUMBER(CHOOSE($Z$3,'Janvier'!W12,'Février'!W12,'Mars'!W12,'Avril'!W12,'Mai'!W12,'Juin'!W12,'Juillet'!W12,'Août'!W12,'Septembre'!W12,'Octobre'!W12,'Novembre'!W12,'Décembre'!W12)),CHOOSE($Z$3,'Janvier'!W12,'Février'!W12,'Mars'!W12,'Avril'!W12,'Mai'!W12,'Juin'!W12,'Juillet'!W12,'Août'!W12,'Septembre'!W12,'Octobre'!W12,'Novembre'!W12,'Décembre'!W12),"")</f>
        <v/>
      </c>
      <c r="AJ10" s="11">
        <f>IF(Produits!$A$11="","",Produits!$D$11)</f>
        <v/>
      </c>
      <c r="AK10" s="11">
        <f>IF(ISNUMBER(CHOOSE($Z$3,'Janvier'!X12,'Février'!X12,'Mars'!X12,'Avril'!X12,'Mai'!X12,'Juin'!X12,'Juillet'!X12,'Août'!X12,'Septembre'!X12,'Octobre'!X12,'Novembre'!X12,'Décembre'!X12)),CHOOSE($Z$3,'Janvier'!X12,'Février'!X12,'Mars'!X12,'Avril'!X12,'Mai'!X12,'Juin'!X12,'Juillet'!X12,'Août'!X12,'Septembre'!X12,'Octobre'!X12,'Novembre'!X12,'Décembre'!X12),"")</f>
        <v/>
      </c>
      <c r="AL10" s="11">
        <f>IF(AND(ISNUMBER(AI10),ISNUMBER(AJ10)),IF(AI10&lt;=AJ10,1,0),0)</f>
        <v/>
      </c>
      <c r="AM10" s="11">
        <f>IF(OR(AA10="",AK10=""),-1,AK10+ROW()/1000000)</f>
        <v/>
      </c>
    </row>
    <row r="11">
      <c r="A11" s="15" t="inlineStr">
        <is>
          <t>Rang</t>
        </is>
      </c>
      <c r="B11" s="15" t="inlineStr">
        <is>
          <t>Produit</t>
        </is>
      </c>
      <c r="C11" s="16" t="n"/>
      <c r="D11" s="15" t="inlineStr">
        <is>
          <t>Reçu</t>
        </is>
      </c>
      <c r="E11" s="15" t="inlineStr">
        <is>
          <t>Dépense (€)</t>
        </is>
      </c>
      <c r="Z11" t="inlineStr">
        <is>
          <t>Juillet</t>
        </is>
      </c>
      <c r="AA11" s="11">
        <f>IF(Produits!$A$12="","",Produits!$A$12)</f>
        <v/>
      </c>
      <c r="AB11" s="11">
        <f>IF(ISNUMBER(CHOOSE($Z$3,'Janvier'!E13,'Février'!E13,'Mars'!E13,'Avril'!E13,'Mai'!E13,'Juin'!E13,'Juillet'!E13,'Août'!E13,'Septembre'!E13,'Octobre'!E13,'Novembre'!E13,'Décembre'!E13)),CHOOSE($Z$3,'Janvier'!E13,'Février'!E13,'Mars'!E13,'Avril'!E13,'Mai'!E13,'Juin'!E13,'Juillet'!E13,'Août'!E13,'Septembre'!E13,'Octobre'!E13,'Novembre'!E13,'Décembre'!E13),"")</f>
        <v/>
      </c>
      <c r="AC11" s="11">
        <f>IF(ISNUMBER(CHOOSE($Z$3,'Janvier'!I13,'Février'!I13,'Mars'!I13,'Avril'!I13,'Mai'!I13,'Juin'!I13,'Juillet'!I13,'Août'!I13,'Septembre'!I13,'Octobre'!I13,'Novembre'!I13,'Décembre'!I13)),CHOOSE($Z$3,'Janvier'!I13,'Février'!I13,'Mars'!I13,'Avril'!I13,'Mai'!I13,'Juin'!I13,'Juillet'!I13,'Août'!I13,'Septembre'!I13,'Octobre'!I13,'Novembre'!I13,'Décembre'!I13),"")</f>
        <v/>
      </c>
      <c r="AD11" s="11">
        <f>IF(ISNUMBER(CHOOSE($Z$3,'Janvier'!M13,'Février'!M13,'Mars'!M13,'Avril'!M13,'Mai'!M13,'Juin'!M13,'Juillet'!M13,'Août'!M13,'Septembre'!M13,'Octobre'!M13,'Novembre'!M13,'Décembre'!M13)),CHOOSE($Z$3,'Janvier'!M13,'Février'!M13,'Mars'!M13,'Avril'!M13,'Mai'!M13,'Juin'!M13,'Juillet'!M13,'Août'!M13,'Septembre'!M13,'Octobre'!M13,'Novembre'!M13,'Décembre'!M13),"")</f>
        <v/>
      </c>
      <c r="AE11" s="11">
        <f>IF(ISNUMBER(CHOOSE($Z$3,'Janvier'!Q13,'Février'!Q13,'Mars'!Q13,'Avril'!Q13,'Mai'!Q13,'Juin'!Q13,'Juillet'!Q13,'Août'!Q13,'Septembre'!Q13,'Octobre'!Q13,'Novembre'!Q13,'Décembre'!Q13)),CHOOSE($Z$3,'Janvier'!Q13,'Février'!Q13,'Mars'!Q13,'Avril'!Q13,'Mai'!Q13,'Juin'!Q13,'Juillet'!Q13,'Août'!Q13,'Septembre'!Q13,'Octobre'!Q13,'Novembre'!Q13,'Décembre'!Q13),"")</f>
        <v/>
      </c>
      <c r="AF11" s="11">
        <f>IF(ISNUMBER(CHOOSE($Z$3,'Janvier'!T13,'Février'!T13,'Mars'!T13,'Avril'!T13,'Mai'!T13,'Juin'!T13,'Juillet'!T13,'Août'!T13,'Septembre'!T13,'Octobre'!T13,'Novembre'!T13,'Décembre'!T13)),CHOOSE($Z$3,'Janvier'!T13,'Février'!T13,'Mars'!T13,'Avril'!T13,'Mai'!T13,'Juin'!T13,'Juillet'!T13,'Août'!T13,'Septembre'!T13,'Octobre'!T13,'Novembre'!T13,'Décembre'!T13),"")</f>
        <v/>
      </c>
      <c r="AG11" s="11">
        <f>IF(ISNUMBER(CHOOSE($Z$3,'Janvier'!U13,'Février'!U13,'Mars'!U13,'Avril'!U13,'Mai'!U13,'Juin'!U13,'Juillet'!U13,'Août'!U13,'Septembre'!U13,'Octobre'!U13,'Novembre'!U13,'Décembre'!U13)),CHOOSE($Z$3,'Janvier'!U13,'Février'!U13,'Mars'!U13,'Avril'!U13,'Mai'!U13,'Juin'!U13,'Juillet'!U13,'Août'!U13,'Septembre'!U13,'Octobre'!U13,'Novembre'!U13,'Décembre'!U13),"")</f>
        <v/>
      </c>
      <c r="AH11" s="11">
        <f>IF(ISNUMBER(CHOOSE($Z$3,'Janvier'!V13,'Février'!V13,'Mars'!V13,'Avril'!V13,'Mai'!V13,'Juin'!V13,'Juillet'!V13,'Août'!V13,'Septembre'!V13,'Octobre'!V13,'Novembre'!V13,'Décembre'!V13)),CHOOSE($Z$3,'Janvier'!V13,'Février'!V13,'Mars'!V13,'Avril'!V13,'Mai'!V13,'Juin'!V13,'Juillet'!V13,'Août'!V13,'Septembre'!V13,'Octobre'!V13,'Novembre'!V13,'Décembre'!V13),"")</f>
        <v/>
      </c>
      <c r="AI11" s="11">
        <f>IF(ISNUMBER(CHOOSE($Z$3,'Janvier'!W13,'Février'!W13,'Mars'!W13,'Avril'!W13,'Mai'!W13,'Juin'!W13,'Juillet'!W13,'Août'!W13,'Septembre'!W13,'Octobre'!W13,'Novembre'!W13,'Décembre'!W13)),CHOOSE($Z$3,'Janvier'!W13,'Février'!W13,'Mars'!W13,'Avril'!W13,'Mai'!W13,'Juin'!W13,'Juillet'!W13,'Août'!W13,'Septembre'!W13,'Octobre'!W13,'Novembre'!W13,'Décembre'!W13),"")</f>
        <v/>
      </c>
      <c r="AJ11" s="11">
        <f>IF(Produits!$A$12="","",Produits!$D$12)</f>
        <v/>
      </c>
      <c r="AK11" s="11">
        <f>IF(ISNUMBER(CHOOSE($Z$3,'Janvier'!X13,'Février'!X13,'Mars'!X13,'Avril'!X13,'Mai'!X13,'Juin'!X13,'Juillet'!X13,'Août'!X13,'Septembre'!X13,'Octobre'!X13,'Novembre'!X13,'Décembre'!X13)),CHOOSE($Z$3,'Janvier'!X13,'Février'!X13,'Mars'!X13,'Avril'!X13,'Mai'!X13,'Juin'!X13,'Juillet'!X13,'Août'!X13,'Septembre'!X13,'Octobre'!X13,'Novembre'!X13,'Décembre'!X13),"")</f>
        <v/>
      </c>
      <c r="AL11" s="11">
        <f>IF(AND(ISNUMBER(AI11),ISNUMBER(AJ11)),IF(AI11&lt;=AJ11,1,0),0)</f>
        <v/>
      </c>
      <c r="AM11" s="11">
        <f>IF(OR(AA11="",AK11=""),-1,AK11+ROW()/1000000)</f>
        <v/>
      </c>
    </row>
    <row r="12">
      <c r="A12" s="11" t="n">
        <v>1</v>
      </c>
      <c r="B12" s="17">
        <f>IF(LARGE($AM$5:$AM$64,1)&lt;=0,"",INDEX($AA$5:$AA$64,MATCH(LARGE($AM$5:$AM$64,1),$AM$5:$AM$64,0)))</f>
        <v/>
      </c>
      <c r="D12" s="11">
        <f>IF(B12="","",INDEX($AG$5:$AG$64,MATCH(LARGE($AM$5:$AM$64,1),$AM$5:$AM$64,0)))</f>
        <v/>
      </c>
      <c r="E12" s="18">
        <f>IF(B12="","",INDEX($AK$5:$AK$64,MATCH(LARGE($AM$5:$AM$64,1),$AM$5:$AM$64,0)))</f>
        <v/>
      </c>
      <c r="Z12" t="inlineStr">
        <is>
          <t>Août</t>
        </is>
      </c>
      <c r="AA12" s="11">
        <f>IF(Produits!$A$13="","",Produits!$A$13)</f>
        <v/>
      </c>
      <c r="AB12" s="11">
        <f>IF(ISNUMBER(CHOOSE($Z$3,'Janvier'!E14,'Février'!E14,'Mars'!E14,'Avril'!E14,'Mai'!E14,'Juin'!E14,'Juillet'!E14,'Août'!E14,'Septembre'!E14,'Octobre'!E14,'Novembre'!E14,'Décembre'!E14)),CHOOSE($Z$3,'Janvier'!E14,'Février'!E14,'Mars'!E14,'Avril'!E14,'Mai'!E14,'Juin'!E14,'Juillet'!E14,'Août'!E14,'Septembre'!E14,'Octobre'!E14,'Novembre'!E14,'Décembre'!E14),"")</f>
        <v/>
      </c>
      <c r="AC12" s="11">
        <f>IF(ISNUMBER(CHOOSE($Z$3,'Janvier'!I14,'Février'!I14,'Mars'!I14,'Avril'!I14,'Mai'!I14,'Juin'!I14,'Juillet'!I14,'Août'!I14,'Septembre'!I14,'Octobre'!I14,'Novembre'!I14,'Décembre'!I14)),CHOOSE($Z$3,'Janvier'!I14,'Février'!I14,'Mars'!I14,'Avril'!I14,'Mai'!I14,'Juin'!I14,'Juillet'!I14,'Août'!I14,'Septembre'!I14,'Octobre'!I14,'Novembre'!I14,'Décembre'!I14),"")</f>
        <v/>
      </c>
      <c r="AD12" s="11">
        <f>IF(ISNUMBER(CHOOSE($Z$3,'Janvier'!M14,'Février'!M14,'Mars'!M14,'Avril'!M14,'Mai'!M14,'Juin'!M14,'Juillet'!M14,'Août'!M14,'Septembre'!M14,'Octobre'!M14,'Novembre'!M14,'Décembre'!M14)),CHOOSE($Z$3,'Janvier'!M14,'Février'!M14,'Mars'!M14,'Avril'!M14,'Mai'!M14,'Juin'!M14,'Juillet'!M14,'Août'!M14,'Septembre'!M14,'Octobre'!M14,'Novembre'!M14,'Décembre'!M14),"")</f>
        <v/>
      </c>
      <c r="AE12" s="11">
        <f>IF(ISNUMBER(CHOOSE($Z$3,'Janvier'!Q14,'Février'!Q14,'Mars'!Q14,'Avril'!Q14,'Mai'!Q14,'Juin'!Q14,'Juillet'!Q14,'Août'!Q14,'Septembre'!Q14,'Octobre'!Q14,'Novembre'!Q14,'Décembre'!Q14)),CHOOSE($Z$3,'Janvier'!Q14,'Février'!Q14,'Mars'!Q14,'Avril'!Q14,'Mai'!Q14,'Juin'!Q14,'Juillet'!Q14,'Août'!Q14,'Septembre'!Q14,'Octobre'!Q14,'Novembre'!Q14,'Décembre'!Q14),"")</f>
        <v/>
      </c>
      <c r="AF12" s="11">
        <f>IF(ISNUMBER(CHOOSE($Z$3,'Janvier'!T14,'Février'!T14,'Mars'!T14,'Avril'!T14,'Mai'!T14,'Juin'!T14,'Juillet'!T14,'Août'!T14,'Septembre'!T14,'Octobre'!T14,'Novembre'!T14,'Décembre'!T14)),CHOOSE($Z$3,'Janvier'!T14,'Février'!T14,'Mars'!T14,'Avril'!T14,'Mai'!T14,'Juin'!T14,'Juillet'!T14,'Août'!T14,'Septembre'!T14,'Octobre'!T14,'Novembre'!T14,'Décembre'!T14),"")</f>
        <v/>
      </c>
      <c r="AG12" s="11">
        <f>IF(ISNUMBER(CHOOSE($Z$3,'Janvier'!U14,'Février'!U14,'Mars'!U14,'Avril'!U14,'Mai'!U14,'Juin'!U14,'Juillet'!U14,'Août'!U14,'Septembre'!U14,'Octobre'!U14,'Novembre'!U14,'Décembre'!U14)),CHOOSE($Z$3,'Janvier'!U14,'Février'!U14,'Mars'!U14,'Avril'!U14,'Mai'!U14,'Juin'!U14,'Juillet'!U14,'Août'!U14,'Septembre'!U14,'Octobre'!U14,'Novembre'!U14,'Décembre'!U14),"")</f>
        <v/>
      </c>
      <c r="AH12" s="11">
        <f>IF(ISNUMBER(CHOOSE($Z$3,'Janvier'!V14,'Février'!V14,'Mars'!V14,'Avril'!V14,'Mai'!V14,'Juin'!V14,'Juillet'!V14,'Août'!V14,'Septembre'!V14,'Octobre'!V14,'Novembre'!V14,'Décembre'!V14)),CHOOSE($Z$3,'Janvier'!V14,'Février'!V14,'Mars'!V14,'Avril'!V14,'Mai'!V14,'Juin'!V14,'Juillet'!V14,'Août'!V14,'Septembre'!V14,'Octobre'!V14,'Novembre'!V14,'Décembre'!V14),"")</f>
        <v/>
      </c>
      <c r="AI12" s="11">
        <f>IF(ISNUMBER(CHOOSE($Z$3,'Janvier'!W14,'Février'!W14,'Mars'!W14,'Avril'!W14,'Mai'!W14,'Juin'!W14,'Juillet'!W14,'Août'!W14,'Septembre'!W14,'Octobre'!W14,'Novembre'!W14,'Décembre'!W14)),CHOOSE($Z$3,'Janvier'!W14,'Février'!W14,'Mars'!W14,'Avril'!W14,'Mai'!W14,'Juin'!W14,'Juillet'!W14,'Août'!W14,'Septembre'!W14,'Octobre'!W14,'Novembre'!W14,'Décembre'!W14),"")</f>
        <v/>
      </c>
      <c r="AJ12" s="11">
        <f>IF(Produits!$A$13="","",Produits!$D$13)</f>
        <v/>
      </c>
      <c r="AK12" s="11">
        <f>IF(ISNUMBER(CHOOSE($Z$3,'Janvier'!X14,'Février'!X14,'Mars'!X14,'Avril'!X14,'Mai'!X14,'Juin'!X14,'Juillet'!X14,'Août'!X14,'Septembre'!X14,'Octobre'!X14,'Novembre'!X14,'Décembre'!X14)),CHOOSE($Z$3,'Janvier'!X14,'Février'!X14,'Mars'!X14,'Avril'!X14,'Mai'!X14,'Juin'!X14,'Juillet'!X14,'Août'!X14,'Septembre'!X14,'Octobre'!X14,'Novembre'!X14,'Décembre'!X14),"")</f>
        <v/>
      </c>
      <c r="AL12" s="11">
        <f>IF(AND(ISNUMBER(AI12),ISNUMBER(AJ12)),IF(AI12&lt;=AJ12,1,0),0)</f>
        <v/>
      </c>
      <c r="AM12" s="11">
        <f>IF(OR(AA12="",AK12=""),-1,AK12+ROW()/1000000)</f>
        <v/>
      </c>
    </row>
    <row r="13">
      <c r="A13" s="11" t="n">
        <v>2</v>
      </c>
      <c r="B13" s="17">
        <f>IF(LARGE($AM$5:$AM$64,2)&lt;=0,"",INDEX($AA$5:$AA$64,MATCH(LARGE($AM$5:$AM$64,2),$AM$5:$AM$64,0)))</f>
        <v/>
      </c>
      <c r="D13" s="11">
        <f>IF(B13="","",INDEX($AG$5:$AG$64,MATCH(LARGE($AM$5:$AM$64,2),$AM$5:$AM$64,0)))</f>
        <v/>
      </c>
      <c r="E13" s="18">
        <f>IF(B13="","",INDEX($AK$5:$AK$64,MATCH(LARGE($AM$5:$AM$64,2),$AM$5:$AM$64,0)))</f>
        <v/>
      </c>
      <c r="Z13" t="inlineStr">
        <is>
          <t>Septembre</t>
        </is>
      </c>
      <c r="AA13" s="11">
        <f>IF(Produits!$A$14="","",Produits!$A$14)</f>
        <v/>
      </c>
      <c r="AB13" s="11">
        <f>IF(ISNUMBER(CHOOSE($Z$3,'Janvier'!E15,'Février'!E15,'Mars'!E15,'Avril'!E15,'Mai'!E15,'Juin'!E15,'Juillet'!E15,'Août'!E15,'Septembre'!E15,'Octobre'!E15,'Novembre'!E15,'Décembre'!E15)),CHOOSE($Z$3,'Janvier'!E15,'Février'!E15,'Mars'!E15,'Avril'!E15,'Mai'!E15,'Juin'!E15,'Juillet'!E15,'Août'!E15,'Septembre'!E15,'Octobre'!E15,'Novembre'!E15,'Décembre'!E15),"")</f>
        <v/>
      </c>
      <c r="AC13" s="11">
        <f>IF(ISNUMBER(CHOOSE($Z$3,'Janvier'!I15,'Février'!I15,'Mars'!I15,'Avril'!I15,'Mai'!I15,'Juin'!I15,'Juillet'!I15,'Août'!I15,'Septembre'!I15,'Octobre'!I15,'Novembre'!I15,'Décembre'!I15)),CHOOSE($Z$3,'Janvier'!I15,'Février'!I15,'Mars'!I15,'Avril'!I15,'Mai'!I15,'Juin'!I15,'Juillet'!I15,'Août'!I15,'Septembre'!I15,'Octobre'!I15,'Novembre'!I15,'Décembre'!I15),"")</f>
        <v/>
      </c>
      <c r="AD13" s="11">
        <f>IF(ISNUMBER(CHOOSE($Z$3,'Janvier'!M15,'Février'!M15,'Mars'!M15,'Avril'!M15,'Mai'!M15,'Juin'!M15,'Juillet'!M15,'Août'!M15,'Septembre'!M15,'Octobre'!M15,'Novembre'!M15,'Décembre'!M15)),CHOOSE($Z$3,'Janvier'!M15,'Février'!M15,'Mars'!M15,'Avril'!M15,'Mai'!M15,'Juin'!M15,'Juillet'!M15,'Août'!M15,'Septembre'!M15,'Octobre'!M15,'Novembre'!M15,'Décembre'!M15),"")</f>
        <v/>
      </c>
      <c r="AE13" s="11">
        <f>IF(ISNUMBER(CHOOSE($Z$3,'Janvier'!Q15,'Février'!Q15,'Mars'!Q15,'Avril'!Q15,'Mai'!Q15,'Juin'!Q15,'Juillet'!Q15,'Août'!Q15,'Septembre'!Q15,'Octobre'!Q15,'Novembre'!Q15,'Décembre'!Q15)),CHOOSE($Z$3,'Janvier'!Q15,'Février'!Q15,'Mars'!Q15,'Avril'!Q15,'Mai'!Q15,'Juin'!Q15,'Juillet'!Q15,'Août'!Q15,'Septembre'!Q15,'Octobre'!Q15,'Novembre'!Q15,'Décembre'!Q15),"")</f>
        <v/>
      </c>
      <c r="AF13" s="11">
        <f>IF(ISNUMBER(CHOOSE($Z$3,'Janvier'!T15,'Février'!T15,'Mars'!T15,'Avril'!T15,'Mai'!T15,'Juin'!T15,'Juillet'!T15,'Août'!T15,'Septembre'!T15,'Octobre'!T15,'Novembre'!T15,'Décembre'!T15)),CHOOSE($Z$3,'Janvier'!T15,'Février'!T15,'Mars'!T15,'Avril'!T15,'Mai'!T15,'Juin'!T15,'Juillet'!T15,'Août'!T15,'Septembre'!T15,'Octobre'!T15,'Novembre'!T15,'Décembre'!T15),"")</f>
        <v/>
      </c>
      <c r="AG13" s="11">
        <f>IF(ISNUMBER(CHOOSE($Z$3,'Janvier'!U15,'Février'!U15,'Mars'!U15,'Avril'!U15,'Mai'!U15,'Juin'!U15,'Juillet'!U15,'Août'!U15,'Septembre'!U15,'Octobre'!U15,'Novembre'!U15,'Décembre'!U15)),CHOOSE($Z$3,'Janvier'!U15,'Février'!U15,'Mars'!U15,'Avril'!U15,'Mai'!U15,'Juin'!U15,'Juillet'!U15,'Août'!U15,'Septembre'!U15,'Octobre'!U15,'Novembre'!U15,'Décembre'!U15),"")</f>
        <v/>
      </c>
      <c r="AH13" s="11">
        <f>IF(ISNUMBER(CHOOSE($Z$3,'Janvier'!V15,'Février'!V15,'Mars'!V15,'Avril'!V15,'Mai'!V15,'Juin'!V15,'Juillet'!V15,'Août'!V15,'Septembre'!V15,'Octobre'!V15,'Novembre'!V15,'Décembre'!V15)),CHOOSE($Z$3,'Janvier'!V15,'Février'!V15,'Mars'!V15,'Avril'!V15,'Mai'!V15,'Juin'!V15,'Juillet'!V15,'Août'!V15,'Septembre'!V15,'Octobre'!V15,'Novembre'!V15,'Décembre'!V15),"")</f>
        <v/>
      </c>
      <c r="AI13" s="11">
        <f>IF(ISNUMBER(CHOOSE($Z$3,'Janvier'!W15,'Février'!W15,'Mars'!W15,'Avril'!W15,'Mai'!W15,'Juin'!W15,'Juillet'!W15,'Août'!W15,'Septembre'!W15,'Octobre'!W15,'Novembre'!W15,'Décembre'!W15)),CHOOSE($Z$3,'Janvier'!W15,'Février'!W15,'Mars'!W15,'Avril'!W15,'Mai'!W15,'Juin'!W15,'Juillet'!W15,'Août'!W15,'Septembre'!W15,'Octobre'!W15,'Novembre'!W15,'Décembre'!W15),"")</f>
        <v/>
      </c>
      <c r="AJ13" s="11">
        <f>IF(Produits!$A$14="","",Produits!$D$14)</f>
        <v/>
      </c>
      <c r="AK13" s="11">
        <f>IF(ISNUMBER(CHOOSE($Z$3,'Janvier'!X15,'Février'!X15,'Mars'!X15,'Avril'!X15,'Mai'!X15,'Juin'!X15,'Juillet'!X15,'Août'!X15,'Septembre'!X15,'Octobre'!X15,'Novembre'!X15,'Décembre'!X15)),CHOOSE($Z$3,'Janvier'!X15,'Février'!X15,'Mars'!X15,'Avril'!X15,'Mai'!X15,'Juin'!X15,'Juillet'!X15,'Août'!X15,'Septembre'!X15,'Octobre'!X15,'Novembre'!X15,'Décembre'!X15),"")</f>
        <v/>
      </c>
      <c r="AL13" s="11">
        <f>IF(AND(ISNUMBER(AI13),ISNUMBER(AJ13)),IF(AI13&lt;=AJ13,1,0),0)</f>
        <v/>
      </c>
      <c r="AM13" s="11">
        <f>IF(OR(AA13="",AK13=""),-1,AK13+ROW()/1000000)</f>
        <v/>
      </c>
    </row>
    <row r="14">
      <c r="A14" s="11" t="n">
        <v>3</v>
      </c>
      <c r="B14" s="17">
        <f>IF(LARGE($AM$5:$AM$64,3)&lt;=0,"",INDEX($AA$5:$AA$64,MATCH(LARGE($AM$5:$AM$64,3),$AM$5:$AM$64,0)))</f>
        <v/>
      </c>
      <c r="D14" s="11">
        <f>IF(B14="","",INDEX($AG$5:$AG$64,MATCH(LARGE($AM$5:$AM$64,3),$AM$5:$AM$64,0)))</f>
        <v/>
      </c>
      <c r="E14" s="18">
        <f>IF(B14="","",INDEX($AK$5:$AK$64,MATCH(LARGE($AM$5:$AM$64,3),$AM$5:$AM$64,0)))</f>
        <v/>
      </c>
      <c r="Z14" t="inlineStr">
        <is>
          <t>Octobre</t>
        </is>
      </c>
      <c r="AA14" s="11">
        <f>IF(Produits!$A$15="","",Produits!$A$15)</f>
        <v/>
      </c>
      <c r="AB14" s="11">
        <f>IF(ISNUMBER(CHOOSE($Z$3,'Janvier'!E16,'Février'!E16,'Mars'!E16,'Avril'!E16,'Mai'!E16,'Juin'!E16,'Juillet'!E16,'Août'!E16,'Septembre'!E16,'Octobre'!E16,'Novembre'!E16,'Décembre'!E16)),CHOOSE($Z$3,'Janvier'!E16,'Février'!E16,'Mars'!E16,'Avril'!E16,'Mai'!E16,'Juin'!E16,'Juillet'!E16,'Août'!E16,'Septembre'!E16,'Octobre'!E16,'Novembre'!E16,'Décembre'!E16),"")</f>
        <v/>
      </c>
      <c r="AC14" s="11">
        <f>IF(ISNUMBER(CHOOSE($Z$3,'Janvier'!I16,'Février'!I16,'Mars'!I16,'Avril'!I16,'Mai'!I16,'Juin'!I16,'Juillet'!I16,'Août'!I16,'Septembre'!I16,'Octobre'!I16,'Novembre'!I16,'Décembre'!I16)),CHOOSE($Z$3,'Janvier'!I16,'Février'!I16,'Mars'!I16,'Avril'!I16,'Mai'!I16,'Juin'!I16,'Juillet'!I16,'Août'!I16,'Septembre'!I16,'Octobre'!I16,'Novembre'!I16,'Décembre'!I16),"")</f>
        <v/>
      </c>
      <c r="AD14" s="11">
        <f>IF(ISNUMBER(CHOOSE($Z$3,'Janvier'!M16,'Février'!M16,'Mars'!M16,'Avril'!M16,'Mai'!M16,'Juin'!M16,'Juillet'!M16,'Août'!M16,'Septembre'!M16,'Octobre'!M16,'Novembre'!M16,'Décembre'!M16)),CHOOSE($Z$3,'Janvier'!M16,'Février'!M16,'Mars'!M16,'Avril'!M16,'Mai'!M16,'Juin'!M16,'Juillet'!M16,'Août'!M16,'Septembre'!M16,'Octobre'!M16,'Novembre'!M16,'Décembre'!M16),"")</f>
        <v/>
      </c>
      <c r="AE14" s="11">
        <f>IF(ISNUMBER(CHOOSE($Z$3,'Janvier'!Q16,'Février'!Q16,'Mars'!Q16,'Avril'!Q16,'Mai'!Q16,'Juin'!Q16,'Juillet'!Q16,'Août'!Q16,'Septembre'!Q16,'Octobre'!Q16,'Novembre'!Q16,'Décembre'!Q16)),CHOOSE($Z$3,'Janvier'!Q16,'Février'!Q16,'Mars'!Q16,'Avril'!Q16,'Mai'!Q16,'Juin'!Q16,'Juillet'!Q16,'Août'!Q16,'Septembre'!Q16,'Octobre'!Q16,'Novembre'!Q16,'Décembre'!Q16),"")</f>
        <v/>
      </c>
      <c r="AF14" s="11">
        <f>IF(ISNUMBER(CHOOSE($Z$3,'Janvier'!T16,'Février'!T16,'Mars'!T16,'Avril'!T16,'Mai'!T16,'Juin'!T16,'Juillet'!T16,'Août'!T16,'Septembre'!T16,'Octobre'!T16,'Novembre'!T16,'Décembre'!T16)),CHOOSE($Z$3,'Janvier'!T16,'Février'!T16,'Mars'!T16,'Avril'!T16,'Mai'!T16,'Juin'!T16,'Juillet'!T16,'Août'!T16,'Septembre'!T16,'Octobre'!T16,'Novembre'!T16,'Décembre'!T16),"")</f>
        <v/>
      </c>
      <c r="AG14" s="11">
        <f>IF(ISNUMBER(CHOOSE($Z$3,'Janvier'!U16,'Février'!U16,'Mars'!U16,'Avril'!U16,'Mai'!U16,'Juin'!U16,'Juillet'!U16,'Août'!U16,'Septembre'!U16,'Octobre'!U16,'Novembre'!U16,'Décembre'!U16)),CHOOSE($Z$3,'Janvier'!U16,'Février'!U16,'Mars'!U16,'Avril'!U16,'Mai'!U16,'Juin'!U16,'Juillet'!U16,'Août'!U16,'Septembre'!U16,'Octobre'!U16,'Novembre'!U16,'Décembre'!U16),"")</f>
        <v/>
      </c>
      <c r="AH14" s="11">
        <f>IF(ISNUMBER(CHOOSE($Z$3,'Janvier'!V16,'Février'!V16,'Mars'!V16,'Avril'!V16,'Mai'!V16,'Juin'!V16,'Juillet'!V16,'Août'!V16,'Septembre'!V16,'Octobre'!V16,'Novembre'!V16,'Décembre'!V16)),CHOOSE($Z$3,'Janvier'!V16,'Février'!V16,'Mars'!V16,'Avril'!V16,'Mai'!V16,'Juin'!V16,'Juillet'!V16,'Août'!V16,'Septembre'!V16,'Octobre'!V16,'Novembre'!V16,'Décembre'!V16),"")</f>
        <v/>
      </c>
      <c r="AI14" s="11">
        <f>IF(ISNUMBER(CHOOSE($Z$3,'Janvier'!W16,'Février'!W16,'Mars'!W16,'Avril'!W16,'Mai'!W16,'Juin'!W16,'Juillet'!W16,'Août'!W16,'Septembre'!W16,'Octobre'!W16,'Novembre'!W16,'Décembre'!W16)),CHOOSE($Z$3,'Janvier'!W16,'Février'!W16,'Mars'!W16,'Avril'!W16,'Mai'!W16,'Juin'!W16,'Juillet'!W16,'Août'!W16,'Septembre'!W16,'Octobre'!W16,'Novembre'!W16,'Décembre'!W16),"")</f>
        <v/>
      </c>
      <c r="AJ14" s="11">
        <f>IF(Produits!$A$15="","",Produits!$D$15)</f>
        <v/>
      </c>
      <c r="AK14" s="11">
        <f>IF(ISNUMBER(CHOOSE($Z$3,'Janvier'!X16,'Février'!X16,'Mars'!X16,'Avril'!X16,'Mai'!X16,'Juin'!X16,'Juillet'!X16,'Août'!X16,'Septembre'!X16,'Octobre'!X16,'Novembre'!X16,'Décembre'!X16)),CHOOSE($Z$3,'Janvier'!X16,'Février'!X16,'Mars'!X16,'Avril'!X16,'Mai'!X16,'Juin'!X16,'Juillet'!X16,'Août'!X16,'Septembre'!X16,'Octobre'!X16,'Novembre'!X16,'Décembre'!X16),"")</f>
        <v/>
      </c>
      <c r="AL14" s="11">
        <f>IF(AND(ISNUMBER(AI14),ISNUMBER(AJ14)),IF(AI14&lt;=AJ14,1,0),0)</f>
        <v/>
      </c>
      <c r="AM14" s="11">
        <f>IF(OR(AA14="",AK14=""),-1,AK14+ROW()/1000000)</f>
        <v/>
      </c>
    </row>
    <row r="15">
      <c r="A15" s="11" t="n">
        <v>4</v>
      </c>
      <c r="B15" s="17">
        <f>IF(LARGE($AM$5:$AM$64,4)&lt;=0,"",INDEX($AA$5:$AA$64,MATCH(LARGE($AM$5:$AM$64,4),$AM$5:$AM$64,0)))</f>
        <v/>
      </c>
      <c r="D15" s="11">
        <f>IF(B15="","",INDEX($AG$5:$AG$64,MATCH(LARGE($AM$5:$AM$64,4),$AM$5:$AM$64,0)))</f>
        <v/>
      </c>
      <c r="E15" s="18">
        <f>IF(B15="","",INDEX($AK$5:$AK$64,MATCH(LARGE($AM$5:$AM$64,4),$AM$5:$AM$64,0)))</f>
        <v/>
      </c>
      <c r="Z15" t="inlineStr">
        <is>
          <t>Novembre</t>
        </is>
      </c>
      <c r="AA15" s="11">
        <f>IF(Produits!$A$16="","",Produits!$A$16)</f>
        <v/>
      </c>
      <c r="AB15" s="11">
        <f>IF(ISNUMBER(CHOOSE($Z$3,'Janvier'!E17,'Février'!E17,'Mars'!E17,'Avril'!E17,'Mai'!E17,'Juin'!E17,'Juillet'!E17,'Août'!E17,'Septembre'!E17,'Octobre'!E17,'Novembre'!E17,'Décembre'!E17)),CHOOSE($Z$3,'Janvier'!E17,'Février'!E17,'Mars'!E17,'Avril'!E17,'Mai'!E17,'Juin'!E17,'Juillet'!E17,'Août'!E17,'Septembre'!E17,'Octobre'!E17,'Novembre'!E17,'Décembre'!E17),"")</f>
        <v/>
      </c>
      <c r="AC15" s="11">
        <f>IF(ISNUMBER(CHOOSE($Z$3,'Janvier'!I17,'Février'!I17,'Mars'!I17,'Avril'!I17,'Mai'!I17,'Juin'!I17,'Juillet'!I17,'Août'!I17,'Septembre'!I17,'Octobre'!I17,'Novembre'!I17,'Décembre'!I17)),CHOOSE($Z$3,'Janvier'!I17,'Février'!I17,'Mars'!I17,'Avril'!I17,'Mai'!I17,'Juin'!I17,'Juillet'!I17,'Août'!I17,'Septembre'!I17,'Octobre'!I17,'Novembre'!I17,'Décembre'!I17),"")</f>
        <v/>
      </c>
      <c r="AD15" s="11">
        <f>IF(ISNUMBER(CHOOSE($Z$3,'Janvier'!M17,'Février'!M17,'Mars'!M17,'Avril'!M17,'Mai'!M17,'Juin'!M17,'Juillet'!M17,'Août'!M17,'Septembre'!M17,'Octobre'!M17,'Novembre'!M17,'Décembre'!M17)),CHOOSE($Z$3,'Janvier'!M17,'Février'!M17,'Mars'!M17,'Avril'!M17,'Mai'!M17,'Juin'!M17,'Juillet'!M17,'Août'!M17,'Septembre'!M17,'Octobre'!M17,'Novembre'!M17,'Décembre'!M17),"")</f>
        <v/>
      </c>
      <c r="AE15" s="11">
        <f>IF(ISNUMBER(CHOOSE($Z$3,'Janvier'!Q17,'Février'!Q17,'Mars'!Q17,'Avril'!Q17,'Mai'!Q17,'Juin'!Q17,'Juillet'!Q17,'Août'!Q17,'Septembre'!Q17,'Octobre'!Q17,'Novembre'!Q17,'Décembre'!Q17)),CHOOSE($Z$3,'Janvier'!Q17,'Février'!Q17,'Mars'!Q17,'Avril'!Q17,'Mai'!Q17,'Juin'!Q17,'Juillet'!Q17,'Août'!Q17,'Septembre'!Q17,'Octobre'!Q17,'Novembre'!Q17,'Décembre'!Q17),"")</f>
        <v/>
      </c>
      <c r="AF15" s="11">
        <f>IF(ISNUMBER(CHOOSE($Z$3,'Janvier'!T17,'Février'!T17,'Mars'!T17,'Avril'!T17,'Mai'!T17,'Juin'!T17,'Juillet'!T17,'Août'!T17,'Septembre'!T17,'Octobre'!T17,'Novembre'!T17,'Décembre'!T17)),CHOOSE($Z$3,'Janvier'!T17,'Février'!T17,'Mars'!T17,'Avril'!T17,'Mai'!T17,'Juin'!T17,'Juillet'!T17,'Août'!T17,'Septembre'!T17,'Octobre'!T17,'Novembre'!T17,'Décembre'!T17),"")</f>
        <v/>
      </c>
      <c r="AG15" s="11">
        <f>IF(ISNUMBER(CHOOSE($Z$3,'Janvier'!U17,'Février'!U17,'Mars'!U17,'Avril'!U17,'Mai'!U17,'Juin'!U17,'Juillet'!U17,'Août'!U17,'Septembre'!U17,'Octobre'!U17,'Novembre'!U17,'Décembre'!U17)),CHOOSE($Z$3,'Janvier'!U17,'Février'!U17,'Mars'!U17,'Avril'!U17,'Mai'!U17,'Juin'!U17,'Juillet'!U17,'Août'!U17,'Septembre'!U17,'Octobre'!U17,'Novembre'!U17,'Décembre'!U17),"")</f>
        <v/>
      </c>
      <c r="AH15" s="11">
        <f>IF(ISNUMBER(CHOOSE($Z$3,'Janvier'!V17,'Février'!V17,'Mars'!V17,'Avril'!V17,'Mai'!V17,'Juin'!V17,'Juillet'!V17,'Août'!V17,'Septembre'!V17,'Octobre'!V17,'Novembre'!V17,'Décembre'!V17)),CHOOSE($Z$3,'Janvier'!V17,'Février'!V17,'Mars'!V17,'Avril'!V17,'Mai'!V17,'Juin'!V17,'Juillet'!V17,'Août'!V17,'Septembre'!V17,'Octobre'!V17,'Novembre'!V17,'Décembre'!V17),"")</f>
        <v/>
      </c>
      <c r="AI15" s="11">
        <f>IF(ISNUMBER(CHOOSE($Z$3,'Janvier'!W17,'Février'!W17,'Mars'!W17,'Avril'!W17,'Mai'!W17,'Juin'!W17,'Juillet'!W17,'Août'!W17,'Septembre'!W17,'Octobre'!W17,'Novembre'!W17,'Décembre'!W17)),CHOOSE($Z$3,'Janvier'!W17,'Février'!W17,'Mars'!W17,'Avril'!W17,'Mai'!W17,'Juin'!W17,'Juillet'!W17,'Août'!W17,'Septembre'!W17,'Octobre'!W17,'Novembre'!W17,'Décembre'!W17),"")</f>
        <v/>
      </c>
      <c r="AJ15" s="11">
        <f>IF(Produits!$A$16="","",Produits!$D$16)</f>
        <v/>
      </c>
      <c r="AK15" s="11">
        <f>IF(ISNUMBER(CHOOSE($Z$3,'Janvier'!X17,'Février'!X17,'Mars'!X17,'Avril'!X17,'Mai'!X17,'Juin'!X17,'Juillet'!X17,'Août'!X17,'Septembre'!X17,'Octobre'!X17,'Novembre'!X17,'Décembre'!X17)),CHOOSE($Z$3,'Janvier'!X17,'Février'!X17,'Mars'!X17,'Avril'!X17,'Mai'!X17,'Juin'!X17,'Juillet'!X17,'Août'!X17,'Septembre'!X17,'Octobre'!X17,'Novembre'!X17,'Décembre'!X17),"")</f>
        <v/>
      </c>
      <c r="AL15" s="11">
        <f>IF(AND(ISNUMBER(AI15),ISNUMBER(AJ15)),IF(AI15&lt;=AJ15,1,0),0)</f>
        <v/>
      </c>
      <c r="AM15" s="11">
        <f>IF(OR(AA15="",AK15=""),-1,AK15+ROW()/1000000)</f>
        <v/>
      </c>
    </row>
    <row r="16">
      <c r="A16" s="11" t="n">
        <v>5</v>
      </c>
      <c r="B16" s="17">
        <f>IF(LARGE($AM$5:$AM$64,5)&lt;=0,"",INDEX($AA$5:$AA$64,MATCH(LARGE($AM$5:$AM$64,5),$AM$5:$AM$64,0)))</f>
        <v/>
      </c>
      <c r="D16" s="11">
        <f>IF(B16="","",INDEX($AG$5:$AG$64,MATCH(LARGE($AM$5:$AM$64,5),$AM$5:$AM$64,0)))</f>
        <v/>
      </c>
      <c r="E16" s="18">
        <f>IF(B16="","",INDEX($AK$5:$AK$64,MATCH(LARGE($AM$5:$AM$64,5),$AM$5:$AM$64,0)))</f>
        <v/>
      </c>
      <c r="Z16" t="inlineStr">
        <is>
          <t>Décembre</t>
        </is>
      </c>
      <c r="AA16" s="11">
        <f>IF(Produits!$A$17="","",Produits!$A$17)</f>
        <v/>
      </c>
      <c r="AB16" s="11">
        <f>IF(ISNUMBER(CHOOSE($Z$3,'Janvier'!E18,'Février'!E18,'Mars'!E18,'Avril'!E18,'Mai'!E18,'Juin'!E18,'Juillet'!E18,'Août'!E18,'Septembre'!E18,'Octobre'!E18,'Novembre'!E18,'Décembre'!E18)),CHOOSE($Z$3,'Janvier'!E18,'Février'!E18,'Mars'!E18,'Avril'!E18,'Mai'!E18,'Juin'!E18,'Juillet'!E18,'Août'!E18,'Septembre'!E18,'Octobre'!E18,'Novembre'!E18,'Décembre'!E18),"")</f>
        <v/>
      </c>
      <c r="AC16" s="11">
        <f>IF(ISNUMBER(CHOOSE($Z$3,'Janvier'!I18,'Février'!I18,'Mars'!I18,'Avril'!I18,'Mai'!I18,'Juin'!I18,'Juillet'!I18,'Août'!I18,'Septembre'!I18,'Octobre'!I18,'Novembre'!I18,'Décembre'!I18)),CHOOSE($Z$3,'Janvier'!I18,'Février'!I18,'Mars'!I18,'Avril'!I18,'Mai'!I18,'Juin'!I18,'Juillet'!I18,'Août'!I18,'Septembre'!I18,'Octobre'!I18,'Novembre'!I18,'Décembre'!I18),"")</f>
        <v/>
      </c>
      <c r="AD16" s="11">
        <f>IF(ISNUMBER(CHOOSE($Z$3,'Janvier'!M18,'Février'!M18,'Mars'!M18,'Avril'!M18,'Mai'!M18,'Juin'!M18,'Juillet'!M18,'Août'!M18,'Septembre'!M18,'Octobre'!M18,'Novembre'!M18,'Décembre'!M18)),CHOOSE($Z$3,'Janvier'!M18,'Février'!M18,'Mars'!M18,'Avril'!M18,'Mai'!M18,'Juin'!M18,'Juillet'!M18,'Août'!M18,'Septembre'!M18,'Octobre'!M18,'Novembre'!M18,'Décembre'!M18),"")</f>
        <v/>
      </c>
      <c r="AE16" s="11">
        <f>IF(ISNUMBER(CHOOSE($Z$3,'Janvier'!Q18,'Février'!Q18,'Mars'!Q18,'Avril'!Q18,'Mai'!Q18,'Juin'!Q18,'Juillet'!Q18,'Août'!Q18,'Septembre'!Q18,'Octobre'!Q18,'Novembre'!Q18,'Décembre'!Q18)),CHOOSE($Z$3,'Janvier'!Q18,'Février'!Q18,'Mars'!Q18,'Avril'!Q18,'Mai'!Q18,'Juin'!Q18,'Juillet'!Q18,'Août'!Q18,'Septembre'!Q18,'Octobre'!Q18,'Novembre'!Q18,'Décembre'!Q18),"")</f>
        <v/>
      </c>
      <c r="AF16" s="11">
        <f>IF(ISNUMBER(CHOOSE($Z$3,'Janvier'!T18,'Février'!T18,'Mars'!T18,'Avril'!T18,'Mai'!T18,'Juin'!T18,'Juillet'!T18,'Août'!T18,'Septembre'!T18,'Octobre'!T18,'Novembre'!T18,'Décembre'!T18)),CHOOSE($Z$3,'Janvier'!T18,'Février'!T18,'Mars'!T18,'Avril'!T18,'Mai'!T18,'Juin'!T18,'Juillet'!T18,'Août'!T18,'Septembre'!T18,'Octobre'!T18,'Novembre'!T18,'Décembre'!T18),"")</f>
        <v/>
      </c>
      <c r="AG16" s="11">
        <f>IF(ISNUMBER(CHOOSE($Z$3,'Janvier'!U18,'Février'!U18,'Mars'!U18,'Avril'!U18,'Mai'!U18,'Juin'!U18,'Juillet'!U18,'Août'!U18,'Septembre'!U18,'Octobre'!U18,'Novembre'!U18,'Décembre'!U18)),CHOOSE($Z$3,'Janvier'!U18,'Février'!U18,'Mars'!U18,'Avril'!U18,'Mai'!U18,'Juin'!U18,'Juillet'!U18,'Août'!U18,'Septembre'!U18,'Octobre'!U18,'Novembre'!U18,'Décembre'!U18),"")</f>
        <v/>
      </c>
      <c r="AH16" s="11">
        <f>IF(ISNUMBER(CHOOSE($Z$3,'Janvier'!V18,'Février'!V18,'Mars'!V18,'Avril'!V18,'Mai'!V18,'Juin'!V18,'Juillet'!V18,'Août'!V18,'Septembre'!V18,'Octobre'!V18,'Novembre'!V18,'Décembre'!V18)),CHOOSE($Z$3,'Janvier'!V18,'Février'!V18,'Mars'!V18,'Avril'!V18,'Mai'!V18,'Juin'!V18,'Juillet'!V18,'Août'!V18,'Septembre'!V18,'Octobre'!V18,'Novembre'!V18,'Décembre'!V18),"")</f>
        <v/>
      </c>
      <c r="AI16" s="11">
        <f>IF(ISNUMBER(CHOOSE($Z$3,'Janvier'!W18,'Février'!W18,'Mars'!W18,'Avril'!W18,'Mai'!W18,'Juin'!W18,'Juillet'!W18,'Août'!W18,'Septembre'!W18,'Octobre'!W18,'Novembre'!W18,'Décembre'!W18)),CHOOSE($Z$3,'Janvier'!W18,'Février'!W18,'Mars'!W18,'Avril'!W18,'Mai'!W18,'Juin'!W18,'Juillet'!W18,'Août'!W18,'Septembre'!W18,'Octobre'!W18,'Novembre'!W18,'Décembre'!W18),"")</f>
        <v/>
      </c>
      <c r="AJ16" s="11">
        <f>IF(Produits!$A$17="","",Produits!$D$17)</f>
        <v/>
      </c>
      <c r="AK16" s="11">
        <f>IF(ISNUMBER(CHOOSE($Z$3,'Janvier'!X18,'Février'!X18,'Mars'!X18,'Avril'!X18,'Mai'!X18,'Juin'!X18,'Juillet'!X18,'Août'!X18,'Septembre'!X18,'Octobre'!X18,'Novembre'!X18,'Décembre'!X18)),CHOOSE($Z$3,'Janvier'!X18,'Février'!X18,'Mars'!X18,'Avril'!X18,'Mai'!X18,'Juin'!X18,'Juillet'!X18,'Août'!X18,'Septembre'!X18,'Octobre'!X18,'Novembre'!X18,'Décembre'!X18),"")</f>
        <v/>
      </c>
      <c r="AL16" s="11">
        <f>IF(AND(ISNUMBER(AI16),ISNUMBER(AJ16)),IF(AI16&lt;=AJ16,1,0),0)</f>
        <v/>
      </c>
      <c r="AM16" s="11">
        <f>IF(OR(AA16="",AK16=""),-1,AK16+ROW()/1000000)</f>
        <v/>
      </c>
    </row>
    <row r="17">
      <c r="A17" s="11" t="n">
        <v>6</v>
      </c>
      <c r="B17" s="17">
        <f>IF(LARGE($AM$5:$AM$64,6)&lt;=0,"",INDEX($AA$5:$AA$64,MATCH(LARGE($AM$5:$AM$64,6),$AM$5:$AM$64,0)))</f>
        <v/>
      </c>
      <c r="D17" s="11">
        <f>IF(B17="","",INDEX($AG$5:$AG$64,MATCH(LARGE($AM$5:$AM$64,6),$AM$5:$AM$64,0)))</f>
        <v/>
      </c>
      <c r="E17" s="18">
        <f>IF(B17="","",INDEX($AK$5:$AK$64,MATCH(LARGE($AM$5:$AM$64,6),$AM$5:$AM$64,0)))</f>
        <v/>
      </c>
      <c r="AA17" s="11">
        <f>IF(Produits!$A$18="","",Produits!$A$18)</f>
        <v/>
      </c>
      <c r="AB17" s="11">
        <f>IF(ISNUMBER(CHOOSE($Z$3,'Janvier'!E19,'Février'!E19,'Mars'!E19,'Avril'!E19,'Mai'!E19,'Juin'!E19,'Juillet'!E19,'Août'!E19,'Septembre'!E19,'Octobre'!E19,'Novembre'!E19,'Décembre'!E19)),CHOOSE($Z$3,'Janvier'!E19,'Février'!E19,'Mars'!E19,'Avril'!E19,'Mai'!E19,'Juin'!E19,'Juillet'!E19,'Août'!E19,'Septembre'!E19,'Octobre'!E19,'Novembre'!E19,'Décembre'!E19),"")</f>
        <v/>
      </c>
      <c r="AC17" s="11">
        <f>IF(ISNUMBER(CHOOSE($Z$3,'Janvier'!I19,'Février'!I19,'Mars'!I19,'Avril'!I19,'Mai'!I19,'Juin'!I19,'Juillet'!I19,'Août'!I19,'Septembre'!I19,'Octobre'!I19,'Novembre'!I19,'Décembre'!I19)),CHOOSE($Z$3,'Janvier'!I19,'Février'!I19,'Mars'!I19,'Avril'!I19,'Mai'!I19,'Juin'!I19,'Juillet'!I19,'Août'!I19,'Septembre'!I19,'Octobre'!I19,'Novembre'!I19,'Décembre'!I19),"")</f>
        <v/>
      </c>
      <c r="AD17" s="11">
        <f>IF(ISNUMBER(CHOOSE($Z$3,'Janvier'!M19,'Février'!M19,'Mars'!M19,'Avril'!M19,'Mai'!M19,'Juin'!M19,'Juillet'!M19,'Août'!M19,'Septembre'!M19,'Octobre'!M19,'Novembre'!M19,'Décembre'!M19)),CHOOSE($Z$3,'Janvier'!M19,'Février'!M19,'Mars'!M19,'Avril'!M19,'Mai'!M19,'Juin'!M19,'Juillet'!M19,'Août'!M19,'Septembre'!M19,'Octobre'!M19,'Novembre'!M19,'Décembre'!M19),"")</f>
        <v/>
      </c>
      <c r="AE17" s="11">
        <f>IF(ISNUMBER(CHOOSE($Z$3,'Janvier'!Q19,'Février'!Q19,'Mars'!Q19,'Avril'!Q19,'Mai'!Q19,'Juin'!Q19,'Juillet'!Q19,'Août'!Q19,'Septembre'!Q19,'Octobre'!Q19,'Novembre'!Q19,'Décembre'!Q19)),CHOOSE($Z$3,'Janvier'!Q19,'Février'!Q19,'Mars'!Q19,'Avril'!Q19,'Mai'!Q19,'Juin'!Q19,'Juillet'!Q19,'Août'!Q19,'Septembre'!Q19,'Octobre'!Q19,'Novembre'!Q19,'Décembre'!Q19),"")</f>
        <v/>
      </c>
      <c r="AF17" s="11">
        <f>IF(ISNUMBER(CHOOSE($Z$3,'Janvier'!T19,'Février'!T19,'Mars'!T19,'Avril'!T19,'Mai'!T19,'Juin'!T19,'Juillet'!T19,'Août'!T19,'Septembre'!T19,'Octobre'!T19,'Novembre'!T19,'Décembre'!T19)),CHOOSE($Z$3,'Janvier'!T19,'Février'!T19,'Mars'!T19,'Avril'!T19,'Mai'!T19,'Juin'!T19,'Juillet'!T19,'Août'!T19,'Septembre'!T19,'Octobre'!T19,'Novembre'!T19,'Décembre'!T19),"")</f>
        <v/>
      </c>
      <c r="AG17" s="11">
        <f>IF(ISNUMBER(CHOOSE($Z$3,'Janvier'!U19,'Février'!U19,'Mars'!U19,'Avril'!U19,'Mai'!U19,'Juin'!U19,'Juillet'!U19,'Août'!U19,'Septembre'!U19,'Octobre'!U19,'Novembre'!U19,'Décembre'!U19)),CHOOSE($Z$3,'Janvier'!U19,'Février'!U19,'Mars'!U19,'Avril'!U19,'Mai'!U19,'Juin'!U19,'Juillet'!U19,'Août'!U19,'Septembre'!U19,'Octobre'!U19,'Novembre'!U19,'Décembre'!U19),"")</f>
        <v/>
      </c>
      <c r="AH17" s="11">
        <f>IF(ISNUMBER(CHOOSE($Z$3,'Janvier'!V19,'Février'!V19,'Mars'!V19,'Avril'!V19,'Mai'!V19,'Juin'!V19,'Juillet'!V19,'Août'!V19,'Septembre'!V19,'Octobre'!V19,'Novembre'!V19,'Décembre'!V19)),CHOOSE($Z$3,'Janvier'!V19,'Février'!V19,'Mars'!V19,'Avril'!V19,'Mai'!V19,'Juin'!V19,'Juillet'!V19,'Août'!V19,'Septembre'!V19,'Octobre'!V19,'Novembre'!V19,'Décembre'!V19),"")</f>
        <v/>
      </c>
      <c r="AI17" s="11">
        <f>IF(ISNUMBER(CHOOSE($Z$3,'Janvier'!W19,'Février'!W19,'Mars'!W19,'Avril'!W19,'Mai'!W19,'Juin'!W19,'Juillet'!W19,'Août'!W19,'Septembre'!W19,'Octobre'!W19,'Novembre'!W19,'Décembre'!W19)),CHOOSE($Z$3,'Janvier'!W19,'Février'!W19,'Mars'!W19,'Avril'!W19,'Mai'!W19,'Juin'!W19,'Juillet'!W19,'Août'!W19,'Septembre'!W19,'Octobre'!W19,'Novembre'!W19,'Décembre'!W19),"")</f>
        <v/>
      </c>
      <c r="AJ17" s="11">
        <f>IF(Produits!$A$18="","",Produits!$D$18)</f>
        <v/>
      </c>
      <c r="AK17" s="11">
        <f>IF(ISNUMBER(CHOOSE($Z$3,'Janvier'!X19,'Février'!X19,'Mars'!X19,'Avril'!X19,'Mai'!X19,'Juin'!X19,'Juillet'!X19,'Août'!X19,'Septembre'!X19,'Octobre'!X19,'Novembre'!X19,'Décembre'!X19)),CHOOSE($Z$3,'Janvier'!X19,'Février'!X19,'Mars'!X19,'Avril'!X19,'Mai'!X19,'Juin'!X19,'Juillet'!X19,'Août'!X19,'Septembre'!X19,'Octobre'!X19,'Novembre'!X19,'Décembre'!X19),"")</f>
        <v/>
      </c>
      <c r="AL17" s="11">
        <f>IF(AND(ISNUMBER(AI17),ISNUMBER(AJ17)),IF(AI17&lt;=AJ17,1,0),0)</f>
        <v/>
      </c>
      <c r="AM17" s="11">
        <f>IF(OR(AA17="",AK17=""),-1,AK17+ROW()/1000000)</f>
        <v/>
      </c>
    </row>
    <row r="18">
      <c r="A18" s="11" t="n">
        <v>7</v>
      </c>
      <c r="B18" s="17">
        <f>IF(LARGE($AM$5:$AM$64,7)&lt;=0,"",INDEX($AA$5:$AA$64,MATCH(LARGE($AM$5:$AM$64,7),$AM$5:$AM$64,0)))</f>
        <v/>
      </c>
      <c r="D18" s="11">
        <f>IF(B18="","",INDEX($AG$5:$AG$64,MATCH(LARGE($AM$5:$AM$64,7),$AM$5:$AM$64,0)))</f>
        <v/>
      </c>
      <c r="E18" s="18">
        <f>IF(B18="","",INDEX($AK$5:$AK$64,MATCH(LARGE($AM$5:$AM$64,7),$AM$5:$AM$64,0)))</f>
        <v/>
      </c>
      <c r="AA18" s="11">
        <f>IF(Produits!$A$19="","",Produits!$A$19)</f>
        <v/>
      </c>
      <c r="AB18" s="11">
        <f>IF(ISNUMBER(CHOOSE($Z$3,'Janvier'!E20,'Février'!E20,'Mars'!E20,'Avril'!E20,'Mai'!E20,'Juin'!E20,'Juillet'!E20,'Août'!E20,'Septembre'!E20,'Octobre'!E20,'Novembre'!E20,'Décembre'!E20)),CHOOSE($Z$3,'Janvier'!E20,'Février'!E20,'Mars'!E20,'Avril'!E20,'Mai'!E20,'Juin'!E20,'Juillet'!E20,'Août'!E20,'Septembre'!E20,'Octobre'!E20,'Novembre'!E20,'Décembre'!E20),"")</f>
        <v/>
      </c>
      <c r="AC18" s="11">
        <f>IF(ISNUMBER(CHOOSE($Z$3,'Janvier'!I20,'Février'!I20,'Mars'!I20,'Avril'!I20,'Mai'!I20,'Juin'!I20,'Juillet'!I20,'Août'!I20,'Septembre'!I20,'Octobre'!I20,'Novembre'!I20,'Décembre'!I20)),CHOOSE($Z$3,'Janvier'!I20,'Février'!I20,'Mars'!I20,'Avril'!I20,'Mai'!I20,'Juin'!I20,'Juillet'!I20,'Août'!I20,'Septembre'!I20,'Octobre'!I20,'Novembre'!I20,'Décembre'!I20),"")</f>
        <v/>
      </c>
      <c r="AD18" s="11">
        <f>IF(ISNUMBER(CHOOSE($Z$3,'Janvier'!M20,'Février'!M20,'Mars'!M20,'Avril'!M20,'Mai'!M20,'Juin'!M20,'Juillet'!M20,'Août'!M20,'Septembre'!M20,'Octobre'!M20,'Novembre'!M20,'Décembre'!M20)),CHOOSE($Z$3,'Janvier'!M20,'Février'!M20,'Mars'!M20,'Avril'!M20,'Mai'!M20,'Juin'!M20,'Juillet'!M20,'Août'!M20,'Septembre'!M20,'Octobre'!M20,'Novembre'!M20,'Décembre'!M20),"")</f>
        <v/>
      </c>
      <c r="AE18" s="11">
        <f>IF(ISNUMBER(CHOOSE($Z$3,'Janvier'!Q20,'Février'!Q20,'Mars'!Q20,'Avril'!Q20,'Mai'!Q20,'Juin'!Q20,'Juillet'!Q20,'Août'!Q20,'Septembre'!Q20,'Octobre'!Q20,'Novembre'!Q20,'Décembre'!Q20)),CHOOSE($Z$3,'Janvier'!Q20,'Février'!Q20,'Mars'!Q20,'Avril'!Q20,'Mai'!Q20,'Juin'!Q20,'Juillet'!Q20,'Août'!Q20,'Septembre'!Q20,'Octobre'!Q20,'Novembre'!Q20,'Décembre'!Q20),"")</f>
        <v/>
      </c>
      <c r="AF18" s="11">
        <f>IF(ISNUMBER(CHOOSE($Z$3,'Janvier'!T20,'Février'!T20,'Mars'!T20,'Avril'!T20,'Mai'!T20,'Juin'!T20,'Juillet'!T20,'Août'!T20,'Septembre'!T20,'Octobre'!T20,'Novembre'!T20,'Décembre'!T20)),CHOOSE($Z$3,'Janvier'!T20,'Février'!T20,'Mars'!T20,'Avril'!T20,'Mai'!T20,'Juin'!T20,'Juillet'!T20,'Août'!T20,'Septembre'!T20,'Octobre'!T20,'Novembre'!T20,'Décembre'!T20),"")</f>
        <v/>
      </c>
      <c r="AG18" s="11">
        <f>IF(ISNUMBER(CHOOSE($Z$3,'Janvier'!U20,'Février'!U20,'Mars'!U20,'Avril'!U20,'Mai'!U20,'Juin'!U20,'Juillet'!U20,'Août'!U20,'Septembre'!U20,'Octobre'!U20,'Novembre'!U20,'Décembre'!U20)),CHOOSE($Z$3,'Janvier'!U20,'Février'!U20,'Mars'!U20,'Avril'!U20,'Mai'!U20,'Juin'!U20,'Juillet'!U20,'Août'!U20,'Septembre'!U20,'Octobre'!U20,'Novembre'!U20,'Décembre'!U20),"")</f>
        <v/>
      </c>
      <c r="AH18" s="11">
        <f>IF(ISNUMBER(CHOOSE($Z$3,'Janvier'!V20,'Février'!V20,'Mars'!V20,'Avril'!V20,'Mai'!V20,'Juin'!V20,'Juillet'!V20,'Août'!V20,'Septembre'!V20,'Octobre'!V20,'Novembre'!V20,'Décembre'!V20)),CHOOSE($Z$3,'Janvier'!V20,'Février'!V20,'Mars'!V20,'Avril'!V20,'Mai'!V20,'Juin'!V20,'Juillet'!V20,'Août'!V20,'Septembre'!V20,'Octobre'!V20,'Novembre'!V20,'Décembre'!V20),"")</f>
        <v/>
      </c>
      <c r="AI18" s="11">
        <f>IF(ISNUMBER(CHOOSE($Z$3,'Janvier'!W20,'Février'!W20,'Mars'!W20,'Avril'!W20,'Mai'!W20,'Juin'!W20,'Juillet'!W20,'Août'!W20,'Septembre'!W20,'Octobre'!W20,'Novembre'!W20,'Décembre'!W20)),CHOOSE($Z$3,'Janvier'!W20,'Février'!W20,'Mars'!W20,'Avril'!W20,'Mai'!W20,'Juin'!W20,'Juillet'!W20,'Août'!W20,'Septembre'!W20,'Octobre'!W20,'Novembre'!W20,'Décembre'!W20),"")</f>
        <v/>
      </c>
      <c r="AJ18" s="11">
        <f>IF(Produits!$A$19="","",Produits!$D$19)</f>
        <v/>
      </c>
      <c r="AK18" s="11">
        <f>IF(ISNUMBER(CHOOSE($Z$3,'Janvier'!X20,'Février'!X20,'Mars'!X20,'Avril'!X20,'Mai'!X20,'Juin'!X20,'Juillet'!X20,'Août'!X20,'Septembre'!X20,'Octobre'!X20,'Novembre'!X20,'Décembre'!X20)),CHOOSE($Z$3,'Janvier'!X20,'Février'!X20,'Mars'!X20,'Avril'!X20,'Mai'!X20,'Juin'!X20,'Juillet'!X20,'Août'!X20,'Septembre'!X20,'Octobre'!X20,'Novembre'!X20,'Décembre'!X20),"")</f>
        <v/>
      </c>
      <c r="AL18" s="11">
        <f>IF(AND(ISNUMBER(AI18),ISNUMBER(AJ18)),IF(AI18&lt;=AJ18,1,0),0)</f>
        <v/>
      </c>
      <c r="AM18" s="11">
        <f>IF(OR(AA18="",AK18=""),-1,AK18+ROW()/1000000)</f>
        <v/>
      </c>
    </row>
    <row r="19">
      <c r="A19" s="11" t="n">
        <v>8</v>
      </c>
      <c r="B19" s="17">
        <f>IF(LARGE($AM$5:$AM$64,8)&lt;=0,"",INDEX($AA$5:$AA$64,MATCH(LARGE($AM$5:$AM$64,8),$AM$5:$AM$64,0)))</f>
        <v/>
      </c>
      <c r="D19" s="11">
        <f>IF(B19="","",INDEX($AG$5:$AG$64,MATCH(LARGE($AM$5:$AM$64,8),$AM$5:$AM$64,0)))</f>
        <v/>
      </c>
      <c r="E19" s="18">
        <f>IF(B19="","",INDEX($AK$5:$AK$64,MATCH(LARGE($AM$5:$AM$64,8),$AM$5:$AM$64,0)))</f>
        <v/>
      </c>
      <c r="AA19" s="11">
        <f>IF(Produits!$A$20="","",Produits!$A$20)</f>
        <v/>
      </c>
      <c r="AB19" s="11">
        <f>IF(ISNUMBER(CHOOSE($Z$3,'Janvier'!E21,'Février'!E21,'Mars'!E21,'Avril'!E21,'Mai'!E21,'Juin'!E21,'Juillet'!E21,'Août'!E21,'Septembre'!E21,'Octobre'!E21,'Novembre'!E21,'Décembre'!E21)),CHOOSE($Z$3,'Janvier'!E21,'Février'!E21,'Mars'!E21,'Avril'!E21,'Mai'!E21,'Juin'!E21,'Juillet'!E21,'Août'!E21,'Septembre'!E21,'Octobre'!E21,'Novembre'!E21,'Décembre'!E21),"")</f>
        <v/>
      </c>
      <c r="AC19" s="11">
        <f>IF(ISNUMBER(CHOOSE($Z$3,'Janvier'!I21,'Février'!I21,'Mars'!I21,'Avril'!I21,'Mai'!I21,'Juin'!I21,'Juillet'!I21,'Août'!I21,'Septembre'!I21,'Octobre'!I21,'Novembre'!I21,'Décembre'!I21)),CHOOSE($Z$3,'Janvier'!I21,'Février'!I21,'Mars'!I21,'Avril'!I21,'Mai'!I21,'Juin'!I21,'Juillet'!I21,'Août'!I21,'Septembre'!I21,'Octobre'!I21,'Novembre'!I21,'Décembre'!I21),"")</f>
        <v/>
      </c>
      <c r="AD19" s="11">
        <f>IF(ISNUMBER(CHOOSE($Z$3,'Janvier'!M21,'Février'!M21,'Mars'!M21,'Avril'!M21,'Mai'!M21,'Juin'!M21,'Juillet'!M21,'Août'!M21,'Septembre'!M21,'Octobre'!M21,'Novembre'!M21,'Décembre'!M21)),CHOOSE($Z$3,'Janvier'!M21,'Février'!M21,'Mars'!M21,'Avril'!M21,'Mai'!M21,'Juin'!M21,'Juillet'!M21,'Août'!M21,'Septembre'!M21,'Octobre'!M21,'Novembre'!M21,'Décembre'!M21),"")</f>
        <v/>
      </c>
      <c r="AE19" s="11">
        <f>IF(ISNUMBER(CHOOSE($Z$3,'Janvier'!Q21,'Février'!Q21,'Mars'!Q21,'Avril'!Q21,'Mai'!Q21,'Juin'!Q21,'Juillet'!Q21,'Août'!Q21,'Septembre'!Q21,'Octobre'!Q21,'Novembre'!Q21,'Décembre'!Q21)),CHOOSE($Z$3,'Janvier'!Q21,'Février'!Q21,'Mars'!Q21,'Avril'!Q21,'Mai'!Q21,'Juin'!Q21,'Juillet'!Q21,'Août'!Q21,'Septembre'!Q21,'Octobre'!Q21,'Novembre'!Q21,'Décembre'!Q21),"")</f>
        <v/>
      </c>
      <c r="AF19" s="11">
        <f>IF(ISNUMBER(CHOOSE($Z$3,'Janvier'!T21,'Février'!T21,'Mars'!T21,'Avril'!T21,'Mai'!T21,'Juin'!T21,'Juillet'!T21,'Août'!T21,'Septembre'!T21,'Octobre'!T21,'Novembre'!T21,'Décembre'!T21)),CHOOSE($Z$3,'Janvier'!T21,'Février'!T21,'Mars'!T21,'Avril'!T21,'Mai'!T21,'Juin'!T21,'Juillet'!T21,'Août'!T21,'Septembre'!T21,'Octobre'!T21,'Novembre'!T21,'Décembre'!T21),"")</f>
        <v/>
      </c>
      <c r="AG19" s="11">
        <f>IF(ISNUMBER(CHOOSE($Z$3,'Janvier'!U21,'Février'!U21,'Mars'!U21,'Avril'!U21,'Mai'!U21,'Juin'!U21,'Juillet'!U21,'Août'!U21,'Septembre'!U21,'Octobre'!U21,'Novembre'!U21,'Décembre'!U21)),CHOOSE($Z$3,'Janvier'!U21,'Février'!U21,'Mars'!U21,'Avril'!U21,'Mai'!U21,'Juin'!U21,'Juillet'!U21,'Août'!U21,'Septembre'!U21,'Octobre'!U21,'Novembre'!U21,'Décembre'!U21),"")</f>
        <v/>
      </c>
      <c r="AH19" s="11">
        <f>IF(ISNUMBER(CHOOSE($Z$3,'Janvier'!V21,'Février'!V21,'Mars'!V21,'Avril'!V21,'Mai'!V21,'Juin'!V21,'Juillet'!V21,'Août'!V21,'Septembre'!V21,'Octobre'!V21,'Novembre'!V21,'Décembre'!V21)),CHOOSE($Z$3,'Janvier'!V21,'Février'!V21,'Mars'!V21,'Avril'!V21,'Mai'!V21,'Juin'!V21,'Juillet'!V21,'Août'!V21,'Septembre'!V21,'Octobre'!V21,'Novembre'!V21,'Décembre'!V21),"")</f>
        <v/>
      </c>
      <c r="AI19" s="11">
        <f>IF(ISNUMBER(CHOOSE($Z$3,'Janvier'!W21,'Février'!W21,'Mars'!W21,'Avril'!W21,'Mai'!W21,'Juin'!W21,'Juillet'!W21,'Août'!W21,'Septembre'!W21,'Octobre'!W21,'Novembre'!W21,'Décembre'!W21)),CHOOSE($Z$3,'Janvier'!W21,'Février'!W21,'Mars'!W21,'Avril'!W21,'Mai'!W21,'Juin'!W21,'Juillet'!W21,'Août'!W21,'Septembre'!W21,'Octobre'!W21,'Novembre'!W21,'Décembre'!W21),"")</f>
        <v/>
      </c>
      <c r="AJ19" s="11">
        <f>IF(Produits!$A$20="","",Produits!$D$20)</f>
        <v/>
      </c>
      <c r="AK19" s="11">
        <f>IF(ISNUMBER(CHOOSE($Z$3,'Janvier'!X21,'Février'!X21,'Mars'!X21,'Avril'!X21,'Mai'!X21,'Juin'!X21,'Juillet'!X21,'Août'!X21,'Septembre'!X21,'Octobre'!X21,'Novembre'!X21,'Décembre'!X21)),CHOOSE($Z$3,'Janvier'!X21,'Février'!X21,'Mars'!X21,'Avril'!X21,'Mai'!X21,'Juin'!X21,'Juillet'!X21,'Août'!X21,'Septembre'!X21,'Octobre'!X21,'Novembre'!X21,'Décembre'!X21),"")</f>
        <v/>
      </c>
      <c r="AL19" s="11">
        <f>IF(AND(ISNUMBER(AI19),ISNUMBER(AJ19)),IF(AI19&lt;=AJ19,1,0),0)</f>
        <v/>
      </c>
      <c r="AM19" s="11">
        <f>IF(OR(AA19="",AK19=""),-1,AK19+ROW()/1000000)</f>
        <v/>
      </c>
    </row>
    <row r="20">
      <c r="A20" s="11" t="n">
        <v>9</v>
      </c>
      <c r="B20" s="17">
        <f>IF(LARGE($AM$5:$AM$64,9)&lt;=0,"",INDEX($AA$5:$AA$64,MATCH(LARGE($AM$5:$AM$64,9),$AM$5:$AM$64,0)))</f>
        <v/>
      </c>
      <c r="D20" s="11">
        <f>IF(B20="","",INDEX($AG$5:$AG$64,MATCH(LARGE($AM$5:$AM$64,9),$AM$5:$AM$64,0)))</f>
        <v/>
      </c>
      <c r="E20" s="18">
        <f>IF(B20="","",INDEX($AK$5:$AK$64,MATCH(LARGE($AM$5:$AM$64,9),$AM$5:$AM$64,0)))</f>
        <v/>
      </c>
      <c r="AA20" s="11">
        <f>IF(Produits!$A$22="","",Produits!$A$22)</f>
        <v/>
      </c>
      <c r="AB20" s="11">
        <f>IF(ISNUMBER(CHOOSE($Z$3,'Janvier'!E23,'Février'!E23,'Mars'!E23,'Avril'!E23,'Mai'!E23,'Juin'!E23,'Juillet'!E23,'Août'!E23,'Septembre'!E23,'Octobre'!E23,'Novembre'!E23,'Décembre'!E23)),CHOOSE($Z$3,'Janvier'!E23,'Février'!E23,'Mars'!E23,'Avril'!E23,'Mai'!E23,'Juin'!E23,'Juillet'!E23,'Août'!E23,'Septembre'!E23,'Octobre'!E23,'Novembre'!E23,'Décembre'!E23),"")</f>
        <v/>
      </c>
      <c r="AC20" s="11">
        <f>IF(ISNUMBER(CHOOSE($Z$3,'Janvier'!I23,'Février'!I23,'Mars'!I23,'Avril'!I23,'Mai'!I23,'Juin'!I23,'Juillet'!I23,'Août'!I23,'Septembre'!I23,'Octobre'!I23,'Novembre'!I23,'Décembre'!I23)),CHOOSE($Z$3,'Janvier'!I23,'Février'!I23,'Mars'!I23,'Avril'!I23,'Mai'!I23,'Juin'!I23,'Juillet'!I23,'Août'!I23,'Septembre'!I23,'Octobre'!I23,'Novembre'!I23,'Décembre'!I23),"")</f>
        <v/>
      </c>
      <c r="AD20" s="11">
        <f>IF(ISNUMBER(CHOOSE($Z$3,'Janvier'!M23,'Février'!M23,'Mars'!M23,'Avril'!M23,'Mai'!M23,'Juin'!M23,'Juillet'!M23,'Août'!M23,'Septembre'!M23,'Octobre'!M23,'Novembre'!M23,'Décembre'!M23)),CHOOSE($Z$3,'Janvier'!M23,'Février'!M23,'Mars'!M23,'Avril'!M23,'Mai'!M23,'Juin'!M23,'Juillet'!M23,'Août'!M23,'Septembre'!M23,'Octobre'!M23,'Novembre'!M23,'Décembre'!M23),"")</f>
        <v/>
      </c>
      <c r="AE20" s="11">
        <f>IF(ISNUMBER(CHOOSE($Z$3,'Janvier'!Q23,'Février'!Q23,'Mars'!Q23,'Avril'!Q23,'Mai'!Q23,'Juin'!Q23,'Juillet'!Q23,'Août'!Q23,'Septembre'!Q23,'Octobre'!Q23,'Novembre'!Q23,'Décembre'!Q23)),CHOOSE($Z$3,'Janvier'!Q23,'Février'!Q23,'Mars'!Q23,'Avril'!Q23,'Mai'!Q23,'Juin'!Q23,'Juillet'!Q23,'Août'!Q23,'Septembre'!Q23,'Octobre'!Q23,'Novembre'!Q23,'Décembre'!Q23),"")</f>
        <v/>
      </c>
      <c r="AF20" s="11">
        <f>IF(ISNUMBER(CHOOSE($Z$3,'Janvier'!T23,'Février'!T23,'Mars'!T23,'Avril'!T23,'Mai'!T23,'Juin'!T23,'Juillet'!T23,'Août'!T23,'Septembre'!T23,'Octobre'!T23,'Novembre'!T23,'Décembre'!T23)),CHOOSE($Z$3,'Janvier'!T23,'Février'!T23,'Mars'!T23,'Avril'!T23,'Mai'!T23,'Juin'!T23,'Juillet'!T23,'Août'!T23,'Septembre'!T23,'Octobre'!T23,'Novembre'!T23,'Décembre'!T23),"")</f>
        <v/>
      </c>
      <c r="AG20" s="11">
        <f>IF(ISNUMBER(CHOOSE($Z$3,'Janvier'!U23,'Février'!U23,'Mars'!U23,'Avril'!U23,'Mai'!U23,'Juin'!U23,'Juillet'!U23,'Août'!U23,'Septembre'!U23,'Octobre'!U23,'Novembre'!U23,'Décembre'!U23)),CHOOSE($Z$3,'Janvier'!U23,'Février'!U23,'Mars'!U23,'Avril'!U23,'Mai'!U23,'Juin'!U23,'Juillet'!U23,'Août'!U23,'Septembre'!U23,'Octobre'!U23,'Novembre'!U23,'Décembre'!U23),"")</f>
        <v/>
      </c>
      <c r="AH20" s="11">
        <f>IF(ISNUMBER(CHOOSE($Z$3,'Janvier'!V23,'Février'!V23,'Mars'!V23,'Avril'!V23,'Mai'!V23,'Juin'!V23,'Juillet'!V23,'Août'!V23,'Septembre'!V23,'Octobre'!V23,'Novembre'!V23,'Décembre'!V23)),CHOOSE($Z$3,'Janvier'!V23,'Février'!V23,'Mars'!V23,'Avril'!V23,'Mai'!V23,'Juin'!V23,'Juillet'!V23,'Août'!V23,'Septembre'!V23,'Octobre'!V23,'Novembre'!V23,'Décembre'!V23),"")</f>
        <v/>
      </c>
      <c r="AI20" s="11">
        <f>IF(ISNUMBER(CHOOSE($Z$3,'Janvier'!W23,'Février'!W23,'Mars'!W23,'Avril'!W23,'Mai'!W23,'Juin'!W23,'Juillet'!W23,'Août'!W23,'Septembre'!W23,'Octobre'!W23,'Novembre'!W23,'Décembre'!W23)),CHOOSE($Z$3,'Janvier'!W23,'Février'!W23,'Mars'!W23,'Avril'!W23,'Mai'!W23,'Juin'!W23,'Juillet'!W23,'Août'!W23,'Septembre'!W23,'Octobre'!W23,'Novembre'!W23,'Décembre'!W23),"")</f>
        <v/>
      </c>
      <c r="AJ20" s="11">
        <f>IF(Produits!$A$22="","",Produits!$D$22)</f>
        <v/>
      </c>
      <c r="AK20" s="11">
        <f>IF(ISNUMBER(CHOOSE($Z$3,'Janvier'!X23,'Février'!X23,'Mars'!X23,'Avril'!X23,'Mai'!X23,'Juin'!X23,'Juillet'!X23,'Août'!X23,'Septembre'!X23,'Octobre'!X23,'Novembre'!X23,'Décembre'!X23)),CHOOSE($Z$3,'Janvier'!X23,'Février'!X23,'Mars'!X23,'Avril'!X23,'Mai'!X23,'Juin'!X23,'Juillet'!X23,'Août'!X23,'Septembre'!X23,'Octobre'!X23,'Novembre'!X23,'Décembre'!X23),"")</f>
        <v/>
      </c>
      <c r="AL20" s="11">
        <f>IF(AND(ISNUMBER(AI20),ISNUMBER(AJ20)),IF(AI20&lt;=AJ20,1,0),0)</f>
        <v/>
      </c>
      <c r="AM20" s="11">
        <f>IF(OR(AA20="",AK20=""),-1,AK20+ROW()/1000000)</f>
        <v/>
      </c>
    </row>
    <row r="21">
      <c r="A21" s="11" t="n">
        <v>10</v>
      </c>
      <c r="B21" s="17">
        <f>IF(LARGE($AM$5:$AM$64,10)&lt;=0,"",INDEX($AA$5:$AA$64,MATCH(LARGE($AM$5:$AM$64,10),$AM$5:$AM$64,0)))</f>
        <v/>
      </c>
      <c r="D21" s="11">
        <f>IF(B21="","",INDEX($AG$5:$AG$64,MATCH(LARGE($AM$5:$AM$64,10),$AM$5:$AM$64,0)))</f>
        <v/>
      </c>
      <c r="E21" s="18">
        <f>IF(B21="","",INDEX($AK$5:$AK$64,MATCH(LARGE($AM$5:$AM$64,10),$AM$5:$AM$64,0)))</f>
        <v/>
      </c>
      <c r="AA21" s="11">
        <f>IF(Produits!$A$23="","",Produits!$A$23)</f>
        <v/>
      </c>
      <c r="AB21" s="11">
        <f>IF(ISNUMBER(CHOOSE($Z$3,'Janvier'!E24,'Février'!E24,'Mars'!E24,'Avril'!E24,'Mai'!E24,'Juin'!E24,'Juillet'!E24,'Août'!E24,'Septembre'!E24,'Octobre'!E24,'Novembre'!E24,'Décembre'!E24)),CHOOSE($Z$3,'Janvier'!E24,'Février'!E24,'Mars'!E24,'Avril'!E24,'Mai'!E24,'Juin'!E24,'Juillet'!E24,'Août'!E24,'Septembre'!E24,'Octobre'!E24,'Novembre'!E24,'Décembre'!E24),"")</f>
        <v/>
      </c>
      <c r="AC21" s="11">
        <f>IF(ISNUMBER(CHOOSE($Z$3,'Janvier'!I24,'Février'!I24,'Mars'!I24,'Avril'!I24,'Mai'!I24,'Juin'!I24,'Juillet'!I24,'Août'!I24,'Septembre'!I24,'Octobre'!I24,'Novembre'!I24,'Décembre'!I24)),CHOOSE($Z$3,'Janvier'!I24,'Février'!I24,'Mars'!I24,'Avril'!I24,'Mai'!I24,'Juin'!I24,'Juillet'!I24,'Août'!I24,'Septembre'!I24,'Octobre'!I24,'Novembre'!I24,'Décembre'!I24),"")</f>
        <v/>
      </c>
      <c r="AD21" s="11">
        <f>IF(ISNUMBER(CHOOSE($Z$3,'Janvier'!M24,'Février'!M24,'Mars'!M24,'Avril'!M24,'Mai'!M24,'Juin'!M24,'Juillet'!M24,'Août'!M24,'Septembre'!M24,'Octobre'!M24,'Novembre'!M24,'Décembre'!M24)),CHOOSE($Z$3,'Janvier'!M24,'Février'!M24,'Mars'!M24,'Avril'!M24,'Mai'!M24,'Juin'!M24,'Juillet'!M24,'Août'!M24,'Septembre'!M24,'Octobre'!M24,'Novembre'!M24,'Décembre'!M24),"")</f>
        <v/>
      </c>
      <c r="AE21" s="11">
        <f>IF(ISNUMBER(CHOOSE($Z$3,'Janvier'!Q24,'Février'!Q24,'Mars'!Q24,'Avril'!Q24,'Mai'!Q24,'Juin'!Q24,'Juillet'!Q24,'Août'!Q24,'Septembre'!Q24,'Octobre'!Q24,'Novembre'!Q24,'Décembre'!Q24)),CHOOSE($Z$3,'Janvier'!Q24,'Février'!Q24,'Mars'!Q24,'Avril'!Q24,'Mai'!Q24,'Juin'!Q24,'Juillet'!Q24,'Août'!Q24,'Septembre'!Q24,'Octobre'!Q24,'Novembre'!Q24,'Décembre'!Q24),"")</f>
        <v/>
      </c>
      <c r="AF21" s="11">
        <f>IF(ISNUMBER(CHOOSE($Z$3,'Janvier'!T24,'Février'!T24,'Mars'!T24,'Avril'!T24,'Mai'!T24,'Juin'!T24,'Juillet'!T24,'Août'!T24,'Septembre'!T24,'Octobre'!T24,'Novembre'!T24,'Décembre'!T24)),CHOOSE($Z$3,'Janvier'!T24,'Février'!T24,'Mars'!T24,'Avril'!T24,'Mai'!T24,'Juin'!T24,'Juillet'!T24,'Août'!T24,'Septembre'!T24,'Octobre'!T24,'Novembre'!T24,'Décembre'!T24),"")</f>
        <v/>
      </c>
      <c r="AG21" s="11">
        <f>IF(ISNUMBER(CHOOSE($Z$3,'Janvier'!U24,'Février'!U24,'Mars'!U24,'Avril'!U24,'Mai'!U24,'Juin'!U24,'Juillet'!U24,'Août'!U24,'Septembre'!U24,'Octobre'!U24,'Novembre'!U24,'Décembre'!U24)),CHOOSE($Z$3,'Janvier'!U24,'Février'!U24,'Mars'!U24,'Avril'!U24,'Mai'!U24,'Juin'!U24,'Juillet'!U24,'Août'!U24,'Septembre'!U24,'Octobre'!U24,'Novembre'!U24,'Décembre'!U24),"")</f>
        <v/>
      </c>
      <c r="AH21" s="11">
        <f>IF(ISNUMBER(CHOOSE($Z$3,'Janvier'!V24,'Février'!V24,'Mars'!V24,'Avril'!V24,'Mai'!V24,'Juin'!V24,'Juillet'!V24,'Août'!V24,'Septembre'!V24,'Octobre'!V24,'Novembre'!V24,'Décembre'!V24)),CHOOSE($Z$3,'Janvier'!V24,'Février'!V24,'Mars'!V24,'Avril'!V24,'Mai'!V24,'Juin'!V24,'Juillet'!V24,'Août'!V24,'Septembre'!V24,'Octobre'!V24,'Novembre'!V24,'Décembre'!V24),"")</f>
        <v/>
      </c>
      <c r="AI21" s="11">
        <f>IF(ISNUMBER(CHOOSE($Z$3,'Janvier'!W24,'Février'!W24,'Mars'!W24,'Avril'!W24,'Mai'!W24,'Juin'!W24,'Juillet'!W24,'Août'!W24,'Septembre'!W24,'Octobre'!W24,'Novembre'!W24,'Décembre'!W24)),CHOOSE($Z$3,'Janvier'!W24,'Février'!W24,'Mars'!W24,'Avril'!W24,'Mai'!W24,'Juin'!W24,'Juillet'!W24,'Août'!W24,'Septembre'!W24,'Octobre'!W24,'Novembre'!W24,'Décembre'!W24),"")</f>
        <v/>
      </c>
      <c r="AJ21" s="11">
        <f>IF(Produits!$A$23="","",Produits!$D$23)</f>
        <v/>
      </c>
      <c r="AK21" s="11">
        <f>IF(ISNUMBER(CHOOSE($Z$3,'Janvier'!X24,'Février'!X24,'Mars'!X24,'Avril'!X24,'Mai'!X24,'Juin'!X24,'Juillet'!X24,'Août'!X24,'Septembre'!X24,'Octobre'!X24,'Novembre'!X24,'Décembre'!X24)),CHOOSE($Z$3,'Janvier'!X24,'Février'!X24,'Mars'!X24,'Avril'!X24,'Mai'!X24,'Juin'!X24,'Juillet'!X24,'Août'!X24,'Septembre'!X24,'Octobre'!X24,'Novembre'!X24,'Décembre'!X24),"")</f>
        <v/>
      </c>
      <c r="AL21" s="11">
        <f>IF(AND(ISNUMBER(AI21),ISNUMBER(AJ21)),IF(AI21&lt;=AJ21,1,0),0)</f>
        <v/>
      </c>
      <c r="AM21" s="11">
        <f>IF(OR(AA21="",AK21=""),-1,AK21+ROW()/1000000)</f>
        <v/>
      </c>
    </row>
    <row r="22">
      <c r="AA22" s="11">
        <f>IF(Produits!$A$24="","",Produits!$A$24)</f>
        <v/>
      </c>
      <c r="AB22" s="11">
        <f>IF(ISNUMBER(CHOOSE($Z$3,'Janvier'!E25,'Février'!E25,'Mars'!E25,'Avril'!E25,'Mai'!E25,'Juin'!E25,'Juillet'!E25,'Août'!E25,'Septembre'!E25,'Octobre'!E25,'Novembre'!E25,'Décembre'!E25)),CHOOSE($Z$3,'Janvier'!E25,'Février'!E25,'Mars'!E25,'Avril'!E25,'Mai'!E25,'Juin'!E25,'Juillet'!E25,'Août'!E25,'Septembre'!E25,'Octobre'!E25,'Novembre'!E25,'Décembre'!E25),"")</f>
        <v/>
      </c>
      <c r="AC22" s="11">
        <f>IF(ISNUMBER(CHOOSE($Z$3,'Janvier'!I25,'Février'!I25,'Mars'!I25,'Avril'!I25,'Mai'!I25,'Juin'!I25,'Juillet'!I25,'Août'!I25,'Septembre'!I25,'Octobre'!I25,'Novembre'!I25,'Décembre'!I25)),CHOOSE($Z$3,'Janvier'!I25,'Février'!I25,'Mars'!I25,'Avril'!I25,'Mai'!I25,'Juin'!I25,'Juillet'!I25,'Août'!I25,'Septembre'!I25,'Octobre'!I25,'Novembre'!I25,'Décembre'!I25),"")</f>
        <v/>
      </c>
      <c r="AD22" s="11">
        <f>IF(ISNUMBER(CHOOSE($Z$3,'Janvier'!M25,'Février'!M25,'Mars'!M25,'Avril'!M25,'Mai'!M25,'Juin'!M25,'Juillet'!M25,'Août'!M25,'Septembre'!M25,'Octobre'!M25,'Novembre'!M25,'Décembre'!M25)),CHOOSE($Z$3,'Janvier'!M25,'Février'!M25,'Mars'!M25,'Avril'!M25,'Mai'!M25,'Juin'!M25,'Juillet'!M25,'Août'!M25,'Septembre'!M25,'Octobre'!M25,'Novembre'!M25,'Décembre'!M25),"")</f>
        <v/>
      </c>
      <c r="AE22" s="11">
        <f>IF(ISNUMBER(CHOOSE($Z$3,'Janvier'!Q25,'Février'!Q25,'Mars'!Q25,'Avril'!Q25,'Mai'!Q25,'Juin'!Q25,'Juillet'!Q25,'Août'!Q25,'Septembre'!Q25,'Octobre'!Q25,'Novembre'!Q25,'Décembre'!Q25)),CHOOSE($Z$3,'Janvier'!Q25,'Février'!Q25,'Mars'!Q25,'Avril'!Q25,'Mai'!Q25,'Juin'!Q25,'Juillet'!Q25,'Août'!Q25,'Septembre'!Q25,'Octobre'!Q25,'Novembre'!Q25,'Décembre'!Q25),"")</f>
        <v/>
      </c>
      <c r="AF22" s="11">
        <f>IF(ISNUMBER(CHOOSE($Z$3,'Janvier'!T25,'Février'!T25,'Mars'!T25,'Avril'!T25,'Mai'!T25,'Juin'!T25,'Juillet'!T25,'Août'!T25,'Septembre'!T25,'Octobre'!T25,'Novembre'!T25,'Décembre'!T25)),CHOOSE($Z$3,'Janvier'!T25,'Février'!T25,'Mars'!T25,'Avril'!T25,'Mai'!T25,'Juin'!T25,'Juillet'!T25,'Août'!T25,'Septembre'!T25,'Octobre'!T25,'Novembre'!T25,'Décembre'!T25),"")</f>
        <v/>
      </c>
      <c r="AG22" s="11">
        <f>IF(ISNUMBER(CHOOSE($Z$3,'Janvier'!U25,'Février'!U25,'Mars'!U25,'Avril'!U25,'Mai'!U25,'Juin'!U25,'Juillet'!U25,'Août'!U25,'Septembre'!U25,'Octobre'!U25,'Novembre'!U25,'Décembre'!U25)),CHOOSE($Z$3,'Janvier'!U25,'Février'!U25,'Mars'!U25,'Avril'!U25,'Mai'!U25,'Juin'!U25,'Juillet'!U25,'Août'!U25,'Septembre'!U25,'Octobre'!U25,'Novembre'!U25,'Décembre'!U25),"")</f>
        <v/>
      </c>
      <c r="AH22" s="11">
        <f>IF(ISNUMBER(CHOOSE($Z$3,'Janvier'!V25,'Février'!V25,'Mars'!V25,'Avril'!V25,'Mai'!V25,'Juin'!V25,'Juillet'!V25,'Août'!V25,'Septembre'!V25,'Octobre'!V25,'Novembre'!V25,'Décembre'!V25)),CHOOSE($Z$3,'Janvier'!V25,'Février'!V25,'Mars'!V25,'Avril'!V25,'Mai'!V25,'Juin'!V25,'Juillet'!V25,'Août'!V25,'Septembre'!V25,'Octobre'!V25,'Novembre'!V25,'Décembre'!V25),"")</f>
        <v/>
      </c>
      <c r="AI22" s="11">
        <f>IF(ISNUMBER(CHOOSE($Z$3,'Janvier'!W25,'Février'!W25,'Mars'!W25,'Avril'!W25,'Mai'!W25,'Juin'!W25,'Juillet'!W25,'Août'!W25,'Septembre'!W25,'Octobre'!W25,'Novembre'!W25,'Décembre'!W25)),CHOOSE($Z$3,'Janvier'!W25,'Février'!W25,'Mars'!W25,'Avril'!W25,'Mai'!W25,'Juin'!W25,'Juillet'!W25,'Août'!W25,'Septembre'!W25,'Octobre'!W25,'Novembre'!W25,'Décembre'!W25),"")</f>
        <v/>
      </c>
      <c r="AJ22" s="11">
        <f>IF(Produits!$A$24="","",Produits!$D$24)</f>
        <v/>
      </c>
      <c r="AK22" s="11">
        <f>IF(ISNUMBER(CHOOSE($Z$3,'Janvier'!X25,'Février'!X25,'Mars'!X25,'Avril'!X25,'Mai'!X25,'Juin'!X25,'Juillet'!X25,'Août'!X25,'Septembre'!X25,'Octobre'!X25,'Novembre'!X25,'Décembre'!X25)),CHOOSE($Z$3,'Janvier'!X25,'Février'!X25,'Mars'!X25,'Avril'!X25,'Mai'!X25,'Juin'!X25,'Juillet'!X25,'Août'!X25,'Septembre'!X25,'Octobre'!X25,'Novembre'!X25,'Décembre'!X25),"")</f>
        <v/>
      </c>
      <c r="AL22" s="11">
        <f>IF(AND(ISNUMBER(AI22),ISNUMBER(AJ22)),IF(AI22&lt;=AJ22,1,0),0)</f>
        <v/>
      </c>
      <c r="AM22" s="11">
        <f>IF(OR(AA22="",AK22=""),-1,AK22+ROW()/1000000)</f>
        <v/>
      </c>
    </row>
    <row r="23">
      <c r="AA23" s="11">
        <f>IF(Produits!$A$25="","",Produits!$A$25)</f>
        <v/>
      </c>
      <c r="AB23" s="11">
        <f>IF(ISNUMBER(CHOOSE($Z$3,'Janvier'!E26,'Février'!E26,'Mars'!E26,'Avril'!E26,'Mai'!E26,'Juin'!E26,'Juillet'!E26,'Août'!E26,'Septembre'!E26,'Octobre'!E26,'Novembre'!E26,'Décembre'!E26)),CHOOSE($Z$3,'Janvier'!E26,'Février'!E26,'Mars'!E26,'Avril'!E26,'Mai'!E26,'Juin'!E26,'Juillet'!E26,'Août'!E26,'Septembre'!E26,'Octobre'!E26,'Novembre'!E26,'Décembre'!E26),"")</f>
        <v/>
      </c>
      <c r="AC23" s="11">
        <f>IF(ISNUMBER(CHOOSE($Z$3,'Janvier'!I26,'Février'!I26,'Mars'!I26,'Avril'!I26,'Mai'!I26,'Juin'!I26,'Juillet'!I26,'Août'!I26,'Septembre'!I26,'Octobre'!I26,'Novembre'!I26,'Décembre'!I26)),CHOOSE($Z$3,'Janvier'!I26,'Février'!I26,'Mars'!I26,'Avril'!I26,'Mai'!I26,'Juin'!I26,'Juillet'!I26,'Août'!I26,'Septembre'!I26,'Octobre'!I26,'Novembre'!I26,'Décembre'!I26),"")</f>
        <v/>
      </c>
      <c r="AD23" s="11">
        <f>IF(ISNUMBER(CHOOSE($Z$3,'Janvier'!M26,'Février'!M26,'Mars'!M26,'Avril'!M26,'Mai'!M26,'Juin'!M26,'Juillet'!M26,'Août'!M26,'Septembre'!M26,'Octobre'!M26,'Novembre'!M26,'Décembre'!M26)),CHOOSE($Z$3,'Janvier'!M26,'Février'!M26,'Mars'!M26,'Avril'!M26,'Mai'!M26,'Juin'!M26,'Juillet'!M26,'Août'!M26,'Septembre'!M26,'Octobre'!M26,'Novembre'!M26,'Décembre'!M26),"")</f>
        <v/>
      </c>
      <c r="AE23" s="11">
        <f>IF(ISNUMBER(CHOOSE($Z$3,'Janvier'!Q26,'Février'!Q26,'Mars'!Q26,'Avril'!Q26,'Mai'!Q26,'Juin'!Q26,'Juillet'!Q26,'Août'!Q26,'Septembre'!Q26,'Octobre'!Q26,'Novembre'!Q26,'Décembre'!Q26)),CHOOSE($Z$3,'Janvier'!Q26,'Février'!Q26,'Mars'!Q26,'Avril'!Q26,'Mai'!Q26,'Juin'!Q26,'Juillet'!Q26,'Août'!Q26,'Septembre'!Q26,'Octobre'!Q26,'Novembre'!Q26,'Décembre'!Q26),"")</f>
        <v/>
      </c>
      <c r="AF23" s="11">
        <f>IF(ISNUMBER(CHOOSE($Z$3,'Janvier'!T26,'Février'!T26,'Mars'!T26,'Avril'!T26,'Mai'!T26,'Juin'!T26,'Juillet'!T26,'Août'!T26,'Septembre'!T26,'Octobre'!T26,'Novembre'!T26,'Décembre'!T26)),CHOOSE($Z$3,'Janvier'!T26,'Février'!T26,'Mars'!T26,'Avril'!T26,'Mai'!T26,'Juin'!T26,'Juillet'!T26,'Août'!T26,'Septembre'!T26,'Octobre'!T26,'Novembre'!T26,'Décembre'!T26),"")</f>
        <v/>
      </c>
      <c r="AG23" s="11">
        <f>IF(ISNUMBER(CHOOSE($Z$3,'Janvier'!U26,'Février'!U26,'Mars'!U26,'Avril'!U26,'Mai'!U26,'Juin'!U26,'Juillet'!U26,'Août'!U26,'Septembre'!U26,'Octobre'!U26,'Novembre'!U26,'Décembre'!U26)),CHOOSE($Z$3,'Janvier'!U26,'Février'!U26,'Mars'!U26,'Avril'!U26,'Mai'!U26,'Juin'!U26,'Juillet'!U26,'Août'!U26,'Septembre'!U26,'Octobre'!U26,'Novembre'!U26,'Décembre'!U26),"")</f>
        <v/>
      </c>
      <c r="AH23" s="11">
        <f>IF(ISNUMBER(CHOOSE($Z$3,'Janvier'!V26,'Février'!V26,'Mars'!V26,'Avril'!V26,'Mai'!V26,'Juin'!V26,'Juillet'!V26,'Août'!V26,'Septembre'!V26,'Octobre'!V26,'Novembre'!V26,'Décembre'!V26)),CHOOSE($Z$3,'Janvier'!V26,'Février'!V26,'Mars'!V26,'Avril'!V26,'Mai'!V26,'Juin'!V26,'Juillet'!V26,'Août'!V26,'Septembre'!V26,'Octobre'!V26,'Novembre'!V26,'Décembre'!V26),"")</f>
        <v/>
      </c>
      <c r="AI23" s="11">
        <f>IF(ISNUMBER(CHOOSE($Z$3,'Janvier'!W26,'Février'!W26,'Mars'!W26,'Avril'!W26,'Mai'!W26,'Juin'!W26,'Juillet'!W26,'Août'!W26,'Septembre'!W26,'Octobre'!W26,'Novembre'!W26,'Décembre'!W26)),CHOOSE($Z$3,'Janvier'!W26,'Février'!W26,'Mars'!W26,'Avril'!W26,'Mai'!W26,'Juin'!W26,'Juillet'!W26,'Août'!W26,'Septembre'!W26,'Octobre'!W26,'Novembre'!W26,'Décembre'!W26),"")</f>
        <v/>
      </c>
      <c r="AJ23" s="11">
        <f>IF(Produits!$A$25="","",Produits!$D$25)</f>
        <v/>
      </c>
      <c r="AK23" s="11">
        <f>IF(ISNUMBER(CHOOSE($Z$3,'Janvier'!X26,'Février'!X26,'Mars'!X26,'Avril'!X26,'Mai'!X26,'Juin'!X26,'Juillet'!X26,'Août'!X26,'Septembre'!X26,'Octobre'!X26,'Novembre'!X26,'Décembre'!X26)),CHOOSE($Z$3,'Janvier'!X26,'Février'!X26,'Mars'!X26,'Avril'!X26,'Mai'!X26,'Juin'!X26,'Juillet'!X26,'Août'!X26,'Septembre'!X26,'Octobre'!X26,'Novembre'!X26,'Décembre'!X26),"")</f>
        <v/>
      </c>
      <c r="AL23" s="11">
        <f>IF(AND(ISNUMBER(AI23),ISNUMBER(AJ23)),IF(AI23&lt;=AJ23,1,0),0)</f>
        <v/>
      </c>
      <c r="AM23" s="11">
        <f>IF(OR(AA23="",AK23=""),-1,AK23+ROW()/1000000)</f>
        <v/>
      </c>
    </row>
    <row r="24">
      <c r="A24" s="14" t="inlineStr">
        <is>
          <t>Tendance du stock et alertes</t>
        </is>
      </c>
      <c r="AA24" s="11">
        <f>IF(Produits!$A$26="","",Produits!$A$26)</f>
        <v/>
      </c>
      <c r="AB24" s="11">
        <f>IF(ISNUMBER(CHOOSE($Z$3,'Janvier'!E27,'Février'!E27,'Mars'!E27,'Avril'!E27,'Mai'!E27,'Juin'!E27,'Juillet'!E27,'Août'!E27,'Septembre'!E27,'Octobre'!E27,'Novembre'!E27,'Décembre'!E27)),CHOOSE($Z$3,'Janvier'!E27,'Février'!E27,'Mars'!E27,'Avril'!E27,'Mai'!E27,'Juin'!E27,'Juillet'!E27,'Août'!E27,'Septembre'!E27,'Octobre'!E27,'Novembre'!E27,'Décembre'!E27),"")</f>
        <v/>
      </c>
      <c r="AC24" s="11">
        <f>IF(ISNUMBER(CHOOSE($Z$3,'Janvier'!I27,'Février'!I27,'Mars'!I27,'Avril'!I27,'Mai'!I27,'Juin'!I27,'Juillet'!I27,'Août'!I27,'Septembre'!I27,'Octobre'!I27,'Novembre'!I27,'Décembre'!I27)),CHOOSE($Z$3,'Janvier'!I27,'Février'!I27,'Mars'!I27,'Avril'!I27,'Mai'!I27,'Juin'!I27,'Juillet'!I27,'Août'!I27,'Septembre'!I27,'Octobre'!I27,'Novembre'!I27,'Décembre'!I27),"")</f>
        <v/>
      </c>
      <c r="AD24" s="11">
        <f>IF(ISNUMBER(CHOOSE($Z$3,'Janvier'!M27,'Février'!M27,'Mars'!M27,'Avril'!M27,'Mai'!M27,'Juin'!M27,'Juillet'!M27,'Août'!M27,'Septembre'!M27,'Octobre'!M27,'Novembre'!M27,'Décembre'!M27)),CHOOSE($Z$3,'Janvier'!M27,'Février'!M27,'Mars'!M27,'Avril'!M27,'Mai'!M27,'Juin'!M27,'Juillet'!M27,'Août'!M27,'Septembre'!M27,'Octobre'!M27,'Novembre'!M27,'Décembre'!M27),"")</f>
        <v/>
      </c>
      <c r="AE24" s="11">
        <f>IF(ISNUMBER(CHOOSE($Z$3,'Janvier'!Q27,'Février'!Q27,'Mars'!Q27,'Avril'!Q27,'Mai'!Q27,'Juin'!Q27,'Juillet'!Q27,'Août'!Q27,'Septembre'!Q27,'Octobre'!Q27,'Novembre'!Q27,'Décembre'!Q27)),CHOOSE($Z$3,'Janvier'!Q27,'Février'!Q27,'Mars'!Q27,'Avril'!Q27,'Mai'!Q27,'Juin'!Q27,'Juillet'!Q27,'Août'!Q27,'Septembre'!Q27,'Octobre'!Q27,'Novembre'!Q27,'Décembre'!Q27),"")</f>
        <v/>
      </c>
      <c r="AF24" s="11">
        <f>IF(ISNUMBER(CHOOSE($Z$3,'Janvier'!T27,'Février'!T27,'Mars'!T27,'Avril'!T27,'Mai'!T27,'Juin'!T27,'Juillet'!T27,'Août'!T27,'Septembre'!T27,'Octobre'!T27,'Novembre'!T27,'Décembre'!T27)),CHOOSE($Z$3,'Janvier'!T27,'Février'!T27,'Mars'!T27,'Avril'!T27,'Mai'!T27,'Juin'!T27,'Juillet'!T27,'Août'!T27,'Septembre'!T27,'Octobre'!T27,'Novembre'!T27,'Décembre'!T27),"")</f>
        <v/>
      </c>
      <c r="AG24" s="11">
        <f>IF(ISNUMBER(CHOOSE($Z$3,'Janvier'!U27,'Février'!U27,'Mars'!U27,'Avril'!U27,'Mai'!U27,'Juin'!U27,'Juillet'!U27,'Août'!U27,'Septembre'!U27,'Octobre'!U27,'Novembre'!U27,'Décembre'!U27)),CHOOSE($Z$3,'Janvier'!U27,'Février'!U27,'Mars'!U27,'Avril'!U27,'Mai'!U27,'Juin'!U27,'Juillet'!U27,'Août'!U27,'Septembre'!U27,'Octobre'!U27,'Novembre'!U27,'Décembre'!U27),"")</f>
        <v/>
      </c>
      <c r="AH24" s="11">
        <f>IF(ISNUMBER(CHOOSE($Z$3,'Janvier'!V27,'Février'!V27,'Mars'!V27,'Avril'!V27,'Mai'!V27,'Juin'!V27,'Juillet'!V27,'Août'!V27,'Septembre'!V27,'Octobre'!V27,'Novembre'!V27,'Décembre'!V27)),CHOOSE($Z$3,'Janvier'!V27,'Février'!V27,'Mars'!V27,'Avril'!V27,'Mai'!V27,'Juin'!V27,'Juillet'!V27,'Août'!V27,'Septembre'!V27,'Octobre'!V27,'Novembre'!V27,'Décembre'!V27),"")</f>
        <v/>
      </c>
      <c r="AI24" s="11">
        <f>IF(ISNUMBER(CHOOSE($Z$3,'Janvier'!W27,'Février'!W27,'Mars'!W27,'Avril'!W27,'Mai'!W27,'Juin'!W27,'Juillet'!W27,'Août'!W27,'Septembre'!W27,'Octobre'!W27,'Novembre'!W27,'Décembre'!W27)),CHOOSE($Z$3,'Janvier'!W27,'Février'!W27,'Mars'!W27,'Avril'!W27,'Mai'!W27,'Juin'!W27,'Juillet'!W27,'Août'!W27,'Septembre'!W27,'Octobre'!W27,'Novembre'!W27,'Décembre'!W27),"")</f>
        <v/>
      </c>
      <c r="AJ24" s="11">
        <f>IF(Produits!$A$26="","",Produits!$D$26)</f>
        <v/>
      </c>
      <c r="AK24" s="11">
        <f>IF(ISNUMBER(CHOOSE($Z$3,'Janvier'!X27,'Février'!X27,'Mars'!X27,'Avril'!X27,'Mai'!X27,'Juin'!X27,'Juillet'!X27,'Août'!X27,'Septembre'!X27,'Octobre'!X27,'Novembre'!X27,'Décembre'!X27)),CHOOSE($Z$3,'Janvier'!X27,'Février'!X27,'Mars'!X27,'Avril'!X27,'Mai'!X27,'Juin'!X27,'Juillet'!X27,'Août'!X27,'Septembre'!X27,'Octobre'!X27,'Novembre'!X27,'Décembre'!X27),"")</f>
        <v/>
      </c>
      <c r="AL24" s="11">
        <f>IF(AND(ISNUMBER(AI24),ISNUMBER(AJ24)),IF(AI24&lt;=AJ24,1,0),0)</f>
        <v/>
      </c>
      <c r="AM24" s="11">
        <f>IF(OR(AA24="",AK24=""),-1,AK24+ROW()/1000000)</f>
        <v/>
      </c>
    </row>
    <row r="25">
      <c r="A25" s="15" t="inlineStr">
        <is>
          <t>Produit</t>
        </is>
      </c>
      <c r="B25" s="19" t="n"/>
      <c r="C25" s="15" t="inlineStr">
        <is>
          <t>S1</t>
        </is>
      </c>
      <c r="D25" s="15" t="inlineStr">
        <is>
          <t>S2</t>
        </is>
      </c>
      <c r="E25" s="15" t="inlineStr">
        <is>
          <t>S3</t>
        </is>
      </c>
      <c r="F25" s="15" t="inlineStr">
        <is>
          <t>S4</t>
        </is>
      </c>
      <c r="G25" s="15" t="inlineStr">
        <is>
          <t>Évol.</t>
        </is>
      </c>
      <c r="H25" s="15" t="inlineStr">
        <is>
          <t>Dernier stock</t>
        </is>
      </c>
      <c r="I25" s="15" t="inlineStr">
        <is>
          <t>Mini</t>
        </is>
      </c>
      <c r="J25" s="15" t="inlineStr">
        <is>
          <t>Alerte</t>
        </is>
      </c>
      <c r="K25" s="19" t="n"/>
      <c r="AA25" s="11">
        <f>IF(Produits!$A$27="","",Produits!$A$27)</f>
        <v/>
      </c>
      <c r="AB25" s="11">
        <f>IF(ISNUMBER(CHOOSE($Z$3,'Janvier'!E28,'Février'!E28,'Mars'!E28,'Avril'!E28,'Mai'!E28,'Juin'!E28,'Juillet'!E28,'Août'!E28,'Septembre'!E28,'Octobre'!E28,'Novembre'!E28,'Décembre'!E28)),CHOOSE($Z$3,'Janvier'!E28,'Février'!E28,'Mars'!E28,'Avril'!E28,'Mai'!E28,'Juin'!E28,'Juillet'!E28,'Août'!E28,'Septembre'!E28,'Octobre'!E28,'Novembre'!E28,'Décembre'!E28),"")</f>
        <v/>
      </c>
      <c r="AC25" s="11">
        <f>IF(ISNUMBER(CHOOSE($Z$3,'Janvier'!I28,'Février'!I28,'Mars'!I28,'Avril'!I28,'Mai'!I28,'Juin'!I28,'Juillet'!I28,'Août'!I28,'Septembre'!I28,'Octobre'!I28,'Novembre'!I28,'Décembre'!I28)),CHOOSE($Z$3,'Janvier'!I28,'Février'!I28,'Mars'!I28,'Avril'!I28,'Mai'!I28,'Juin'!I28,'Juillet'!I28,'Août'!I28,'Septembre'!I28,'Octobre'!I28,'Novembre'!I28,'Décembre'!I28),"")</f>
        <v/>
      </c>
      <c r="AD25" s="11">
        <f>IF(ISNUMBER(CHOOSE($Z$3,'Janvier'!M28,'Février'!M28,'Mars'!M28,'Avril'!M28,'Mai'!M28,'Juin'!M28,'Juillet'!M28,'Août'!M28,'Septembre'!M28,'Octobre'!M28,'Novembre'!M28,'Décembre'!M28)),CHOOSE($Z$3,'Janvier'!M28,'Février'!M28,'Mars'!M28,'Avril'!M28,'Mai'!M28,'Juin'!M28,'Juillet'!M28,'Août'!M28,'Septembre'!M28,'Octobre'!M28,'Novembre'!M28,'Décembre'!M28),"")</f>
        <v/>
      </c>
      <c r="AE25" s="11">
        <f>IF(ISNUMBER(CHOOSE($Z$3,'Janvier'!Q28,'Février'!Q28,'Mars'!Q28,'Avril'!Q28,'Mai'!Q28,'Juin'!Q28,'Juillet'!Q28,'Août'!Q28,'Septembre'!Q28,'Octobre'!Q28,'Novembre'!Q28,'Décembre'!Q28)),CHOOSE($Z$3,'Janvier'!Q28,'Février'!Q28,'Mars'!Q28,'Avril'!Q28,'Mai'!Q28,'Juin'!Q28,'Juillet'!Q28,'Août'!Q28,'Septembre'!Q28,'Octobre'!Q28,'Novembre'!Q28,'Décembre'!Q28),"")</f>
        <v/>
      </c>
      <c r="AF25" s="11">
        <f>IF(ISNUMBER(CHOOSE($Z$3,'Janvier'!T28,'Février'!T28,'Mars'!T28,'Avril'!T28,'Mai'!T28,'Juin'!T28,'Juillet'!T28,'Août'!T28,'Septembre'!T28,'Octobre'!T28,'Novembre'!T28,'Décembre'!T28)),CHOOSE($Z$3,'Janvier'!T28,'Février'!T28,'Mars'!T28,'Avril'!T28,'Mai'!T28,'Juin'!T28,'Juillet'!T28,'Août'!T28,'Septembre'!T28,'Octobre'!T28,'Novembre'!T28,'Décembre'!T28),"")</f>
        <v/>
      </c>
      <c r="AG25" s="11">
        <f>IF(ISNUMBER(CHOOSE($Z$3,'Janvier'!U28,'Février'!U28,'Mars'!U28,'Avril'!U28,'Mai'!U28,'Juin'!U28,'Juillet'!U28,'Août'!U28,'Septembre'!U28,'Octobre'!U28,'Novembre'!U28,'Décembre'!U28)),CHOOSE($Z$3,'Janvier'!U28,'Février'!U28,'Mars'!U28,'Avril'!U28,'Mai'!U28,'Juin'!U28,'Juillet'!U28,'Août'!U28,'Septembre'!U28,'Octobre'!U28,'Novembre'!U28,'Décembre'!U28),"")</f>
        <v/>
      </c>
      <c r="AH25" s="11">
        <f>IF(ISNUMBER(CHOOSE($Z$3,'Janvier'!V28,'Février'!V28,'Mars'!V28,'Avril'!V28,'Mai'!V28,'Juin'!V28,'Juillet'!V28,'Août'!V28,'Septembre'!V28,'Octobre'!V28,'Novembre'!V28,'Décembre'!V28)),CHOOSE($Z$3,'Janvier'!V28,'Février'!V28,'Mars'!V28,'Avril'!V28,'Mai'!V28,'Juin'!V28,'Juillet'!V28,'Août'!V28,'Septembre'!V28,'Octobre'!V28,'Novembre'!V28,'Décembre'!V28),"")</f>
        <v/>
      </c>
      <c r="AI25" s="11">
        <f>IF(ISNUMBER(CHOOSE($Z$3,'Janvier'!W28,'Février'!W28,'Mars'!W28,'Avril'!W28,'Mai'!W28,'Juin'!W28,'Juillet'!W28,'Août'!W28,'Septembre'!W28,'Octobre'!W28,'Novembre'!W28,'Décembre'!W28)),CHOOSE($Z$3,'Janvier'!W28,'Février'!W28,'Mars'!W28,'Avril'!W28,'Mai'!W28,'Juin'!W28,'Juillet'!W28,'Août'!W28,'Septembre'!W28,'Octobre'!W28,'Novembre'!W28,'Décembre'!W28),"")</f>
        <v/>
      </c>
      <c r="AJ25" s="11">
        <f>IF(Produits!$A$27="","",Produits!$D$27)</f>
        <v/>
      </c>
      <c r="AK25" s="11">
        <f>IF(ISNUMBER(CHOOSE($Z$3,'Janvier'!X28,'Février'!X28,'Mars'!X28,'Avril'!X28,'Mai'!X28,'Juin'!X28,'Juillet'!X28,'Août'!X28,'Septembre'!X28,'Octobre'!X28,'Novembre'!X28,'Décembre'!X28)),CHOOSE($Z$3,'Janvier'!X28,'Février'!X28,'Mars'!X28,'Avril'!X28,'Mai'!X28,'Juin'!X28,'Juillet'!X28,'Août'!X28,'Septembre'!X28,'Octobre'!X28,'Novembre'!X28,'Décembre'!X28),"")</f>
        <v/>
      </c>
      <c r="AL25" s="11">
        <f>IF(AND(ISNUMBER(AI25),ISNUMBER(AJ25)),IF(AI25&lt;=AJ25,1,0),0)</f>
        <v/>
      </c>
      <c r="AM25" s="11">
        <f>IF(OR(AA25="",AK25=""),-1,AK25+ROW()/1000000)</f>
        <v/>
      </c>
    </row>
    <row r="26">
      <c r="A26" s="20">
        <f>AA5</f>
        <v/>
      </c>
      <c r="C26" s="21">
        <f>IF(OR(AB5="",MAX(AB5,AC5,AD5,AE5)=0),"",REPT("█",MAX(1,ROUND(AB5/MAX(AB5,AC5,AD5,AE5)*6,0))))</f>
        <v/>
      </c>
      <c r="D26" s="21">
        <f>IF(OR(AC5="",MAX(AB5,AC5,AD5,AE5)=0),"",REPT("█",MAX(1,ROUND(AC5/MAX(AB5,AC5,AD5,AE5)*6,0))))</f>
        <v/>
      </c>
      <c r="E26" s="21">
        <f>IF(OR(AD5="",MAX(AB5,AC5,AD5,AE5)=0),"",REPT("█",MAX(1,ROUND(AD5/MAX(AB5,AC5,AD5,AE5)*6,0))))</f>
        <v/>
      </c>
      <c r="F26" s="21">
        <f>IF(OR(AE5="",MAX(AB5,AC5,AD5,AE5)=0),"",REPT("█",MAX(1,ROUND(AE5/MAX(AB5,AC5,AD5,AE5)*6,0))))</f>
        <v/>
      </c>
      <c r="G26" s="22">
        <f>IF(COUNT(AB5,AC5,AD5,AE5)&lt;2,"",IF(IF(AE5&lt;&gt;"",AE5,IF(AD5&lt;&gt;"",AD5,IF(AC5&lt;&gt;"",AC5,IF(AB5&lt;&gt;"",AB5,""))))&gt;IF(AB5&lt;&gt;"",AB5,IF(AC5&lt;&gt;"",AC5,IF(AD5&lt;&gt;"",AD5,AE5))),"▲",IF(IF(AE5&lt;&gt;"",AE5,IF(AD5&lt;&gt;"",AD5,IF(AC5&lt;&gt;"",AC5,IF(AB5&lt;&gt;"",AB5,""))))&lt;IF(AB5&lt;&gt;"",AB5,IF(AC5&lt;&gt;"",AC5,IF(AD5&lt;&gt;"",AD5,AE5))),"▼","=")))</f>
        <v/>
      </c>
      <c r="H26" s="22">
        <f>AI5</f>
        <v/>
      </c>
      <c r="I26" s="11">
        <f>AJ5</f>
        <v/>
      </c>
      <c r="J26" s="22">
        <f>IF(AL5=1,"À COMMANDER",IF(AA5="","",""))</f>
        <v/>
      </c>
      <c r="AA26" s="11">
        <f>IF(Produits!$A$28="","",Produits!$A$28)</f>
        <v/>
      </c>
      <c r="AB26" s="11">
        <f>IF(ISNUMBER(CHOOSE($Z$3,'Janvier'!E29,'Février'!E29,'Mars'!E29,'Avril'!E29,'Mai'!E29,'Juin'!E29,'Juillet'!E29,'Août'!E29,'Septembre'!E29,'Octobre'!E29,'Novembre'!E29,'Décembre'!E29)),CHOOSE($Z$3,'Janvier'!E29,'Février'!E29,'Mars'!E29,'Avril'!E29,'Mai'!E29,'Juin'!E29,'Juillet'!E29,'Août'!E29,'Septembre'!E29,'Octobre'!E29,'Novembre'!E29,'Décembre'!E29),"")</f>
        <v/>
      </c>
      <c r="AC26" s="11">
        <f>IF(ISNUMBER(CHOOSE($Z$3,'Janvier'!I29,'Février'!I29,'Mars'!I29,'Avril'!I29,'Mai'!I29,'Juin'!I29,'Juillet'!I29,'Août'!I29,'Septembre'!I29,'Octobre'!I29,'Novembre'!I29,'Décembre'!I29)),CHOOSE($Z$3,'Janvier'!I29,'Février'!I29,'Mars'!I29,'Avril'!I29,'Mai'!I29,'Juin'!I29,'Juillet'!I29,'Août'!I29,'Septembre'!I29,'Octobre'!I29,'Novembre'!I29,'Décembre'!I29),"")</f>
        <v/>
      </c>
      <c r="AD26" s="11">
        <f>IF(ISNUMBER(CHOOSE($Z$3,'Janvier'!M29,'Février'!M29,'Mars'!M29,'Avril'!M29,'Mai'!M29,'Juin'!M29,'Juillet'!M29,'Août'!M29,'Septembre'!M29,'Octobre'!M29,'Novembre'!M29,'Décembre'!M29)),CHOOSE($Z$3,'Janvier'!M29,'Février'!M29,'Mars'!M29,'Avril'!M29,'Mai'!M29,'Juin'!M29,'Juillet'!M29,'Août'!M29,'Septembre'!M29,'Octobre'!M29,'Novembre'!M29,'Décembre'!M29),"")</f>
        <v/>
      </c>
      <c r="AE26" s="11">
        <f>IF(ISNUMBER(CHOOSE($Z$3,'Janvier'!Q29,'Février'!Q29,'Mars'!Q29,'Avril'!Q29,'Mai'!Q29,'Juin'!Q29,'Juillet'!Q29,'Août'!Q29,'Septembre'!Q29,'Octobre'!Q29,'Novembre'!Q29,'Décembre'!Q29)),CHOOSE($Z$3,'Janvier'!Q29,'Février'!Q29,'Mars'!Q29,'Avril'!Q29,'Mai'!Q29,'Juin'!Q29,'Juillet'!Q29,'Août'!Q29,'Septembre'!Q29,'Octobre'!Q29,'Novembre'!Q29,'Décembre'!Q29),"")</f>
        <v/>
      </c>
      <c r="AF26" s="11">
        <f>IF(ISNUMBER(CHOOSE($Z$3,'Janvier'!T29,'Février'!T29,'Mars'!T29,'Avril'!T29,'Mai'!T29,'Juin'!T29,'Juillet'!T29,'Août'!T29,'Septembre'!T29,'Octobre'!T29,'Novembre'!T29,'Décembre'!T29)),CHOOSE($Z$3,'Janvier'!T29,'Février'!T29,'Mars'!T29,'Avril'!T29,'Mai'!T29,'Juin'!T29,'Juillet'!T29,'Août'!T29,'Septembre'!T29,'Octobre'!T29,'Novembre'!T29,'Décembre'!T29),"")</f>
        <v/>
      </c>
      <c r="AG26" s="11">
        <f>IF(ISNUMBER(CHOOSE($Z$3,'Janvier'!U29,'Février'!U29,'Mars'!U29,'Avril'!U29,'Mai'!U29,'Juin'!U29,'Juillet'!U29,'Août'!U29,'Septembre'!U29,'Octobre'!U29,'Novembre'!U29,'Décembre'!U29)),CHOOSE($Z$3,'Janvier'!U29,'Février'!U29,'Mars'!U29,'Avril'!U29,'Mai'!U29,'Juin'!U29,'Juillet'!U29,'Août'!U29,'Septembre'!U29,'Octobre'!U29,'Novembre'!U29,'Décembre'!U29),"")</f>
        <v/>
      </c>
      <c r="AH26" s="11">
        <f>IF(ISNUMBER(CHOOSE($Z$3,'Janvier'!V29,'Février'!V29,'Mars'!V29,'Avril'!V29,'Mai'!V29,'Juin'!V29,'Juillet'!V29,'Août'!V29,'Septembre'!V29,'Octobre'!V29,'Novembre'!V29,'Décembre'!V29)),CHOOSE($Z$3,'Janvier'!V29,'Février'!V29,'Mars'!V29,'Avril'!V29,'Mai'!V29,'Juin'!V29,'Juillet'!V29,'Août'!V29,'Septembre'!V29,'Octobre'!V29,'Novembre'!V29,'Décembre'!V29),"")</f>
        <v/>
      </c>
      <c r="AI26" s="11">
        <f>IF(ISNUMBER(CHOOSE($Z$3,'Janvier'!W29,'Février'!W29,'Mars'!W29,'Avril'!W29,'Mai'!W29,'Juin'!W29,'Juillet'!W29,'Août'!W29,'Septembre'!W29,'Octobre'!W29,'Novembre'!W29,'Décembre'!W29)),CHOOSE($Z$3,'Janvier'!W29,'Février'!W29,'Mars'!W29,'Avril'!W29,'Mai'!W29,'Juin'!W29,'Juillet'!W29,'Août'!W29,'Septembre'!W29,'Octobre'!W29,'Novembre'!W29,'Décembre'!W29),"")</f>
        <v/>
      </c>
      <c r="AJ26" s="11">
        <f>IF(Produits!$A$28="","",Produits!$D$28)</f>
        <v/>
      </c>
      <c r="AK26" s="11">
        <f>IF(ISNUMBER(CHOOSE($Z$3,'Janvier'!X29,'Février'!X29,'Mars'!X29,'Avril'!X29,'Mai'!X29,'Juin'!X29,'Juillet'!X29,'Août'!X29,'Septembre'!X29,'Octobre'!X29,'Novembre'!X29,'Décembre'!X29)),CHOOSE($Z$3,'Janvier'!X29,'Février'!X29,'Mars'!X29,'Avril'!X29,'Mai'!X29,'Juin'!X29,'Juillet'!X29,'Août'!X29,'Septembre'!X29,'Octobre'!X29,'Novembre'!X29,'Décembre'!X29),"")</f>
        <v/>
      </c>
      <c r="AL26" s="11">
        <f>IF(AND(ISNUMBER(AI26),ISNUMBER(AJ26)),IF(AI26&lt;=AJ26,1,0),0)</f>
        <v/>
      </c>
      <c r="AM26" s="11">
        <f>IF(OR(AA26="",AK26=""),-1,AK26+ROW()/1000000)</f>
        <v/>
      </c>
    </row>
    <row r="27">
      <c r="A27" s="20">
        <f>AA6</f>
        <v/>
      </c>
      <c r="C27" s="21">
        <f>IF(OR(AB6="",MAX(AB6,AC6,AD6,AE6)=0),"",REPT("█",MAX(1,ROUND(AB6/MAX(AB6,AC6,AD6,AE6)*6,0))))</f>
        <v/>
      </c>
      <c r="D27" s="21">
        <f>IF(OR(AC6="",MAX(AB6,AC6,AD6,AE6)=0),"",REPT("█",MAX(1,ROUND(AC6/MAX(AB6,AC6,AD6,AE6)*6,0))))</f>
        <v/>
      </c>
      <c r="E27" s="21">
        <f>IF(OR(AD6="",MAX(AB6,AC6,AD6,AE6)=0),"",REPT("█",MAX(1,ROUND(AD6/MAX(AB6,AC6,AD6,AE6)*6,0))))</f>
        <v/>
      </c>
      <c r="F27" s="21">
        <f>IF(OR(AE6="",MAX(AB6,AC6,AD6,AE6)=0),"",REPT("█",MAX(1,ROUND(AE6/MAX(AB6,AC6,AD6,AE6)*6,0))))</f>
        <v/>
      </c>
      <c r="G27" s="22">
        <f>IF(COUNT(AB6,AC6,AD6,AE6)&lt;2,"",IF(IF(AE6&lt;&gt;"",AE6,IF(AD6&lt;&gt;"",AD6,IF(AC6&lt;&gt;"",AC6,IF(AB6&lt;&gt;"",AB6,""))))&gt;IF(AB6&lt;&gt;"",AB6,IF(AC6&lt;&gt;"",AC6,IF(AD6&lt;&gt;"",AD6,AE6))),"▲",IF(IF(AE6&lt;&gt;"",AE6,IF(AD6&lt;&gt;"",AD6,IF(AC6&lt;&gt;"",AC6,IF(AB6&lt;&gt;"",AB6,""))))&lt;IF(AB6&lt;&gt;"",AB6,IF(AC6&lt;&gt;"",AC6,IF(AD6&lt;&gt;"",AD6,AE6))),"▼","=")))</f>
        <v/>
      </c>
      <c r="H27" s="22">
        <f>AI6</f>
        <v/>
      </c>
      <c r="I27" s="11">
        <f>AJ6</f>
        <v/>
      </c>
      <c r="J27" s="22">
        <f>IF(AL6=1,"À COMMANDER",IF(AA6="","",""))</f>
        <v/>
      </c>
      <c r="AA27" s="11">
        <f>IF(Produits!$A$29="","",Produits!$A$29)</f>
        <v/>
      </c>
      <c r="AB27" s="11">
        <f>IF(ISNUMBER(CHOOSE($Z$3,'Janvier'!E30,'Février'!E30,'Mars'!E30,'Avril'!E30,'Mai'!E30,'Juin'!E30,'Juillet'!E30,'Août'!E30,'Septembre'!E30,'Octobre'!E30,'Novembre'!E30,'Décembre'!E30)),CHOOSE($Z$3,'Janvier'!E30,'Février'!E30,'Mars'!E30,'Avril'!E30,'Mai'!E30,'Juin'!E30,'Juillet'!E30,'Août'!E30,'Septembre'!E30,'Octobre'!E30,'Novembre'!E30,'Décembre'!E30),"")</f>
        <v/>
      </c>
      <c r="AC27" s="11">
        <f>IF(ISNUMBER(CHOOSE($Z$3,'Janvier'!I30,'Février'!I30,'Mars'!I30,'Avril'!I30,'Mai'!I30,'Juin'!I30,'Juillet'!I30,'Août'!I30,'Septembre'!I30,'Octobre'!I30,'Novembre'!I30,'Décembre'!I30)),CHOOSE($Z$3,'Janvier'!I30,'Février'!I30,'Mars'!I30,'Avril'!I30,'Mai'!I30,'Juin'!I30,'Juillet'!I30,'Août'!I30,'Septembre'!I30,'Octobre'!I30,'Novembre'!I30,'Décembre'!I30),"")</f>
        <v/>
      </c>
      <c r="AD27" s="11">
        <f>IF(ISNUMBER(CHOOSE($Z$3,'Janvier'!M30,'Février'!M30,'Mars'!M30,'Avril'!M30,'Mai'!M30,'Juin'!M30,'Juillet'!M30,'Août'!M30,'Septembre'!M30,'Octobre'!M30,'Novembre'!M30,'Décembre'!M30)),CHOOSE($Z$3,'Janvier'!M30,'Février'!M30,'Mars'!M30,'Avril'!M30,'Mai'!M30,'Juin'!M30,'Juillet'!M30,'Août'!M30,'Septembre'!M30,'Octobre'!M30,'Novembre'!M30,'Décembre'!M30),"")</f>
        <v/>
      </c>
      <c r="AE27" s="11">
        <f>IF(ISNUMBER(CHOOSE($Z$3,'Janvier'!Q30,'Février'!Q30,'Mars'!Q30,'Avril'!Q30,'Mai'!Q30,'Juin'!Q30,'Juillet'!Q30,'Août'!Q30,'Septembre'!Q30,'Octobre'!Q30,'Novembre'!Q30,'Décembre'!Q30)),CHOOSE($Z$3,'Janvier'!Q30,'Février'!Q30,'Mars'!Q30,'Avril'!Q30,'Mai'!Q30,'Juin'!Q30,'Juillet'!Q30,'Août'!Q30,'Septembre'!Q30,'Octobre'!Q30,'Novembre'!Q30,'Décembre'!Q30),"")</f>
        <v/>
      </c>
      <c r="AF27" s="11">
        <f>IF(ISNUMBER(CHOOSE($Z$3,'Janvier'!T30,'Février'!T30,'Mars'!T30,'Avril'!T30,'Mai'!T30,'Juin'!T30,'Juillet'!T30,'Août'!T30,'Septembre'!T30,'Octobre'!T30,'Novembre'!T30,'Décembre'!T30)),CHOOSE($Z$3,'Janvier'!T30,'Février'!T30,'Mars'!T30,'Avril'!T30,'Mai'!T30,'Juin'!T30,'Juillet'!T30,'Août'!T30,'Septembre'!T30,'Octobre'!T30,'Novembre'!T30,'Décembre'!T30),"")</f>
        <v/>
      </c>
      <c r="AG27" s="11">
        <f>IF(ISNUMBER(CHOOSE($Z$3,'Janvier'!U30,'Février'!U30,'Mars'!U30,'Avril'!U30,'Mai'!U30,'Juin'!U30,'Juillet'!U30,'Août'!U30,'Septembre'!U30,'Octobre'!U30,'Novembre'!U30,'Décembre'!U30)),CHOOSE($Z$3,'Janvier'!U30,'Février'!U30,'Mars'!U30,'Avril'!U30,'Mai'!U30,'Juin'!U30,'Juillet'!U30,'Août'!U30,'Septembre'!U30,'Octobre'!U30,'Novembre'!U30,'Décembre'!U30),"")</f>
        <v/>
      </c>
      <c r="AH27" s="11">
        <f>IF(ISNUMBER(CHOOSE($Z$3,'Janvier'!V30,'Février'!V30,'Mars'!V30,'Avril'!V30,'Mai'!V30,'Juin'!V30,'Juillet'!V30,'Août'!V30,'Septembre'!V30,'Octobre'!V30,'Novembre'!V30,'Décembre'!V30)),CHOOSE($Z$3,'Janvier'!V30,'Février'!V30,'Mars'!V30,'Avril'!V30,'Mai'!V30,'Juin'!V30,'Juillet'!V30,'Août'!V30,'Septembre'!V30,'Octobre'!V30,'Novembre'!V30,'Décembre'!V30),"")</f>
        <v/>
      </c>
      <c r="AI27" s="11">
        <f>IF(ISNUMBER(CHOOSE($Z$3,'Janvier'!W30,'Février'!W30,'Mars'!W30,'Avril'!W30,'Mai'!W30,'Juin'!W30,'Juillet'!W30,'Août'!W30,'Septembre'!W30,'Octobre'!W30,'Novembre'!W30,'Décembre'!W30)),CHOOSE($Z$3,'Janvier'!W30,'Février'!W30,'Mars'!W30,'Avril'!W30,'Mai'!W30,'Juin'!W30,'Juillet'!W30,'Août'!W30,'Septembre'!W30,'Octobre'!W30,'Novembre'!W30,'Décembre'!W30),"")</f>
        <v/>
      </c>
      <c r="AJ27" s="11">
        <f>IF(Produits!$A$29="","",Produits!$D$29)</f>
        <v/>
      </c>
      <c r="AK27" s="11">
        <f>IF(ISNUMBER(CHOOSE($Z$3,'Janvier'!X30,'Février'!X30,'Mars'!X30,'Avril'!X30,'Mai'!X30,'Juin'!X30,'Juillet'!X30,'Août'!X30,'Septembre'!X30,'Octobre'!X30,'Novembre'!X30,'Décembre'!X30)),CHOOSE($Z$3,'Janvier'!X30,'Février'!X30,'Mars'!X30,'Avril'!X30,'Mai'!X30,'Juin'!X30,'Juillet'!X30,'Août'!X30,'Septembre'!X30,'Octobre'!X30,'Novembre'!X30,'Décembre'!X30),"")</f>
        <v/>
      </c>
      <c r="AL27" s="11">
        <f>IF(AND(ISNUMBER(AI27),ISNUMBER(AJ27)),IF(AI27&lt;=AJ27,1,0),0)</f>
        <v/>
      </c>
      <c r="AM27" s="11">
        <f>IF(OR(AA27="",AK27=""),-1,AK27+ROW()/1000000)</f>
        <v/>
      </c>
    </row>
    <row r="28">
      <c r="A28" s="20">
        <f>AA7</f>
        <v/>
      </c>
      <c r="C28" s="21">
        <f>IF(OR(AB7="",MAX(AB7,AC7,AD7,AE7)=0),"",REPT("█",MAX(1,ROUND(AB7/MAX(AB7,AC7,AD7,AE7)*6,0))))</f>
        <v/>
      </c>
      <c r="D28" s="21">
        <f>IF(OR(AC7="",MAX(AB7,AC7,AD7,AE7)=0),"",REPT("█",MAX(1,ROUND(AC7/MAX(AB7,AC7,AD7,AE7)*6,0))))</f>
        <v/>
      </c>
      <c r="E28" s="21">
        <f>IF(OR(AD7="",MAX(AB7,AC7,AD7,AE7)=0),"",REPT("█",MAX(1,ROUND(AD7/MAX(AB7,AC7,AD7,AE7)*6,0))))</f>
        <v/>
      </c>
      <c r="F28" s="21">
        <f>IF(OR(AE7="",MAX(AB7,AC7,AD7,AE7)=0),"",REPT("█",MAX(1,ROUND(AE7/MAX(AB7,AC7,AD7,AE7)*6,0))))</f>
        <v/>
      </c>
      <c r="G28" s="22">
        <f>IF(COUNT(AB7,AC7,AD7,AE7)&lt;2,"",IF(IF(AE7&lt;&gt;"",AE7,IF(AD7&lt;&gt;"",AD7,IF(AC7&lt;&gt;"",AC7,IF(AB7&lt;&gt;"",AB7,""))))&gt;IF(AB7&lt;&gt;"",AB7,IF(AC7&lt;&gt;"",AC7,IF(AD7&lt;&gt;"",AD7,AE7))),"▲",IF(IF(AE7&lt;&gt;"",AE7,IF(AD7&lt;&gt;"",AD7,IF(AC7&lt;&gt;"",AC7,IF(AB7&lt;&gt;"",AB7,""))))&lt;IF(AB7&lt;&gt;"",AB7,IF(AC7&lt;&gt;"",AC7,IF(AD7&lt;&gt;"",AD7,AE7))),"▼","=")))</f>
        <v/>
      </c>
      <c r="H28" s="22">
        <f>AI7</f>
        <v/>
      </c>
      <c r="I28" s="11">
        <f>AJ7</f>
        <v/>
      </c>
      <c r="J28" s="22">
        <f>IF(AL7=1,"À COMMANDER",IF(AA7="","",""))</f>
        <v/>
      </c>
      <c r="AA28" s="11">
        <f>IF(Produits!$A$30="","",Produits!$A$30)</f>
        <v/>
      </c>
      <c r="AB28" s="11">
        <f>IF(ISNUMBER(CHOOSE($Z$3,'Janvier'!E31,'Février'!E31,'Mars'!E31,'Avril'!E31,'Mai'!E31,'Juin'!E31,'Juillet'!E31,'Août'!E31,'Septembre'!E31,'Octobre'!E31,'Novembre'!E31,'Décembre'!E31)),CHOOSE($Z$3,'Janvier'!E31,'Février'!E31,'Mars'!E31,'Avril'!E31,'Mai'!E31,'Juin'!E31,'Juillet'!E31,'Août'!E31,'Septembre'!E31,'Octobre'!E31,'Novembre'!E31,'Décembre'!E31),"")</f>
        <v/>
      </c>
      <c r="AC28" s="11">
        <f>IF(ISNUMBER(CHOOSE($Z$3,'Janvier'!I31,'Février'!I31,'Mars'!I31,'Avril'!I31,'Mai'!I31,'Juin'!I31,'Juillet'!I31,'Août'!I31,'Septembre'!I31,'Octobre'!I31,'Novembre'!I31,'Décembre'!I31)),CHOOSE($Z$3,'Janvier'!I31,'Février'!I31,'Mars'!I31,'Avril'!I31,'Mai'!I31,'Juin'!I31,'Juillet'!I31,'Août'!I31,'Septembre'!I31,'Octobre'!I31,'Novembre'!I31,'Décembre'!I31),"")</f>
        <v/>
      </c>
      <c r="AD28" s="11">
        <f>IF(ISNUMBER(CHOOSE($Z$3,'Janvier'!M31,'Février'!M31,'Mars'!M31,'Avril'!M31,'Mai'!M31,'Juin'!M31,'Juillet'!M31,'Août'!M31,'Septembre'!M31,'Octobre'!M31,'Novembre'!M31,'Décembre'!M31)),CHOOSE($Z$3,'Janvier'!M31,'Février'!M31,'Mars'!M31,'Avril'!M31,'Mai'!M31,'Juin'!M31,'Juillet'!M31,'Août'!M31,'Septembre'!M31,'Octobre'!M31,'Novembre'!M31,'Décembre'!M31),"")</f>
        <v/>
      </c>
      <c r="AE28" s="11">
        <f>IF(ISNUMBER(CHOOSE($Z$3,'Janvier'!Q31,'Février'!Q31,'Mars'!Q31,'Avril'!Q31,'Mai'!Q31,'Juin'!Q31,'Juillet'!Q31,'Août'!Q31,'Septembre'!Q31,'Octobre'!Q31,'Novembre'!Q31,'Décembre'!Q31)),CHOOSE($Z$3,'Janvier'!Q31,'Février'!Q31,'Mars'!Q31,'Avril'!Q31,'Mai'!Q31,'Juin'!Q31,'Juillet'!Q31,'Août'!Q31,'Septembre'!Q31,'Octobre'!Q31,'Novembre'!Q31,'Décembre'!Q31),"")</f>
        <v/>
      </c>
      <c r="AF28" s="11">
        <f>IF(ISNUMBER(CHOOSE($Z$3,'Janvier'!T31,'Février'!T31,'Mars'!T31,'Avril'!T31,'Mai'!T31,'Juin'!T31,'Juillet'!T31,'Août'!T31,'Septembre'!T31,'Octobre'!T31,'Novembre'!T31,'Décembre'!T31)),CHOOSE($Z$3,'Janvier'!T31,'Février'!T31,'Mars'!T31,'Avril'!T31,'Mai'!T31,'Juin'!T31,'Juillet'!T31,'Août'!T31,'Septembre'!T31,'Octobre'!T31,'Novembre'!T31,'Décembre'!T31),"")</f>
        <v/>
      </c>
      <c r="AG28" s="11">
        <f>IF(ISNUMBER(CHOOSE($Z$3,'Janvier'!U31,'Février'!U31,'Mars'!U31,'Avril'!U31,'Mai'!U31,'Juin'!U31,'Juillet'!U31,'Août'!U31,'Septembre'!U31,'Octobre'!U31,'Novembre'!U31,'Décembre'!U31)),CHOOSE($Z$3,'Janvier'!U31,'Février'!U31,'Mars'!U31,'Avril'!U31,'Mai'!U31,'Juin'!U31,'Juillet'!U31,'Août'!U31,'Septembre'!U31,'Octobre'!U31,'Novembre'!U31,'Décembre'!U31),"")</f>
        <v/>
      </c>
      <c r="AH28" s="11">
        <f>IF(ISNUMBER(CHOOSE($Z$3,'Janvier'!V31,'Février'!V31,'Mars'!V31,'Avril'!V31,'Mai'!V31,'Juin'!V31,'Juillet'!V31,'Août'!V31,'Septembre'!V31,'Octobre'!V31,'Novembre'!V31,'Décembre'!V31)),CHOOSE($Z$3,'Janvier'!V31,'Février'!V31,'Mars'!V31,'Avril'!V31,'Mai'!V31,'Juin'!V31,'Juillet'!V31,'Août'!V31,'Septembre'!V31,'Octobre'!V31,'Novembre'!V31,'Décembre'!V31),"")</f>
        <v/>
      </c>
      <c r="AI28" s="11">
        <f>IF(ISNUMBER(CHOOSE($Z$3,'Janvier'!W31,'Février'!W31,'Mars'!W31,'Avril'!W31,'Mai'!W31,'Juin'!W31,'Juillet'!W31,'Août'!W31,'Septembre'!W31,'Octobre'!W31,'Novembre'!W31,'Décembre'!W31)),CHOOSE($Z$3,'Janvier'!W31,'Février'!W31,'Mars'!W31,'Avril'!W31,'Mai'!W31,'Juin'!W31,'Juillet'!W31,'Août'!W31,'Septembre'!W31,'Octobre'!W31,'Novembre'!W31,'Décembre'!W31),"")</f>
        <v/>
      </c>
      <c r="AJ28" s="11">
        <f>IF(Produits!$A$30="","",Produits!$D$30)</f>
        <v/>
      </c>
      <c r="AK28" s="11">
        <f>IF(ISNUMBER(CHOOSE($Z$3,'Janvier'!X31,'Février'!X31,'Mars'!X31,'Avril'!X31,'Mai'!X31,'Juin'!X31,'Juillet'!X31,'Août'!X31,'Septembre'!X31,'Octobre'!X31,'Novembre'!X31,'Décembre'!X31)),CHOOSE($Z$3,'Janvier'!X31,'Février'!X31,'Mars'!X31,'Avril'!X31,'Mai'!X31,'Juin'!X31,'Juillet'!X31,'Août'!X31,'Septembre'!X31,'Octobre'!X31,'Novembre'!X31,'Décembre'!X31),"")</f>
        <v/>
      </c>
      <c r="AL28" s="11">
        <f>IF(AND(ISNUMBER(AI28),ISNUMBER(AJ28)),IF(AI28&lt;=AJ28,1,0),0)</f>
        <v/>
      </c>
      <c r="AM28" s="11">
        <f>IF(OR(AA28="",AK28=""),-1,AK28+ROW()/1000000)</f>
        <v/>
      </c>
    </row>
    <row r="29">
      <c r="A29" s="20">
        <f>AA8</f>
        <v/>
      </c>
      <c r="C29" s="21">
        <f>IF(OR(AB8="",MAX(AB8,AC8,AD8,AE8)=0),"",REPT("█",MAX(1,ROUND(AB8/MAX(AB8,AC8,AD8,AE8)*6,0))))</f>
        <v/>
      </c>
      <c r="D29" s="21">
        <f>IF(OR(AC8="",MAX(AB8,AC8,AD8,AE8)=0),"",REPT("█",MAX(1,ROUND(AC8/MAX(AB8,AC8,AD8,AE8)*6,0))))</f>
        <v/>
      </c>
      <c r="E29" s="21">
        <f>IF(OR(AD8="",MAX(AB8,AC8,AD8,AE8)=0),"",REPT("█",MAX(1,ROUND(AD8/MAX(AB8,AC8,AD8,AE8)*6,0))))</f>
        <v/>
      </c>
      <c r="F29" s="21">
        <f>IF(OR(AE8="",MAX(AB8,AC8,AD8,AE8)=0),"",REPT("█",MAX(1,ROUND(AE8/MAX(AB8,AC8,AD8,AE8)*6,0))))</f>
        <v/>
      </c>
      <c r="G29" s="22">
        <f>IF(COUNT(AB8,AC8,AD8,AE8)&lt;2,"",IF(IF(AE8&lt;&gt;"",AE8,IF(AD8&lt;&gt;"",AD8,IF(AC8&lt;&gt;"",AC8,IF(AB8&lt;&gt;"",AB8,""))))&gt;IF(AB8&lt;&gt;"",AB8,IF(AC8&lt;&gt;"",AC8,IF(AD8&lt;&gt;"",AD8,AE8))),"▲",IF(IF(AE8&lt;&gt;"",AE8,IF(AD8&lt;&gt;"",AD8,IF(AC8&lt;&gt;"",AC8,IF(AB8&lt;&gt;"",AB8,""))))&lt;IF(AB8&lt;&gt;"",AB8,IF(AC8&lt;&gt;"",AC8,IF(AD8&lt;&gt;"",AD8,AE8))),"▼","=")))</f>
        <v/>
      </c>
      <c r="H29" s="22">
        <f>AI8</f>
        <v/>
      </c>
      <c r="I29" s="11">
        <f>AJ8</f>
        <v/>
      </c>
      <c r="J29" s="22">
        <f>IF(AL8=1,"À COMMANDER",IF(AA8="","",""))</f>
        <v/>
      </c>
      <c r="AA29" s="11">
        <f>IF(Produits!$A$31="","",Produits!$A$31)</f>
        <v/>
      </c>
      <c r="AB29" s="11">
        <f>IF(ISNUMBER(CHOOSE($Z$3,'Janvier'!E32,'Février'!E32,'Mars'!E32,'Avril'!E32,'Mai'!E32,'Juin'!E32,'Juillet'!E32,'Août'!E32,'Septembre'!E32,'Octobre'!E32,'Novembre'!E32,'Décembre'!E32)),CHOOSE($Z$3,'Janvier'!E32,'Février'!E32,'Mars'!E32,'Avril'!E32,'Mai'!E32,'Juin'!E32,'Juillet'!E32,'Août'!E32,'Septembre'!E32,'Octobre'!E32,'Novembre'!E32,'Décembre'!E32),"")</f>
        <v/>
      </c>
      <c r="AC29" s="11">
        <f>IF(ISNUMBER(CHOOSE($Z$3,'Janvier'!I32,'Février'!I32,'Mars'!I32,'Avril'!I32,'Mai'!I32,'Juin'!I32,'Juillet'!I32,'Août'!I32,'Septembre'!I32,'Octobre'!I32,'Novembre'!I32,'Décembre'!I32)),CHOOSE($Z$3,'Janvier'!I32,'Février'!I32,'Mars'!I32,'Avril'!I32,'Mai'!I32,'Juin'!I32,'Juillet'!I32,'Août'!I32,'Septembre'!I32,'Octobre'!I32,'Novembre'!I32,'Décembre'!I32),"")</f>
        <v/>
      </c>
      <c r="AD29" s="11">
        <f>IF(ISNUMBER(CHOOSE($Z$3,'Janvier'!M32,'Février'!M32,'Mars'!M32,'Avril'!M32,'Mai'!M32,'Juin'!M32,'Juillet'!M32,'Août'!M32,'Septembre'!M32,'Octobre'!M32,'Novembre'!M32,'Décembre'!M32)),CHOOSE($Z$3,'Janvier'!M32,'Février'!M32,'Mars'!M32,'Avril'!M32,'Mai'!M32,'Juin'!M32,'Juillet'!M32,'Août'!M32,'Septembre'!M32,'Octobre'!M32,'Novembre'!M32,'Décembre'!M32),"")</f>
        <v/>
      </c>
      <c r="AE29" s="11">
        <f>IF(ISNUMBER(CHOOSE($Z$3,'Janvier'!Q32,'Février'!Q32,'Mars'!Q32,'Avril'!Q32,'Mai'!Q32,'Juin'!Q32,'Juillet'!Q32,'Août'!Q32,'Septembre'!Q32,'Octobre'!Q32,'Novembre'!Q32,'Décembre'!Q32)),CHOOSE($Z$3,'Janvier'!Q32,'Février'!Q32,'Mars'!Q32,'Avril'!Q32,'Mai'!Q32,'Juin'!Q32,'Juillet'!Q32,'Août'!Q32,'Septembre'!Q32,'Octobre'!Q32,'Novembre'!Q32,'Décembre'!Q32),"")</f>
        <v/>
      </c>
      <c r="AF29" s="11">
        <f>IF(ISNUMBER(CHOOSE($Z$3,'Janvier'!T32,'Février'!T32,'Mars'!T32,'Avril'!T32,'Mai'!T32,'Juin'!T32,'Juillet'!T32,'Août'!T32,'Septembre'!T32,'Octobre'!T32,'Novembre'!T32,'Décembre'!T32)),CHOOSE($Z$3,'Janvier'!T32,'Février'!T32,'Mars'!T32,'Avril'!T32,'Mai'!T32,'Juin'!T32,'Juillet'!T32,'Août'!T32,'Septembre'!T32,'Octobre'!T32,'Novembre'!T32,'Décembre'!T32),"")</f>
        <v/>
      </c>
      <c r="AG29" s="11">
        <f>IF(ISNUMBER(CHOOSE($Z$3,'Janvier'!U32,'Février'!U32,'Mars'!U32,'Avril'!U32,'Mai'!U32,'Juin'!U32,'Juillet'!U32,'Août'!U32,'Septembre'!U32,'Octobre'!U32,'Novembre'!U32,'Décembre'!U32)),CHOOSE($Z$3,'Janvier'!U32,'Février'!U32,'Mars'!U32,'Avril'!U32,'Mai'!U32,'Juin'!U32,'Juillet'!U32,'Août'!U32,'Septembre'!U32,'Octobre'!U32,'Novembre'!U32,'Décembre'!U32),"")</f>
        <v/>
      </c>
      <c r="AH29" s="11">
        <f>IF(ISNUMBER(CHOOSE($Z$3,'Janvier'!V32,'Février'!V32,'Mars'!V32,'Avril'!V32,'Mai'!V32,'Juin'!V32,'Juillet'!V32,'Août'!V32,'Septembre'!V32,'Octobre'!V32,'Novembre'!V32,'Décembre'!V32)),CHOOSE($Z$3,'Janvier'!V32,'Février'!V32,'Mars'!V32,'Avril'!V32,'Mai'!V32,'Juin'!V32,'Juillet'!V32,'Août'!V32,'Septembre'!V32,'Octobre'!V32,'Novembre'!V32,'Décembre'!V32),"")</f>
        <v/>
      </c>
      <c r="AI29" s="11">
        <f>IF(ISNUMBER(CHOOSE($Z$3,'Janvier'!W32,'Février'!W32,'Mars'!W32,'Avril'!W32,'Mai'!W32,'Juin'!W32,'Juillet'!W32,'Août'!W32,'Septembre'!W32,'Octobre'!W32,'Novembre'!W32,'Décembre'!W32)),CHOOSE($Z$3,'Janvier'!W32,'Février'!W32,'Mars'!W32,'Avril'!W32,'Mai'!W32,'Juin'!W32,'Juillet'!W32,'Août'!W32,'Septembre'!W32,'Octobre'!W32,'Novembre'!W32,'Décembre'!W32),"")</f>
        <v/>
      </c>
      <c r="AJ29" s="11">
        <f>IF(Produits!$A$31="","",Produits!$D$31)</f>
        <v/>
      </c>
      <c r="AK29" s="11">
        <f>IF(ISNUMBER(CHOOSE($Z$3,'Janvier'!X32,'Février'!X32,'Mars'!X32,'Avril'!X32,'Mai'!X32,'Juin'!X32,'Juillet'!X32,'Août'!X32,'Septembre'!X32,'Octobre'!X32,'Novembre'!X32,'Décembre'!X32)),CHOOSE($Z$3,'Janvier'!X32,'Février'!X32,'Mars'!X32,'Avril'!X32,'Mai'!X32,'Juin'!X32,'Juillet'!X32,'Août'!X32,'Septembre'!X32,'Octobre'!X32,'Novembre'!X32,'Décembre'!X32),"")</f>
        <v/>
      </c>
      <c r="AL29" s="11">
        <f>IF(AND(ISNUMBER(AI29),ISNUMBER(AJ29)),IF(AI29&lt;=AJ29,1,0),0)</f>
        <v/>
      </c>
      <c r="AM29" s="11">
        <f>IF(OR(AA29="",AK29=""),-1,AK29+ROW()/1000000)</f>
        <v/>
      </c>
    </row>
    <row r="30">
      <c r="A30" s="20">
        <f>AA9</f>
        <v/>
      </c>
      <c r="C30" s="21">
        <f>IF(OR(AB9="",MAX(AB9,AC9,AD9,AE9)=0),"",REPT("█",MAX(1,ROUND(AB9/MAX(AB9,AC9,AD9,AE9)*6,0))))</f>
        <v/>
      </c>
      <c r="D30" s="21">
        <f>IF(OR(AC9="",MAX(AB9,AC9,AD9,AE9)=0),"",REPT("█",MAX(1,ROUND(AC9/MAX(AB9,AC9,AD9,AE9)*6,0))))</f>
        <v/>
      </c>
      <c r="E30" s="21">
        <f>IF(OR(AD9="",MAX(AB9,AC9,AD9,AE9)=0),"",REPT("█",MAX(1,ROUND(AD9/MAX(AB9,AC9,AD9,AE9)*6,0))))</f>
        <v/>
      </c>
      <c r="F30" s="21">
        <f>IF(OR(AE9="",MAX(AB9,AC9,AD9,AE9)=0),"",REPT("█",MAX(1,ROUND(AE9/MAX(AB9,AC9,AD9,AE9)*6,0))))</f>
        <v/>
      </c>
      <c r="G30" s="22">
        <f>IF(COUNT(AB9,AC9,AD9,AE9)&lt;2,"",IF(IF(AE9&lt;&gt;"",AE9,IF(AD9&lt;&gt;"",AD9,IF(AC9&lt;&gt;"",AC9,IF(AB9&lt;&gt;"",AB9,""))))&gt;IF(AB9&lt;&gt;"",AB9,IF(AC9&lt;&gt;"",AC9,IF(AD9&lt;&gt;"",AD9,AE9))),"▲",IF(IF(AE9&lt;&gt;"",AE9,IF(AD9&lt;&gt;"",AD9,IF(AC9&lt;&gt;"",AC9,IF(AB9&lt;&gt;"",AB9,""))))&lt;IF(AB9&lt;&gt;"",AB9,IF(AC9&lt;&gt;"",AC9,IF(AD9&lt;&gt;"",AD9,AE9))),"▼","=")))</f>
        <v/>
      </c>
      <c r="H30" s="22">
        <f>AI9</f>
        <v/>
      </c>
      <c r="I30" s="11">
        <f>AJ9</f>
        <v/>
      </c>
      <c r="J30" s="22">
        <f>IF(AL9=1,"À COMMANDER",IF(AA9="","",""))</f>
        <v/>
      </c>
      <c r="AA30" s="11">
        <f>IF(Produits!$A$32="","",Produits!$A$32)</f>
        <v/>
      </c>
      <c r="AB30" s="11">
        <f>IF(ISNUMBER(CHOOSE($Z$3,'Janvier'!E33,'Février'!E33,'Mars'!E33,'Avril'!E33,'Mai'!E33,'Juin'!E33,'Juillet'!E33,'Août'!E33,'Septembre'!E33,'Octobre'!E33,'Novembre'!E33,'Décembre'!E33)),CHOOSE($Z$3,'Janvier'!E33,'Février'!E33,'Mars'!E33,'Avril'!E33,'Mai'!E33,'Juin'!E33,'Juillet'!E33,'Août'!E33,'Septembre'!E33,'Octobre'!E33,'Novembre'!E33,'Décembre'!E33),"")</f>
        <v/>
      </c>
      <c r="AC30" s="11">
        <f>IF(ISNUMBER(CHOOSE($Z$3,'Janvier'!I33,'Février'!I33,'Mars'!I33,'Avril'!I33,'Mai'!I33,'Juin'!I33,'Juillet'!I33,'Août'!I33,'Septembre'!I33,'Octobre'!I33,'Novembre'!I33,'Décembre'!I33)),CHOOSE($Z$3,'Janvier'!I33,'Février'!I33,'Mars'!I33,'Avril'!I33,'Mai'!I33,'Juin'!I33,'Juillet'!I33,'Août'!I33,'Septembre'!I33,'Octobre'!I33,'Novembre'!I33,'Décembre'!I33),"")</f>
        <v/>
      </c>
      <c r="AD30" s="11">
        <f>IF(ISNUMBER(CHOOSE($Z$3,'Janvier'!M33,'Février'!M33,'Mars'!M33,'Avril'!M33,'Mai'!M33,'Juin'!M33,'Juillet'!M33,'Août'!M33,'Septembre'!M33,'Octobre'!M33,'Novembre'!M33,'Décembre'!M33)),CHOOSE($Z$3,'Janvier'!M33,'Février'!M33,'Mars'!M33,'Avril'!M33,'Mai'!M33,'Juin'!M33,'Juillet'!M33,'Août'!M33,'Septembre'!M33,'Octobre'!M33,'Novembre'!M33,'Décembre'!M33),"")</f>
        <v/>
      </c>
      <c r="AE30" s="11">
        <f>IF(ISNUMBER(CHOOSE($Z$3,'Janvier'!Q33,'Février'!Q33,'Mars'!Q33,'Avril'!Q33,'Mai'!Q33,'Juin'!Q33,'Juillet'!Q33,'Août'!Q33,'Septembre'!Q33,'Octobre'!Q33,'Novembre'!Q33,'Décembre'!Q33)),CHOOSE($Z$3,'Janvier'!Q33,'Février'!Q33,'Mars'!Q33,'Avril'!Q33,'Mai'!Q33,'Juin'!Q33,'Juillet'!Q33,'Août'!Q33,'Septembre'!Q33,'Octobre'!Q33,'Novembre'!Q33,'Décembre'!Q33),"")</f>
        <v/>
      </c>
      <c r="AF30" s="11">
        <f>IF(ISNUMBER(CHOOSE($Z$3,'Janvier'!T33,'Février'!T33,'Mars'!T33,'Avril'!T33,'Mai'!T33,'Juin'!T33,'Juillet'!T33,'Août'!T33,'Septembre'!T33,'Octobre'!T33,'Novembre'!T33,'Décembre'!T33)),CHOOSE($Z$3,'Janvier'!T33,'Février'!T33,'Mars'!T33,'Avril'!T33,'Mai'!T33,'Juin'!T33,'Juillet'!T33,'Août'!T33,'Septembre'!T33,'Octobre'!T33,'Novembre'!T33,'Décembre'!T33),"")</f>
        <v/>
      </c>
      <c r="AG30" s="11">
        <f>IF(ISNUMBER(CHOOSE($Z$3,'Janvier'!U33,'Février'!U33,'Mars'!U33,'Avril'!U33,'Mai'!U33,'Juin'!U33,'Juillet'!U33,'Août'!U33,'Septembre'!U33,'Octobre'!U33,'Novembre'!U33,'Décembre'!U33)),CHOOSE($Z$3,'Janvier'!U33,'Février'!U33,'Mars'!U33,'Avril'!U33,'Mai'!U33,'Juin'!U33,'Juillet'!U33,'Août'!U33,'Septembre'!U33,'Octobre'!U33,'Novembre'!U33,'Décembre'!U33),"")</f>
        <v/>
      </c>
      <c r="AH30" s="11">
        <f>IF(ISNUMBER(CHOOSE($Z$3,'Janvier'!V33,'Février'!V33,'Mars'!V33,'Avril'!V33,'Mai'!V33,'Juin'!V33,'Juillet'!V33,'Août'!V33,'Septembre'!V33,'Octobre'!V33,'Novembre'!V33,'Décembre'!V33)),CHOOSE($Z$3,'Janvier'!V33,'Février'!V33,'Mars'!V33,'Avril'!V33,'Mai'!V33,'Juin'!V33,'Juillet'!V33,'Août'!V33,'Septembre'!V33,'Octobre'!V33,'Novembre'!V33,'Décembre'!V33),"")</f>
        <v/>
      </c>
      <c r="AI30" s="11">
        <f>IF(ISNUMBER(CHOOSE($Z$3,'Janvier'!W33,'Février'!W33,'Mars'!W33,'Avril'!W33,'Mai'!W33,'Juin'!W33,'Juillet'!W33,'Août'!W33,'Septembre'!W33,'Octobre'!W33,'Novembre'!W33,'Décembre'!W33)),CHOOSE($Z$3,'Janvier'!W33,'Février'!W33,'Mars'!W33,'Avril'!W33,'Mai'!W33,'Juin'!W33,'Juillet'!W33,'Août'!W33,'Septembre'!W33,'Octobre'!W33,'Novembre'!W33,'Décembre'!W33),"")</f>
        <v/>
      </c>
      <c r="AJ30" s="11">
        <f>IF(Produits!$A$32="","",Produits!$D$32)</f>
        <v/>
      </c>
      <c r="AK30" s="11">
        <f>IF(ISNUMBER(CHOOSE($Z$3,'Janvier'!X33,'Février'!X33,'Mars'!X33,'Avril'!X33,'Mai'!X33,'Juin'!X33,'Juillet'!X33,'Août'!X33,'Septembre'!X33,'Octobre'!X33,'Novembre'!X33,'Décembre'!X33)),CHOOSE($Z$3,'Janvier'!X33,'Février'!X33,'Mars'!X33,'Avril'!X33,'Mai'!X33,'Juin'!X33,'Juillet'!X33,'Août'!X33,'Septembre'!X33,'Octobre'!X33,'Novembre'!X33,'Décembre'!X33),"")</f>
        <v/>
      </c>
      <c r="AL30" s="11">
        <f>IF(AND(ISNUMBER(AI30),ISNUMBER(AJ30)),IF(AI30&lt;=AJ30,1,0),0)</f>
        <v/>
      </c>
      <c r="AM30" s="11">
        <f>IF(OR(AA30="",AK30=""),-1,AK30+ROW()/1000000)</f>
        <v/>
      </c>
    </row>
    <row r="31">
      <c r="A31" s="20">
        <f>AA10</f>
        <v/>
      </c>
      <c r="C31" s="21">
        <f>IF(OR(AB10="",MAX(AB10,AC10,AD10,AE10)=0),"",REPT("█",MAX(1,ROUND(AB10/MAX(AB10,AC10,AD10,AE10)*6,0))))</f>
        <v/>
      </c>
      <c r="D31" s="21">
        <f>IF(OR(AC10="",MAX(AB10,AC10,AD10,AE10)=0),"",REPT("█",MAX(1,ROUND(AC10/MAX(AB10,AC10,AD10,AE10)*6,0))))</f>
        <v/>
      </c>
      <c r="E31" s="21">
        <f>IF(OR(AD10="",MAX(AB10,AC10,AD10,AE10)=0),"",REPT("█",MAX(1,ROUND(AD10/MAX(AB10,AC10,AD10,AE10)*6,0))))</f>
        <v/>
      </c>
      <c r="F31" s="21">
        <f>IF(OR(AE10="",MAX(AB10,AC10,AD10,AE10)=0),"",REPT("█",MAX(1,ROUND(AE10/MAX(AB10,AC10,AD10,AE10)*6,0))))</f>
        <v/>
      </c>
      <c r="G31" s="22">
        <f>IF(COUNT(AB10,AC10,AD10,AE10)&lt;2,"",IF(IF(AE10&lt;&gt;"",AE10,IF(AD10&lt;&gt;"",AD10,IF(AC10&lt;&gt;"",AC10,IF(AB10&lt;&gt;"",AB10,""))))&gt;IF(AB10&lt;&gt;"",AB10,IF(AC10&lt;&gt;"",AC10,IF(AD10&lt;&gt;"",AD10,AE10))),"▲",IF(IF(AE10&lt;&gt;"",AE10,IF(AD10&lt;&gt;"",AD10,IF(AC10&lt;&gt;"",AC10,IF(AB10&lt;&gt;"",AB10,""))))&lt;IF(AB10&lt;&gt;"",AB10,IF(AC10&lt;&gt;"",AC10,IF(AD10&lt;&gt;"",AD10,AE10))),"▼","=")))</f>
        <v/>
      </c>
      <c r="H31" s="22">
        <f>AI10</f>
        <v/>
      </c>
      <c r="I31" s="11">
        <f>AJ10</f>
        <v/>
      </c>
      <c r="J31" s="22">
        <f>IF(AL10=1,"À COMMANDER",IF(AA10="","",""))</f>
        <v/>
      </c>
      <c r="AA31" s="11">
        <f>IF(Produits!$A$33="","",Produits!$A$33)</f>
        <v/>
      </c>
      <c r="AB31" s="11">
        <f>IF(ISNUMBER(CHOOSE($Z$3,'Janvier'!E34,'Février'!E34,'Mars'!E34,'Avril'!E34,'Mai'!E34,'Juin'!E34,'Juillet'!E34,'Août'!E34,'Septembre'!E34,'Octobre'!E34,'Novembre'!E34,'Décembre'!E34)),CHOOSE($Z$3,'Janvier'!E34,'Février'!E34,'Mars'!E34,'Avril'!E34,'Mai'!E34,'Juin'!E34,'Juillet'!E34,'Août'!E34,'Septembre'!E34,'Octobre'!E34,'Novembre'!E34,'Décembre'!E34),"")</f>
        <v/>
      </c>
      <c r="AC31" s="11">
        <f>IF(ISNUMBER(CHOOSE($Z$3,'Janvier'!I34,'Février'!I34,'Mars'!I34,'Avril'!I34,'Mai'!I34,'Juin'!I34,'Juillet'!I34,'Août'!I34,'Septembre'!I34,'Octobre'!I34,'Novembre'!I34,'Décembre'!I34)),CHOOSE($Z$3,'Janvier'!I34,'Février'!I34,'Mars'!I34,'Avril'!I34,'Mai'!I34,'Juin'!I34,'Juillet'!I34,'Août'!I34,'Septembre'!I34,'Octobre'!I34,'Novembre'!I34,'Décembre'!I34),"")</f>
        <v/>
      </c>
      <c r="AD31" s="11">
        <f>IF(ISNUMBER(CHOOSE($Z$3,'Janvier'!M34,'Février'!M34,'Mars'!M34,'Avril'!M34,'Mai'!M34,'Juin'!M34,'Juillet'!M34,'Août'!M34,'Septembre'!M34,'Octobre'!M34,'Novembre'!M34,'Décembre'!M34)),CHOOSE($Z$3,'Janvier'!M34,'Février'!M34,'Mars'!M34,'Avril'!M34,'Mai'!M34,'Juin'!M34,'Juillet'!M34,'Août'!M34,'Septembre'!M34,'Octobre'!M34,'Novembre'!M34,'Décembre'!M34),"")</f>
        <v/>
      </c>
      <c r="AE31" s="11">
        <f>IF(ISNUMBER(CHOOSE($Z$3,'Janvier'!Q34,'Février'!Q34,'Mars'!Q34,'Avril'!Q34,'Mai'!Q34,'Juin'!Q34,'Juillet'!Q34,'Août'!Q34,'Septembre'!Q34,'Octobre'!Q34,'Novembre'!Q34,'Décembre'!Q34)),CHOOSE($Z$3,'Janvier'!Q34,'Février'!Q34,'Mars'!Q34,'Avril'!Q34,'Mai'!Q34,'Juin'!Q34,'Juillet'!Q34,'Août'!Q34,'Septembre'!Q34,'Octobre'!Q34,'Novembre'!Q34,'Décembre'!Q34),"")</f>
        <v/>
      </c>
      <c r="AF31" s="11">
        <f>IF(ISNUMBER(CHOOSE($Z$3,'Janvier'!T34,'Février'!T34,'Mars'!T34,'Avril'!T34,'Mai'!T34,'Juin'!T34,'Juillet'!T34,'Août'!T34,'Septembre'!T34,'Octobre'!T34,'Novembre'!T34,'Décembre'!T34)),CHOOSE($Z$3,'Janvier'!T34,'Février'!T34,'Mars'!T34,'Avril'!T34,'Mai'!T34,'Juin'!T34,'Juillet'!T34,'Août'!T34,'Septembre'!T34,'Octobre'!T34,'Novembre'!T34,'Décembre'!T34),"")</f>
        <v/>
      </c>
      <c r="AG31" s="11">
        <f>IF(ISNUMBER(CHOOSE($Z$3,'Janvier'!U34,'Février'!U34,'Mars'!U34,'Avril'!U34,'Mai'!U34,'Juin'!U34,'Juillet'!U34,'Août'!U34,'Septembre'!U34,'Octobre'!U34,'Novembre'!U34,'Décembre'!U34)),CHOOSE($Z$3,'Janvier'!U34,'Février'!U34,'Mars'!U34,'Avril'!U34,'Mai'!U34,'Juin'!U34,'Juillet'!U34,'Août'!U34,'Septembre'!U34,'Octobre'!U34,'Novembre'!U34,'Décembre'!U34),"")</f>
        <v/>
      </c>
      <c r="AH31" s="11">
        <f>IF(ISNUMBER(CHOOSE($Z$3,'Janvier'!V34,'Février'!V34,'Mars'!V34,'Avril'!V34,'Mai'!V34,'Juin'!V34,'Juillet'!V34,'Août'!V34,'Septembre'!V34,'Octobre'!V34,'Novembre'!V34,'Décembre'!V34)),CHOOSE($Z$3,'Janvier'!V34,'Février'!V34,'Mars'!V34,'Avril'!V34,'Mai'!V34,'Juin'!V34,'Juillet'!V34,'Août'!V34,'Septembre'!V34,'Octobre'!V34,'Novembre'!V34,'Décembre'!V34),"")</f>
        <v/>
      </c>
      <c r="AI31" s="11">
        <f>IF(ISNUMBER(CHOOSE($Z$3,'Janvier'!W34,'Février'!W34,'Mars'!W34,'Avril'!W34,'Mai'!W34,'Juin'!W34,'Juillet'!W34,'Août'!W34,'Septembre'!W34,'Octobre'!W34,'Novembre'!W34,'Décembre'!W34)),CHOOSE($Z$3,'Janvier'!W34,'Février'!W34,'Mars'!W34,'Avril'!W34,'Mai'!W34,'Juin'!W34,'Juillet'!W34,'Août'!W34,'Septembre'!W34,'Octobre'!W34,'Novembre'!W34,'Décembre'!W34),"")</f>
        <v/>
      </c>
      <c r="AJ31" s="11">
        <f>IF(Produits!$A$33="","",Produits!$D$33)</f>
        <v/>
      </c>
      <c r="AK31" s="11">
        <f>IF(ISNUMBER(CHOOSE($Z$3,'Janvier'!X34,'Février'!X34,'Mars'!X34,'Avril'!X34,'Mai'!X34,'Juin'!X34,'Juillet'!X34,'Août'!X34,'Septembre'!X34,'Octobre'!X34,'Novembre'!X34,'Décembre'!X34)),CHOOSE($Z$3,'Janvier'!X34,'Février'!X34,'Mars'!X34,'Avril'!X34,'Mai'!X34,'Juin'!X34,'Juillet'!X34,'Août'!X34,'Septembre'!X34,'Octobre'!X34,'Novembre'!X34,'Décembre'!X34),"")</f>
        <v/>
      </c>
      <c r="AL31" s="11">
        <f>IF(AND(ISNUMBER(AI31),ISNUMBER(AJ31)),IF(AI31&lt;=AJ31,1,0),0)</f>
        <v/>
      </c>
      <c r="AM31" s="11">
        <f>IF(OR(AA31="",AK31=""),-1,AK31+ROW()/1000000)</f>
        <v/>
      </c>
    </row>
    <row r="32">
      <c r="A32" s="20">
        <f>AA11</f>
        <v/>
      </c>
      <c r="C32" s="21">
        <f>IF(OR(AB11="",MAX(AB11,AC11,AD11,AE11)=0),"",REPT("█",MAX(1,ROUND(AB11/MAX(AB11,AC11,AD11,AE11)*6,0))))</f>
        <v/>
      </c>
      <c r="D32" s="21">
        <f>IF(OR(AC11="",MAX(AB11,AC11,AD11,AE11)=0),"",REPT("█",MAX(1,ROUND(AC11/MAX(AB11,AC11,AD11,AE11)*6,0))))</f>
        <v/>
      </c>
      <c r="E32" s="21">
        <f>IF(OR(AD11="",MAX(AB11,AC11,AD11,AE11)=0),"",REPT("█",MAX(1,ROUND(AD11/MAX(AB11,AC11,AD11,AE11)*6,0))))</f>
        <v/>
      </c>
      <c r="F32" s="21">
        <f>IF(OR(AE11="",MAX(AB11,AC11,AD11,AE11)=0),"",REPT("█",MAX(1,ROUND(AE11/MAX(AB11,AC11,AD11,AE11)*6,0))))</f>
        <v/>
      </c>
      <c r="G32" s="22">
        <f>IF(COUNT(AB11,AC11,AD11,AE11)&lt;2,"",IF(IF(AE11&lt;&gt;"",AE11,IF(AD11&lt;&gt;"",AD11,IF(AC11&lt;&gt;"",AC11,IF(AB11&lt;&gt;"",AB11,""))))&gt;IF(AB11&lt;&gt;"",AB11,IF(AC11&lt;&gt;"",AC11,IF(AD11&lt;&gt;"",AD11,AE11))),"▲",IF(IF(AE11&lt;&gt;"",AE11,IF(AD11&lt;&gt;"",AD11,IF(AC11&lt;&gt;"",AC11,IF(AB11&lt;&gt;"",AB11,""))))&lt;IF(AB11&lt;&gt;"",AB11,IF(AC11&lt;&gt;"",AC11,IF(AD11&lt;&gt;"",AD11,AE11))),"▼","=")))</f>
        <v/>
      </c>
      <c r="H32" s="22">
        <f>AI11</f>
        <v/>
      </c>
      <c r="I32" s="11">
        <f>AJ11</f>
        <v/>
      </c>
      <c r="J32" s="22">
        <f>IF(AL11=1,"À COMMANDER",IF(AA11="","",""))</f>
        <v/>
      </c>
      <c r="AA32" s="11">
        <f>IF(Produits!$A$34="","",Produits!$A$34)</f>
        <v/>
      </c>
      <c r="AB32" s="11">
        <f>IF(ISNUMBER(CHOOSE($Z$3,'Janvier'!E35,'Février'!E35,'Mars'!E35,'Avril'!E35,'Mai'!E35,'Juin'!E35,'Juillet'!E35,'Août'!E35,'Septembre'!E35,'Octobre'!E35,'Novembre'!E35,'Décembre'!E35)),CHOOSE($Z$3,'Janvier'!E35,'Février'!E35,'Mars'!E35,'Avril'!E35,'Mai'!E35,'Juin'!E35,'Juillet'!E35,'Août'!E35,'Septembre'!E35,'Octobre'!E35,'Novembre'!E35,'Décembre'!E35),"")</f>
        <v/>
      </c>
      <c r="AC32" s="11">
        <f>IF(ISNUMBER(CHOOSE($Z$3,'Janvier'!I35,'Février'!I35,'Mars'!I35,'Avril'!I35,'Mai'!I35,'Juin'!I35,'Juillet'!I35,'Août'!I35,'Septembre'!I35,'Octobre'!I35,'Novembre'!I35,'Décembre'!I35)),CHOOSE($Z$3,'Janvier'!I35,'Février'!I35,'Mars'!I35,'Avril'!I35,'Mai'!I35,'Juin'!I35,'Juillet'!I35,'Août'!I35,'Septembre'!I35,'Octobre'!I35,'Novembre'!I35,'Décembre'!I35),"")</f>
        <v/>
      </c>
      <c r="AD32" s="11">
        <f>IF(ISNUMBER(CHOOSE($Z$3,'Janvier'!M35,'Février'!M35,'Mars'!M35,'Avril'!M35,'Mai'!M35,'Juin'!M35,'Juillet'!M35,'Août'!M35,'Septembre'!M35,'Octobre'!M35,'Novembre'!M35,'Décembre'!M35)),CHOOSE($Z$3,'Janvier'!M35,'Février'!M35,'Mars'!M35,'Avril'!M35,'Mai'!M35,'Juin'!M35,'Juillet'!M35,'Août'!M35,'Septembre'!M35,'Octobre'!M35,'Novembre'!M35,'Décembre'!M35),"")</f>
        <v/>
      </c>
      <c r="AE32" s="11">
        <f>IF(ISNUMBER(CHOOSE($Z$3,'Janvier'!Q35,'Février'!Q35,'Mars'!Q35,'Avril'!Q35,'Mai'!Q35,'Juin'!Q35,'Juillet'!Q35,'Août'!Q35,'Septembre'!Q35,'Octobre'!Q35,'Novembre'!Q35,'Décembre'!Q35)),CHOOSE($Z$3,'Janvier'!Q35,'Février'!Q35,'Mars'!Q35,'Avril'!Q35,'Mai'!Q35,'Juin'!Q35,'Juillet'!Q35,'Août'!Q35,'Septembre'!Q35,'Octobre'!Q35,'Novembre'!Q35,'Décembre'!Q35),"")</f>
        <v/>
      </c>
      <c r="AF32" s="11">
        <f>IF(ISNUMBER(CHOOSE($Z$3,'Janvier'!T35,'Février'!T35,'Mars'!T35,'Avril'!T35,'Mai'!T35,'Juin'!T35,'Juillet'!T35,'Août'!T35,'Septembre'!T35,'Octobre'!T35,'Novembre'!T35,'Décembre'!T35)),CHOOSE($Z$3,'Janvier'!T35,'Février'!T35,'Mars'!T35,'Avril'!T35,'Mai'!T35,'Juin'!T35,'Juillet'!T35,'Août'!T35,'Septembre'!T35,'Octobre'!T35,'Novembre'!T35,'Décembre'!T35),"")</f>
        <v/>
      </c>
      <c r="AG32" s="11">
        <f>IF(ISNUMBER(CHOOSE($Z$3,'Janvier'!U35,'Février'!U35,'Mars'!U35,'Avril'!U35,'Mai'!U35,'Juin'!U35,'Juillet'!U35,'Août'!U35,'Septembre'!U35,'Octobre'!U35,'Novembre'!U35,'Décembre'!U35)),CHOOSE($Z$3,'Janvier'!U35,'Février'!U35,'Mars'!U35,'Avril'!U35,'Mai'!U35,'Juin'!U35,'Juillet'!U35,'Août'!U35,'Septembre'!U35,'Octobre'!U35,'Novembre'!U35,'Décembre'!U35),"")</f>
        <v/>
      </c>
      <c r="AH32" s="11">
        <f>IF(ISNUMBER(CHOOSE($Z$3,'Janvier'!V35,'Février'!V35,'Mars'!V35,'Avril'!V35,'Mai'!V35,'Juin'!V35,'Juillet'!V35,'Août'!V35,'Septembre'!V35,'Octobre'!V35,'Novembre'!V35,'Décembre'!V35)),CHOOSE($Z$3,'Janvier'!V35,'Février'!V35,'Mars'!V35,'Avril'!V35,'Mai'!V35,'Juin'!V35,'Juillet'!V35,'Août'!V35,'Septembre'!V35,'Octobre'!V35,'Novembre'!V35,'Décembre'!V35),"")</f>
        <v/>
      </c>
      <c r="AI32" s="11">
        <f>IF(ISNUMBER(CHOOSE($Z$3,'Janvier'!W35,'Février'!W35,'Mars'!W35,'Avril'!W35,'Mai'!W35,'Juin'!W35,'Juillet'!W35,'Août'!W35,'Septembre'!W35,'Octobre'!W35,'Novembre'!W35,'Décembre'!W35)),CHOOSE($Z$3,'Janvier'!W35,'Février'!W35,'Mars'!W35,'Avril'!W35,'Mai'!W35,'Juin'!W35,'Juillet'!W35,'Août'!W35,'Septembre'!W35,'Octobre'!W35,'Novembre'!W35,'Décembre'!W35),"")</f>
        <v/>
      </c>
      <c r="AJ32" s="11">
        <f>IF(Produits!$A$34="","",Produits!$D$34)</f>
        <v/>
      </c>
      <c r="AK32" s="11">
        <f>IF(ISNUMBER(CHOOSE($Z$3,'Janvier'!X35,'Février'!X35,'Mars'!X35,'Avril'!X35,'Mai'!X35,'Juin'!X35,'Juillet'!X35,'Août'!X35,'Septembre'!X35,'Octobre'!X35,'Novembre'!X35,'Décembre'!X35)),CHOOSE($Z$3,'Janvier'!X35,'Février'!X35,'Mars'!X35,'Avril'!X35,'Mai'!X35,'Juin'!X35,'Juillet'!X35,'Août'!X35,'Septembre'!X35,'Octobre'!X35,'Novembre'!X35,'Décembre'!X35),"")</f>
        <v/>
      </c>
      <c r="AL32" s="11">
        <f>IF(AND(ISNUMBER(AI32),ISNUMBER(AJ32)),IF(AI32&lt;=AJ32,1,0),0)</f>
        <v/>
      </c>
      <c r="AM32" s="11">
        <f>IF(OR(AA32="",AK32=""),-1,AK32+ROW()/1000000)</f>
        <v/>
      </c>
    </row>
    <row r="33">
      <c r="A33" s="20">
        <f>AA12</f>
        <v/>
      </c>
      <c r="C33" s="21">
        <f>IF(OR(AB12="",MAX(AB12,AC12,AD12,AE12)=0),"",REPT("█",MAX(1,ROUND(AB12/MAX(AB12,AC12,AD12,AE12)*6,0))))</f>
        <v/>
      </c>
      <c r="D33" s="21">
        <f>IF(OR(AC12="",MAX(AB12,AC12,AD12,AE12)=0),"",REPT("█",MAX(1,ROUND(AC12/MAX(AB12,AC12,AD12,AE12)*6,0))))</f>
        <v/>
      </c>
      <c r="E33" s="21">
        <f>IF(OR(AD12="",MAX(AB12,AC12,AD12,AE12)=0),"",REPT("█",MAX(1,ROUND(AD12/MAX(AB12,AC12,AD12,AE12)*6,0))))</f>
        <v/>
      </c>
      <c r="F33" s="21">
        <f>IF(OR(AE12="",MAX(AB12,AC12,AD12,AE12)=0),"",REPT("█",MAX(1,ROUND(AE12/MAX(AB12,AC12,AD12,AE12)*6,0))))</f>
        <v/>
      </c>
      <c r="G33" s="22">
        <f>IF(COUNT(AB12,AC12,AD12,AE12)&lt;2,"",IF(IF(AE12&lt;&gt;"",AE12,IF(AD12&lt;&gt;"",AD12,IF(AC12&lt;&gt;"",AC12,IF(AB12&lt;&gt;"",AB12,""))))&gt;IF(AB12&lt;&gt;"",AB12,IF(AC12&lt;&gt;"",AC12,IF(AD12&lt;&gt;"",AD12,AE12))),"▲",IF(IF(AE12&lt;&gt;"",AE12,IF(AD12&lt;&gt;"",AD12,IF(AC12&lt;&gt;"",AC12,IF(AB12&lt;&gt;"",AB12,""))))&lt;IF(AB12&lt;&gt;"",AB12,IF(AC12&lt;&gt;"",AC12,IF(AD12&lt;&gt;"",AD12,AE12))),"▼","=")))</f>
        <v/>
      </c>
      <c r="H33" s="22">
        <f>AI12</f>
        <v/>
      </c>
      <c r="I33" s="11">
        <f>AJ12</f>
        <v/>
      </c>
      <c r="J33" s="22">
        <f>IF(AL12=1,"À COMMANDER",IF(AA12="","",""))</f>
        <v/>
      </c>
      <c r="AA33" s="11">
        <f>IF(Produits!$A$35="","",Produits!$A$35)</f>
        <v/>
      </c>
      <c r="AB33" s="11">
        <f>IF(ISNUMBER(CHOOSE($Z$3,'Janvier'!E36,'Février'!E36,'Mars'!E36,'Avril'!E36,'Mai'!E36,'Juin'!E36,'Juillet'!E36,'Août'!E36,'Septembre'!E36,'Octobre'!E36,'Novembre'!E36,'Décembre'!E36)),CHOOSE($Z$3,'Janvier'!E36,'Février'!E36,'Mars'!E36,'Avril'!E36,'Mai'!E36,'Juin'!E36,'Juillet'!E36,'Août'!E36,'Septembre'!E36,'Octobre'!E36,'Novembre'!E36,'Décembre'!E36),"")</f>
        <v/>
      </c>
      <c r="AC33" s="11">
        <f>IF(ISNUMBER(CHOOSE($Z$3,'Janvier'!I36,'Février'!I36,'Mars'!I36,'Avril'!I36,'Mai'!I36,'Juin'!I36,'Juillet'!I36,'Août'!I36,'Septembre'!I36,'Octobre'!I36,'Novembre'!I36,'Décembre'!I36)),CHOOSE($Z$3,'Janvier'!I36,'Février'!I36,'Mars'!I36,'Avril'!I36,'Mai'!I36,'Juin'!I36,'Juillet'!I36,'Août'!I36,'Septembre'!I36,'Octobre'!I36,'Novembre'!I36,'Décembre'!I36),"")</f>
        <v/>
      </c>
      <c r="AD33" s="11">
        <f>IF(ISNUMBER(CHOOSE($Z$3,'Janvier'!M36,'Février'!M36,'Mars'!M36,'Avril'!M36,'Mai'!M36,'Juin'!M36,'Juillet'!M36,'Août'!M36,'Septembre'!M36,'Octobre'!M36,'Novembre'!M36,'Décembre'!M36)),CHOOSE($Z$3,'Janvier'!M36,'Février'!M36,'Mars'!M36,'Avril'!M36,'Mai'!M36,'Juin'!M36,'Juillet'!M36,'Août'!M36,'Septembre'!M36,'Octobre'!M36,'Novembre'!M36,'Décembre'!M36),"")</f>
        <v/>
      </c>
      <c r="AE33" s="11">
        <f>IF(ISNUMBER(CHOOSE($Z$3,'Janvier'!Q36,'Février'!Q36,'Mars'!Q36,'Avril'!Q36,'Mai'!Q36,'Juin'!Q36,'Juillet'!Q36,'Août'!Q36,'Septembre'!Q36,'Octobre'!Q36,'Novembre'!Q36,'Décembre'!Q36)),CHOOSE($Z$3,'Janvier'!Q36,'Février'!Q36,'Mars'!Q36,'Avril'!Q36,'Mai'!Q36,'Juin'!Q36,'Juillet'!Q36,'Août'!Q36,'Septembre'!Q36,'Octobre'!Q36,'Novembre'!Q36,'Décembre'!Q36),"")</f>
        <v/>
      </c>
      <c r="AF33" s="11">
        <f>IF(ISNUMBER(CHOOSE($Z$3,'Janvier'!T36,'Février'!T36,'Mars'!T36,'Avril'!T36,'Mai'!T36,'Juin'!T36,'Juillet'!T36,'Août'!T36,'Septembre'!T36,'Octobre'!T36,'Novembre'!T36,'Décembre'!T36)),CHOOSE($Z$3,'Janvier'!T36,'Février'!T36,'Mars'!T36,'Avril'!T36,'Mai'!T36,'Juin'!T36,'Juillet'!T36,'Août'!T36,'Septembre'!T36,'Octobre'!T36,'Novembre'!T36,'Décembre'!T36),"")</f>
        <v/>
      </c>
      <c r="AG33" s="11">
        <f>IF(ISNUMBER(CHOOSE($Z$3,'Janvier'!U36,'Février'!U36,'Mars'!U36,'Avril'!U36,'Mai'!U36,'Juin'!U36,'Juillet'!U36,'Août'!U36,'Septembre'!U36,'Octobre'!U36,'Novembre'!U36,'Décembre'!U36)),CHOOSE($Z$3,'Janvier'!U36,'Février'!U36,'Mars'!U36,'Avril'!U36,'Mai'!U36,'Juin'!U36,'Juillet'!U36,'Août'!U36,'Septembre'!U36,'Octobre'!U36,'Novembre'!U36,'Décembre'!U36),"")</f>
        <v/>
      </c>
      <c r="AH33" s="11">
        <f>IF(ISNUMBER(CHOOSE($Z$3,'Janvier'!V36,'Février'!V36,'Mars'!V36,'Avril'!V36,'Mai'!V36,'Juin'!V36,'Juillet'!V36,'Août'!V36,'Septembre'!V36,'Octobre'!V36,'Novembre'!V36,'Décembre'!V36)),CHOOSE($Z$3,'Janvier'!V36,'Février'!V36,'Mars'!V36,'Avril'!V36,'Mai'!V36,'Juin'!V36,'Juillet'!V36,'Août'!V36,'Septembre'!V36,'Octobre'!V36,'Novembre'!V36,'Décembre'!V36),"")</f>
        <v/>
      </c>
      <c r="AI33" s="11">
        <f>IF(ISNUMBER(CHOOSE($Z$3,'Janvier'!W36,'Février'!W36,'Mars'!W36,'Avril'!W36,'Mai'!W36,'Juin'!W36,'Juillet'!W36,'Août'!W36,'Septembre'!W36,'Octobre'!W36,'Novembre'!W36,'Décembre'!W36)),CHOOSE($Z$3,'Janvier'!W36,'Février'!W36,'Mars'!W36,'Avril'!W36,'Mai'!W36,'Juin'!W36,'Juillet'!W36,'Août'!W36,'Septembre'!W36,'Octobre'!W36,'Novembre'!W36,'Décembre'!W36),"")</f>
        <v/>
      </c>
      <c r="AJ33" s="11">
        <f>IF(Produits!$A$35="","",Produits!$D$35)</f>
        <v/>
      </c>
      <c r="AK33" s="11">
        <f>IF(ISNUMBER(CHOOSE($Z$3,'Janvier'!X36,'Février'!X36,'Mars'!X36,'Avril'!X36,'Mai'!X36,'Juin'!X36,'Juillet'!X36,'Août'!X36,'Septembre'!X36,'Octobre'!X36,'Novembre'!X36,'Décembre'!X36)),CHOOSE($Z$3,'Janvier'!X36,'Février'!X36,'Mars'!X36,'Avril'!X36,'Mai'!X36,'Juin'!X36,'Juillet'!X36,'Août'!X36,'Septembre'!X36,'Octobre'!X36,'Novembre'!X36,'Décembre'!X36),"")</f>
        <v/>
      </c>
      <c r="AL33" s="11">
        <f>IF(AND(ISNUMBER(AI33),ISNUMBER(AJ33)),IF(AI33&lt;=AJ33,1,0),0)</f>
        <v/>
      </c>
      <c r="AM33" s="11">
        <f>IF(OR(AA33="",AK33=""),-1,AK33+ROW()/1000000)</f>
        <v/>
      </c>
    </row>
    <row r="34">
      <c r="A34" s="20">
        <f>AA13</f>
        <v/>
      </c>
      <c r="C34" s="21">
        <f>IF(OR(AB13="",MAX(AB13,AC13,AD13,AE13)=0),"",REPT("█",MAX(1,ROUND(AB13/MAX(AB13,AC13,AD13,AE13)*6,0))))</f>
        <v/>
      </c>
      <c r="D34" s="21">
        <f>IF(OR(AC13="",MAX(AB13,AC13,AD13,AE13)=0),"",REPT("█",MAX(1,ROUND(AC13/MAX(AB13,AC13,AD13,AE13)*6,0))))</f>
        <v/>
      </c>
      <c r="E34" s="21">
        <f>IF(OR(AD13="",MAX(AB13,AC13,AD13,AE13)=0),"",REPT("█",MAX(1,ROUND(AD13/MAX(AB13,AC13,AD13,AE13)*6,0))))</f>
        <v/>
      </c>
      <c r="F34" s="21">
        <f>IF(OR(AE13="",MAX(AB13,AC13,AD13,AE13)=0),"",REPT("█",MAX(1,ROUND(AE13/MAX(AB13,AC13,AD13,AE13)*6,0))))</f>
        <v/>
      </c>
      <c r="G34" s="22">
        <f>IF(COUNT(AB13,AC13,AD13,AE13)&lt;2,"",IF(IF(AE13&lt;&gt;"",AE13,IF(AD13&lt;&gt;"",AD13,IF(AC13&lt;&gt;"",AC13,IF(AB13&lt;&gt;"",AB13,""))))&gt;IF(AB13&lt;&gt;"",AB13,IF(AC13&lt;&gt;"",AC13,IF(AD13&lt;&gt;"",AD13,AE13))),"▲",IF(IF(AE13&lt;&gt;"",AE13,IF(AD13&lt;&gt;"",AD13,IF(AC13&lt;&gt;"",AC13,IF(AB13&lt;&gt;"",AB13,""))))&lt;IF(AB13&lt;&gt;"",AB13,IF(AC13&lt;&gt;"",AC13,IF(AD13&lt;&gt;"",AD13,AE13))),"▼","=")))</f>
        <v/>
      </c>
      <c r="H34" s="22">
        <f>AI13</f>
        <v/>
      </c>
      <c r="I34" s="11">
        <f>AJ13</f>
        <v/>
      </c>
      <c r="J34" s="22">
        <f>IF(AL13=1,"À COMMANDER",IF(AA13="","",""))</f>
        <v/>
      </c>
      <c r="AA34" s="11">
        <f>IF(Produits!$A$36="","",Produits!$A$36)</f>
        <v/>
      </c>
      <c r="AB34" s="11">
        <f>IF(ISNUMBER(CHOOSE($Z$3,'Janvier'!E37,'Février'!E37,'Mars'!E37,'Avril'!E37,'Mai'!E37,'Juin'!E37,'Juillet'!E37,'Août'!E37,'Septembre'!E37,'Octobre'!E37,'Novembre'!E37,'Décembre'!E37)),CHOOSE($Z$3,'Janvier'!E37,'Février'!E37,'Mars'!E37,'Avril'!E37,'Mai'!E37,'Juin'!E37,'Juillet'!E37,'Août'!E37,'Septembre'!E37,'Octobre'!E37,'Novembre'!E37,'Décembre'!E37),"")</f>
        <v/>
      </c>
      <c r="AC34" s="11">
        <f>IF(ISNUMBER(CHOOSE($Z$3,'Janvier'!I37,'Février'!I37,'Mars'!I37,'Avril'!I37,'Mai'!I37,'Juin'!I37,'Juillet'!I37,'Août'!I37,'Septembre'!I37,'Octobre'!I37,'Novembre'!I37,'Décembre'!I37)),CHOOSE($Z$3,'Janvier'!I37,'Février'!I37,'Mars'!I37,'Avril'!I37,'Mai'!I37,'Juin'!I37,'Juillet'!I37,'Août'!I37,'Septembre'!I37,'Octobre'!I37,'Novembre'!I37,'Décembre'!I37),"")</f>
        <v/>
      </c>
      <c r="AD34" s="11">
        <f>IF(ISNUMBER(CHOOSE($Z$3,'Janvier'!M37,'Février'!M37,'Mars'!M37,'Avril'!M37,'Mai'!M37,'Juin'!M37,'Juillet'!M37,'Août'!M37,'Septembre'!M37,'Octobre'!M37,'Novembre'!M37,'Décembre'!M37)),CHOOSE($Z$3,'Janvier'!M37,'Février'!M37,'Mars'!M37,'Avril'!M37,'Mai'!M37,'Juin'!M37,'Juillet'!M37,'Août'!M37,'Septembre'!M37,'Octobre'!M37,'Novembre'!M37,'Décembre'!M37),"")</f>
        <v/>
      </c>
      <c r="AE34" s="11">
        <f>IF(ISNUMBER(CHOOSE($Z$3,'Janvier'!Q37,'Février'!Q37,'Mars'!Q37,'Avril'!Q37,'Mai'!Q37,'Juin'!Q37,'Juillet'!Q37,'Août'!Q37,'Septembre'!Q37,'Octobre'!Q37,'Novembre'!Q37,'Décembre'!Q37)),CHOOSE($Z$3,'Janvier'!Q37,'Février'!Q37,'Mars'!Q37,'Avril'!Q37,'Mai'!Q37,'Juin'!Q37,'Juillet'!Q37,'Août'!Q37,'Septembre'!Q37,'Octobre'!Q37,'Novembre'!Q37,'Décembre'!Q37),"")</f>
        <v/>
      </c>
      <c r="AF34" s="11">
        <f>IF(ISNUMBER(CHOOSE($Z$3,'Janvier'!T37,'Février'!T37,'Mars'!T37,'Avril'!T37,'Mai'!T37,'Juin'!T37,'Juillet'!T37,'Août'!T37,'Septembre'!T37,'Octobre'!T37,'Novembre'!T37,'Décembre'!T37)),CHOOSE($Z$3,'Janvier'!T37,'Février'!T37,'Mars'!T37,'Avril'!T37,'Mai'!T37,'Juin'!T37,'Juillet'!T37,'Août'!T37,'Septembre'!T37,'Octobre'!T37,'Novembre'!T37,'Décembre'!T37),"")</f>
        <v/>
      </c>
      <c r="AG34" s="11">
        <f>IF(ISNUMBER(CHOOSE($Z$3,'Janvier'!U37,'Février'!U37,'Mars'!U37,'Avril'!U37,'Mai'!U37,'Juin'!U37,'Juillet'!U37,'Août'!U37,'Septembre'!U37,'Octobre'!U37,'Novembre'!U37,'Décembre'!U37)),CHOOSE($Z$3,'Janvier'!U37,'Février'!U37,'Mars'!U37,'Avril'!U37,'Mai'!U37,'Juin'!U37,'Juillet'!U37,'Août'!U37,'Septembre'!U37,'Octobre'!U37,'Novembre'!U37,'Décembre'!U37),"")</f>
        <v/>
      </c>
      <c r="AH34" s="11">
        <f>IF(ISNUMBER(CHOOSE($Z$3,'Janvier'!V37,'Février'!V37,'Mars'!V37,'Avril'!V37,'Mai'!V37,'Juin'!V37,'Juillet'!V37,'Août'!V37,'Septembre'!V37,'Octobre'!V37,'Novembre'!V37,'Décembre'!V37)),CHOOSE($Z$3,'Janvier'!V37,'Février'!V37,'Mars'!V37,'Avril'!V37,'Mai'!V37,'Juin'!V37,'Juillet'!V37,'Août'!V37,'Septembre'!V37,'Octobre'!V37,'Novembre'!V37,'Décembre'!V37),"")</f>
        <v/>
      </c>
      <c r="AI34" s="11">
        <f>IF(ISNUMBER(CHOOSE($Z$3,'Janvier'!W37,'Février'!W37,'Mars'!W37,'Avril'!W37,'Mai'!W37,'Juin'!W37,'Juillet'!W37,'Août'!W37,'Septembre'!W37,'Octobre'!W37,'Novembre'!W37,'Décembre'!W37)),CHOOSE($Z$3,'Janvier'!W37,'Février'!W37,'Mars'!W37,'Avril'!W37,'Mai'!W37,'Juin'!W37,'Juillet'!W37,'Août'!W37,'Septembre'!W37,'Octobre'!W37,'Novembre'!W37,'Décembre'!W37),"")</f>
        <v/>
      </c>
      <c r="AJ34" s="11">
        <f>IF(Produits!$A$36="","",Produits!$D$36)</f>
        <v/>
      </c>
      <c r="AK34" s="11">
        <f>IF(ISNUMBER(CHOOSE($Z$3,'Janvier'!X37,'Février'!X37,'Mars'!X37,'Avril'!X37,'Mai'!X37,'Juin'!X37,'Juillet'!X37,'Août'!X37,'Septembre'!X37,'Octobre'!X37,'Novembre'!X37,'Décembre'!X37)),CHOOSE($Z$3,'Janvier'!X37,'Février'!X37,'Mars'!X37,'Avril'!X37,'Mai'!X37,'Juin'!X37,'Juillet'!X37,'Août'!X37,'Septembre'!X37,'Octobre'!X37,'Novembre'!X37,'Décembre'!X37),"")</f>
        <v/>
      </c>
      <c r="AL34" s="11">
        <f>IF(AND(ISNUMBER(AI34),ISNUMBER(AJ34)),IF(AI34&lt;=AJ34,1,0),0)</f>
        <v/>
      </c>
      <c r="AM34" s="11">
        <f>IF(OR(AA34="",AK34=""),-1,AK34+ROW()/1000000)</f>
        <v/>
      </c>
    </row>
    <row r="35">
      <c r="A35" s="20">
        <f>AA14</f>
        <v/>
      </c>
      <c r="C35" s="21">
        <f>IF(OR(AB14="",MAX(AB14,AC14,AD14,AE14)=0),"",REPT("█",MAX(1,ROUND(AB14/MAX(AB14,AC14,AD14,AE14)*6,0))))</f>
        <v/>
      </c>
      <c r="D35" s="21">
        <f>IF(OR(AC14="",MAX(AB14,AC14,AD14,AE14)=0),"",REPT("█",MAX(1,ROUND(AC14/MAX(AB14,AC14,AD14,AE14)*6,0))))</f>
        <v/>
      </c>
      <c r="E35" s="21">
        <f>IF(OR(AD14="",MAX(AB14,AC14,AD14,AE14)=0),"",REPT("█",MAX(1,ROUND(AD14/MAX(AB14,AC14,AD14,AE14)*6,0))))</f>
        <v/>
      </c>
      <c r="F35" s="21">
        <f>IF(OR(AE14="",MAX(AB14,AC14,AD14,AE14)=0),"",REPT("█",MAX(1,ROUND(AE14/MAX(AB14,AC14,AD14,AE14)*6,0))))</f>
        <v/>
      </c>
      <c r="G35" s="22">
        <f>IF(COUNT(AB14,AC14,AD14,AE14)&lt;2,"",IF(IF(AE14&lt;&gt;"",AE14,IF(AD14&lt;&gt;"",AD14,IF(AC14&lt;&gt;"",AC14,IF(AB14&lt;&gt;"",AB14,""))))&gt;IF(AB14&lt;&gt;"",AB14,IF(AC14&lt;&gt;"",AC14,IF(AD14&lt;&gt;"",AD14,AE14))),"▲",IF(IF(AE14&lt;&gt;"",AE14,IF(AD14&lt;&gt;"",AD14,IF(AC14&lt;&gt;"",AC14,IF(AB14&lt;&gt;"",AB14,""))))&lt;IF(AB14&lt;&gt;"",AB14,IF(AC14&lt;&gt;"",AC14,IF(AD14&lt;&gt;"",AD14,AE14))),"▼","=")))</f>
        <v/>
      </c>
      <c r="H35" s="22">
        <f>AI14</f>
        <v/>
      </c>
      <c r="I35" s="11">
        <f>AJ14</f>
        <v/>
      </c>
      <c r="J35" s="22">
        <f>IF(AL14=1,"À COMMANDER",IF(AA14="","",""))</f>
        <v/>
      </c>
      <c r="AA35" s="11">
        <f>IF(Produits!$A$38="","",Produits!$A$38)</f>
        <v/>
      </c>
      <c r="AB35" s="11">
        <f>IF(ISNUMBER(CHOOSE($Z$3,'Janvier'!E39,'Février'!E39,'Mars'!E39,'Avril'!E39,'Mai'!E39,'Juin'!E39,'Juillet'!E39,'Août'!E39,'Septembre'!E39,'Octobre'!E39,'Novembre'!E39,'Décembre'!E39)),CHOOSE($Z$3,'Janvier'!E39,'Février'!E39,'Mars'!E39,'Avril'!E39,'Mai'!E39,'Juin'!E39,'Juillet'!E39,'Août'!E39,'Septembre'!E39,'Octobre'!E39,'Novembre'!E39,'Décembre'!E39),"")</f>
        <v/>
      </c>
      <c r="AC35" s="11">
        <f>IF(ISNUMBER(CHOOSE($Z$3,'Janvier'!I39,'Février'!I39,'Mars'!I39,'Avril'!I39,'Mai'!I39,'Juin'!I39,'Juillet'!I39,'Août'!I39,'Septembre'!I39,'Octobre'!I39,'Novembre'!I39,'Décembre'!I39)),CHOOSE($Z$3,'Janvier'!I39,'Février'!I39,'Mars'!I39,'Avril'!I39,'Mai'!I39,'Juin'!I39,'Juillet'!I39,'Août'!I39,'Septembre'!I39,'Octobre'!I39,'Novembre'!I39,'Décembre'!I39),"")</f>
        <v/>
      </c>
      <c r="AD35" s="11">
        <f>IF(ISNUMBER(CHOOSE($Z$3,'Janvier'!M39,'Février'!M39,'Mars'!M39,'Avril'!M39,'Mai'!M39,'Juin'!M39,'Juillet'!M39,'Août'!M39,'Septembre'!M39,'Octobre'!M39,'Novembre'!M39,'Décembre'!M39)),CHOOSE($Z$3,'Janvier'!M39,'Février'!M39,'Mars'!M39,'Avril'!M39,'Mai'!M39,'Juin'!M39,'Juillet'!M39,'Août'!M39,'Septembre'!M39,'Octobre'!M39,'Novembre'!M39,'Décembre'!M39),"")</f>
        <v/>
      </c>
      <c r="AE35" s="11">
        <f>IF(ISNUMBER(CHOOSE($Z$3,'Janvier'!Q39,'Février'!Q39,'Mars'!Q39,'Avril'!Q39,'Mai'!Q39,'Juin'!Q39,'Juillet'!Q39,'Août'!Q39,'Septembre'!Q39,'Octobre'!Q39,'Novembre'!Q39,'Décembre'!Q39)),CHOOSE($Z$3,'Janvier'!Q39,'Février'!Q39,'Mars'!Q39,'Avril'!Q39,'Mai'!Q39,'Juin'!Q39,'Juillet'!Q39,'Août'!Q39,'Septembre'!Q39,'Octobre'!Q39,'Novembre'!Q39,'Décembre'!Q39),"")</f>
        <v/>
      </c>
      <c r="AF35" s="11">
        <f>IF(ISNUMBER(CHOOSE($Z$3,'Janvier'!T39,'Février'!T39,'Mars'!T39,'Avril'!T39,'Mai'!T39,'Juin'!T39,'Juillet'!T39,'Août'!T39,'Septembre'!T39,'Octobre'!T39,'Novembre'!T39,'Décembre'!T39)),CHOOSE($Z$3,'Janvier'!T39,'Février'!T39,'Mars'!T39,'Avril'!T39,'Mai'!T39,'Juin'!T39,'Juillet'!T39,'Août'!T39,'Septembre'!T39,'Octobre'!T39,'Novembre'!T39,'Décembre'!T39),"")</f>
        <v/>
      </c>
      <c r="AG35" s="11">
        <f>IF(ISNUMBER(CHOOSE($Z$3,'Janvier'!U39,'Février'!U39,'Mars'!U39,'Avril'!U39,'Mai'!U39,'Juin'!U39,'Juillet'!U39,'Août'!U39,'Septembre'!U39,'Octobre'!U39,'Novembre'!U39,'Décembre'!U39)),CHOOSE($Z$3,'Janvier'!U39,'Février'!U39,'Mars'!U39,'Avril'!U39,'Mai'!U39,'Juin'!U39,'Juillet'!U39,'Août'!U39,'Septembre'!U39,'Octobre'!U39,'Novembre'!U39,'Décembre'!U39),"")</f>
        <v/>
      </c>
      <c r="AH35" s="11">
        <f>IF(ISNUMBER(CHOOSE($Z$3,'Janvier'!V39,'Février'!V39,'Mars'!V39,'Avril'!V39,'Mai'!V39,'Juin'!V39,'Juillet'!V39,'Août'!V39,'Septembre'!V39,'Octobre'!V39,'Novembre'!V39,'Décembre'!V39)),CHOOSE($Z$3,'Janvier'!V39,'Février'!V39,'Mars'!V39,'Avril'!V39,'Mai'!V39,'Juin'!V39,'Juillet'!V39,'Août'!V39,'Septembre'!V39,'Octobre'!V39,'Novembre'!V39,'Décembre'!V39),"")</f>
        <v/>
      </c>
      <c r="AI35" s="11">
        <f>IF(ISNUMBER(CHOOSE($Z$3,'Janvier'!W39,'Février'!W39,'Mars'!W39,'Avril'!W39,'Mai'!W39,'Juin'!W39,'Juillet'!W39,'Août'!W39,'Septembre'!W39,'Octobre'!W39,'Novembre'!W39,'Décembre'!W39)),CHOOSE($Z$3,'Janvier'!W39,'Février'!W39,'Mars'!W39,'Avril'!W39,'Mai'!W39,'Juin'!W39,'Juillet'!W39,'Août'!W39,'Septembre'!W39,'Octobre'!W39,'Novembre'!W39,'Décembre'!W39),"")</f>
        <v/>
      </c>
      <c r="AJ35" s="11">
        <f>IF(Produits!$A$38="","",Produits!$D$38)</f>
        <v/>
      </c>
      <c r="AK35" s="11">
        <f>IF(ISNUMBER(CHOOSE($Z$3,'Janvier'!X39,'Février'!X39,'Mars'!X39,'Avril'!X39,'Mai'!X39,'Juin'!X39,'Juillet'!X39,'Août'!X39,'Septembre'!X39,'Octobre'!X39,'Novembre'!X39,'Décembre'!X39)),CHOOSE($Z$3,'Janvier'!X39,'Février'!X39,'Mars'!X39,'Avril'!X39,'Mai'!X39,'Juin'!X39,'Juillet'!X39,'Août'!X39,'Septembre'!X39,'Octobre'!X39,'Novembre'!X39,'Décembre'!X39),"")</f>
        <v/>
      </c>
      <c r="AL35" s="11">
        <f>IF(AND(ISNUMBER(AI35),ISNUMBER(AJ35)),IF(AI35&lt;=AJ35,1,0),0)</f>
        <v/>
      </c>
      <c r="AM35" s="11">
        <f>IF(OR(AA35="",AK35=""),-1,AK35+ROW()/1000000)</f>
        <v/>
      </c>
    </row>
    <row r="36">
      <c r="A36" s="20">
        <f>AA15</f>
        <v/>
      </c>
      <c r="C36" s="21">
        <f>IF(OR(AB15="",MAX(AB15,AC15,AD15,AE15)=0),"",REPT("█",MAX(1,ROUND(AB15/MAX(AB15,AC15,AD15,AE15)*6,0))))</f>
        <v/>
      </c>
      <c r="D36" s="21">
        <f>IF(OR(AC15="",MAX(AB15,AC15,AD15,AE15)=0),"",REPT("█",MAX(1,ROUND(AC15/MAX(AB15,AC15,AD15,AE15)*6,0))))</f>
        <v/>
      </c>
      <c r="E36" s="21">
        <f>IF(OR(AD15="",MAX(AB15,AC15,AD15,AE15)=0),"",REPT("█",MAX(1,ROUND(AD15/MAX(AB15,AC15,AD15,AE15)*6,0))))</f>
        <v/>
      </c>
      <c r="F36" s="21">
        <f>IF(OR(AE15="",MAX(AB15,AC15,AD15,AE15)=0),"",REPT("█",MAX(1,ROUND(AE15/MAX(AB15,AC15,AD15,AE15)*6,0))))</f>
        <v/>
      </c>
      <c r="G36" s="22">
        <f>IF(COUNT(AB15,AC15,AD15,AE15)&lt;2,"",IF(IF(AE15&lt;&gt;"",AE15,IF(AD15&lt;&gt;"",AD15,IF(AC15&lt;&gt;"",AC15,IF(AB15&lt;&gt;"",AB15,""))))&gt;IF(AB15&lt;&gt;"",AB15,IF(AC15&lt;&gt;"",AC15,IF(AD15&lt;&gt;"",AD15,AE15))),"▲",IF(IF(AE15&lt;&gt;"",AE15,IF(AD15&lt;&gt;"",AD15,IF(AC15&lt;&gt;"",AC15,IF(AB15&lt;&gt;"",AB15,""))))&lt;IF(AB15&lt;&gt;"",AB15,IF(AC15&lt;&gt;"",AC15,IF(AD15&lt;&gt;"",AD15,AE15))),"▼","=")))</f>
        <v/>
      </c>
      <c r="H36" s="22">
        <f>AI15</f>
        <v/>
      </c>
      <c r="I36" s="11">
        <f>AJ15</f>
        <v/>
      </c>
      <c r="J36" s="22">
        <f>IF(AL15=1,"À COMMANDER",IF(AA15="","",""))</f>
        <v/>
      </c>
      <c r="AA36" s="11">
        <f>IF(Produits!$A$39="","",Produits!$A$39)</f>
        <v/>
      </c>
      <c r="AB36" s="11">
        <f>IF(ISNUMBER(CHOOSE($Z$3,'Janvier'!E40,'Février'!E40,'Mars'!E40,'Avril'!E40,'Mai'!E40,'Juin'!E40,'Juillet'!E40,'Août'!E40,'Septembre'!E40,'Octobre'!E40,'Novembre'!E40,'Décembre'!E40)),CHOOSE($Z$3,'Janvier'!E40,'Février'!E40,'Mars'!E40,'Avril'!E40,'Mai'!E40,'Juin'!E40,'Juillet'!E40,'Août'!E40,'Septembre'!E40,'Octobre'!E40,'Novembre'!E40,'Décembre'!E40),"")</f>
        <v/>
      </c>
      <c r="AC36" s="11">
        <f>IF(ISNUMBER(CHOOSE($Z$3,'Janvier'!I40,'Février'!I40,'Mars'!I40,'Avril'!I40,'Mai'!I40,'Juin'!I40,'Juillet'!I40,'Août'!I40,'Septembre'!I40,'Octobre'!I40,'Novembre'!I40,'Décembre'!I40)),CHOOSE($Z$3,'Janvier'!I40,'Février'!I40,'Mars'!I40,'Avril'!I40,'Mai'!I40,'Juin'!I40,'Juillet'!I40,'Août'!I40,'Septembre'!I40,'Octobre'!I40,'Novembre'!I40,'Décembre'!I40),"")</f>
        <v/>
      </c>
      <c r="AD36" s="11">
        <f>IF(ISNUMBER(CHOOSE($Z$3,'Janvier'!M40,'Février'!M40,'Mars'!M40,'Avril'!M40,'Mai'!M40,'Juin'!M40,'Juillet'!M40,'Août'!M40,'Septembre'!M40,'Octobre'!M40,'Novembre'!M40,'Décembre'!M40)),CHOOSE($Z$3,'Janvier'!M40,'Février'!M40,'Mars'!M40,'Avril'!M40,'Mai'!M40,'Juin'!M40,'Juillet'!M40,'Août'!M40,'Septembre'!M40,'Octobre'!M40,'Novembre'!M40,'Décembre'!M40),"")</f>
        <v/>
      </c>
      <c r="AE36" s="11">
        <f>IF(ISNUMBER(CHOOSE($Z$3,'Janvier'!Q40,'Février'!Q40,'Mars'!Q40,'Avril'!Q40,'Mai'!Q40,'Juin'!Q40,'Juillet'!Q40,'Août'!Q40,'Septembre'!Q40,'Octobre'!Q40,'Novembre'!Q40,'Décembre'!Q40)),CHOOSE($Z$3,'Janvier'!Q40,'Février'!Q40,'Mars'!Q40,'Avril'!Q40,'Mai'!Q40,'Juin'!Q40,'Juillet'!Q40,'Août'!Q40,'Septembre'!Q40,'Octobre'!Q40,'Novembre'!Q40,'Décembre'!Q40),"")</f>
        <v/>
      </c>
      <c r="AF36" s="11">
        <f>IF(ISNUMBER(CHOOSE($Z$3,'Janvier'!T40,'Février'!T40,'Mars'!T40,'Avril'!T40,'Mai'!T40,'Juin'!T40,'Juillet'!T40,'Août'!T40,'Septembre'!T40,'Octobre'!T40,'Novembre'!T40,'Décembre'!T40)),CHOOSE($Z$3,'Janvier'!T40,'Février'!T40,'Mars'!T40,'Avril'!T40,'Mai'!T40,'Juin'!T40,'Juillet'!T40,'Août'!T40,'Septembre'!T40,'Octobre'!T40,'Novembre'!T40,'Décembre'!T40),"")</f>
        <v/>
      </c>
      <c r="AG36" s="11">
        <f>IF(ISNUMBER(CHOOSE($Z$3,'Janvier'!U40,'Février'!U40,'Mars'!U40,'Avril'!U40,'Mai'!U40,'Juin'!U40,'Juillet'!U40,'Août'!U40,'Septembre'!U40,'Octobre'!U40,'Novembre'!U40,'Décembre'!U40)),CHOOSE($Z$3,'Janvier'!U40,'Février'!U40,'Mars'!U40,'Avril'!U40,'Mai'!U40,'Juin'!U40,'Juillet'!U40,'Août'!U40,'Septembre'!U40,'Octobre'!U40,'Novembre'!U40,'Décembre'!U40),"")</f>
        <v/>
      </c>
      <c r="AH36" s="11">
        <f>IF(ISNUMBER(CHOOSE($Z$3,'Janvier'!V40,'Février'!V40,'Mars'!V40,'Avril'!V40,'Mai'!V40,'Juin'!V40,'Juillet'!V40,'Août'!V40,'Septembre'!V40,'Octobre'!V40,'Novembre'!V40,'Décembre'!V40)),CHOOSE($Z$3,'Janvier'!V40,'Février'!V40,'Mars'!V40,'Avril'!V40,'Mai'!V40,'Juin'!V40,'Juillet'!V40,'Août'!V40,'Septembre'!V40,'Octobre'!V40,'Novembre'!V40,'Décembre'!V40),"")</f>
        <v/>
      </c>
      <c r="AI36" s="11">
        <f>IF(ISNUMBER(CHOOSE($Z$3,'Janvier'!W40,'Février'!W40,'Mars'!W40,'Avril'!W40,'Mai'!W40,'Juin'!W40,'Juillet'!W40,'Août'!W40,'Septembre'!W40,'Octobre'!W40,'Novembre'!W40,'Décembre'!W40)),CHOOSE($Z$3,'Janvier'!W40,'Février'!W40,'Mars'!W40,'Avril'!W40,'Mai'!W40,'Juin'!W40,'Juillet'!W40,'Août'!W40,'Septembre'!W40,'Octobre'!W40,'Novembre'!W40,'Décembre'!W40),"")</f>
        <v/>
      </c>
      <c r="AJ36" s="11">
        <f>IF(Produits!$A$39="","",Produits!$D$39)</f>
        <v/>
      </c>
      <c r="AK36" s="11">
        <f>IF(ISNUMBER(CHOOSE($Z$3,'Janvier'!X40,'Février'!X40,'Mars'!X40,'Avril'!X40,'Mai'!X40,'Juin'!X40,'Juillet'!X40,'Août'!X40,'Septembre'!X40,'Octobre'!X40,'Novembre'!X40,'Décembre'!X40)),CHOOSE($Z$3,'Janvier'!X40,'Février'!X40,'Mars'!X40,'Avril'!X40,'Mai'!X40,'Juin'!X40,'Juillet'!X40,'Août'!X40,'Septembre'!X40,'Octobre'!X40,'Novembre'!X40,'Décembre'!X40),"")</f>
        <v/>
      </c>
      <c r="AL36" s="11">
        <f>IF(AND(ISNUMBER(AI36),ISNUMBER(AJ36)),IF(AI36&lt;=AJ36,1,0),0)</f>
        <v/>
      </c>
      <c r="AM36" s="11">
        <f>IF(OR(AA36="",AK36=""),-1,AK36+ROW()/1000000)</f>
        <v/>
      </c>
    </row>
    <row r="37">
      <c r="A37" s="20">
        <f>AA16</f>
        <v/>
      </c>
      <c r="C37" s="21">
        <f>IF(OR(AB16="",MAX(AB16,AC16,AD16,AE16)=0),"",REPT("█",MAX(1,ROUND(AB16/MAX(AB16,AC16,AD16,AE16)*6,0))))</f>
        <v/>
      </c>
      <c r="D37" s="21">
        <f>IF(OR(AC16="",MAX(AB16,AC16,AD16,AE16)=0),"",REPT("█",MAX(1,ROUND(AC16/MAX(AB16,AC16,AD16,AE16)*6,0))))</f>
        <v/>
      </c>
      <c r="E37" s="21">
        <f>IF(OR(AD16="",MAX(AB16,AC16,AD16,AE16)=0),"",REPT("█",MAX(1,ROUND(AD16/MAX(AB16,AC16,AD16,AE16)*6,0))))</f>
        <v/>
      </c>
      <c r="F37" s="21">
        <f>IF(OR(AE16="",MAX(AB16,AC16,AD16,AE16)=0),"",REPT("█",MAX(1,ROUND(AE16/MAX(AB16,AC16,AD16,AE16)*6,0))))</f>
        <v/>
      </c>
      <c r="G37" s="22">
        <f>IF(COUNT(AB16,AC16,AD16,AE16)&lt;2,"",IF(IF(AE16&lt;&gt;"",AE16,IF(AD16&lt;&gt;"",AD16,IF(AC16&lt;&gt;"",AC16,IF(AB16&lt;&gt;"",AB16,""))))&gt;IF(AB16&lt;&gt;"",AB16,IF(AC16&lt;&gt;"",AC16,IF(AD16&lt;&gt;"",AD16,AE16))),"▲",IF(IF(AE16&lt;&gt;"",AE16,IF(AD16&lt;&gt;"",AD16,IF(AC16&lt;&gt;"",AC16,IF(AB16&lt;&gt;"",AB16,""))))&lt;IF(AB16&lt;&gt;"",AB16,IF(AC16&lt;&gt;"",AC16,IF(AD16&lt;&gt;"",AD16,AE16))),"▼","=")))</f>
        <v/>
      </c>
      <c r="H37" s="22">
        <f>AI16</f>
        <v/>
      </c>
      <c r="I37" s="11">
        <f>AJ16</f>
        <v/>
      </c>
      <c r="J37" s="22">
        <f>IF(AL16=1,"À COMMANDER",IF(AA16="","",""))</f>
        <v/>
      </c>
      <c r="AA37" s="11">
        <f>IF(Produits!$A$40="","",Produits!$A$40)</f>
        <v/>
      </c>
      <c r="AB37" s="11">
        <f>IF(ISNUMBER(CHOOSE($Z$3,'Janvier'!E41,'Février'!E41,'Mars'!E41,'Avril'!E41,'Mai'!E41,'Juin'!E41,'Juillet'!E41,'Août'!E41,'Septembre'!E41,'Octobre'!E41,'Novembre'!E41,'Décembre'!E41)),CHOOSE($Z$3,'Janvier'!E41,'Février'!E41,'Mars'!E41,'Avril'!E41,'Mai'!E41,'Juin'!E41,'Juillet'!E41,'Août'!E41,'Septembre'!E41,'Octobre'!E41,'Novembre'!E41,'Décembre'!E41),"")</f>
        <v/>
      </c>
      <c r="AC37" s="11">
        <f>IF(ISNUMBER(CHOOSE($Z$3,'Janvier'!I41,'Février'!I41,'Mars'!I41,'Avril'!I41,'Mai'!I41,'Juin'!I41,'Juillet'!I41,'Août'!I41,'Septembre'!I41,'Octobre'!I41,'Novembre'!I41,'Décembre'!I41)),CHOOSE($Z$3,'Janvier'!I41,'Février'!I41,'Mars'!I41,'Avril'!I41,'Mai'!I41,'Juin'!I41,'Juillet'!I41,'Août'!I41,'Septembre'!I41,'Octobre'!I41,'Novembre'!I41,'Décembre'!I41),"")</f>
        <v/>
      </c>
      <c r="AD37" s="11">
        <f>IF(ISNUMBER(CHOOSE($Z$3,'Janvier'!M41,'Février'!M41,'Mars'!M41,'Avril'!M41,'Mai'!M41,'Juin'!M41,'Juillet'!M41,'Août'!M41,'Septembre'!M41,'Octobre'!M41,'Novembre'!M41,'Décembre'!M41)),CHOOSE($Z$3,'Janvier'!M41,'Février'!M41,'Mars'!M41,'Avril'!M41,'Mai'!M41,'Juin'!M41,'Juillet'!M41,'Août'!M41,'Septembre'!M41,'Octobre'!M41,'Novembre'!M41,'Décembre'!M41),"")</f>
        <v/>
      </c>
      <c r="AE37" s="11">
        <f>IF(ISNUMBER(CHOOSE($Z$3,'Janvier'!Q41,'Février'!Q41,'Mars'!Q41,'Avril'!Q41,'Mai'!Q41,'Juin'!Q41,'Juillet'!Q41,'Août'!Q41,'Septembre'!Q41,'Octobre'!Q41,'Novembre'!Q41,'Décembre'!Q41)),CHOOSE($Z$3,'Janvier'!Q41,'Février'!Q41,'Mars'!Q41,'Avril'!Q41,'Mai'!Q41,'Juin'!Q41,'Juillet'!Q41,'Août'!Q41,'Septembre'!Q41,'Octobre'!Q41,'Novembre'!Q41,'Décembre'!Q41),"")</f>
        <v/>
      </c>
      <c r="AF37" s="11">
        <f>IF(ISNUMBER(CHOOSE($Z$3,'Janvier'!T41,'Février'!T41,'Mars'!T41,'Avril'!T41,'Mai'!T41,'Juin'!T41,'Juillet'!T41,'Août'!T41,'Septembre'!T41,'Octobre'!T41,'Novembre'!T41,'Décembre'!T41)),CHOOSE($Z$3,'Janvier'!T41,'Février'!T41,'Mars'!T41,'Avril'!T41,'Mai'!T41,'Juin'!T41,'Juillet'!T41,'Août'!T41,'Septembre'!T41,'Octobre'!T41,'Novembre'!T41,'Décembre'!T41),"")</f>
        <v/>
      </c>
      <c r="AG37" s="11">
        <f>IF(ISNUMBER(CHOOSE($Z$3,'Janvier'!U41,'Février'!U41,'Mars'!U41,'Avril'!U41,'Mai'!U41,'Juin'!U41,'Juillet'!U41,'Août'!U41,'Septembre'!U41,'Octobre'!U41,'Novembre'!U41,'Décembre'!U41)),CHOOSE($Z$3,'Janvier'!U41,'Février'!U41,'Mars'!U41,'Avril'!U41,'Mai'!U41,'Juin'!U41,'Juillet'!U41,'Août'!U41,'Septembre'!U41,'Octobre'!U41,'Novembre'!U41,'Décembre'!U41),"")</f>
        <v/>
      </c>
      <c r="AH37" s="11">
        <f>IF(ISNUMBER(CHOOSE($Z$3,'Janvier'!V41,'Février'!V41,'Mars'!V41,'Avril'!V41,'Mai'!V41,'Juin'!V41,'Juillet'!V41,'Août'!V41,'Septembre'!V41,'Octobre'!V41,'Novembre'!V41,'Décembre'!V41)),CHOOSE($Z$3,'Janvier'!V41,'Février'!V41,'Mars'!V41,'Avril'!V41,'Mai'!V41,'Juin'!V41,'Juillet'!V41,'Août'!V41,'Septembre'!V41,'Octobre'!V41,'Novembre'!V41,'Décembre'!V41),"")</f>
        <v/>
      </c>
      <c r="AI37" s="11">
        <f>IF(ISNUMBER(CHOOSE($Z$3,'Janvier'!W41,'Février'!W41,'Mars'!W41,'Avril'!W41,'Mai'!W41,'Juin'!W41,'Juillet'!W41,'Août'!W41,'Septembre'!W41,'Octobre'!W41,'Novembre'!W41,'Décembre'!W41)),CHOOSE($Z$3,'Janvier'!W41,'Février'!W41,'Mars'!W41,'Avril'!W41,'Mai'!W41,'Juin'!W41,'Juillet'!W41,'Août'!W41,'Septembre'!W41,'Octobre'!W41,'Novembre'!W41,'Décembre'!W41),"")</f>
        <v/>
      </c>
      <c r="AJ37" s="11">
        <f>IF(Produits!$A$40="","",Produits!$D$40)</f>
        <v/>
      </c>
      <c r="AK37" s="11">
        <f>IF(ISNUMBER(CHOOSE($Z$3,'Janvier'!X41,'Février'!X41,'Mars'!X41,'Avril'!X41,'Mai'!X41,'Juin'!X41,'Juillet'!X41,'Août'!X41,'Septembre'!X41,'Octobre'!X41,'Novembre'!X41,'Décembre'!X41)),CHOOSE($Z$3,'Janvier'!X41,'Février'!X41,'Mars'!X41,'Avril'!X41,'Mai'!X41,'Juin'!X41,'Juillet'!X41,'Août'!X41,'Septembre'!X41,'Octobre'!X41,'Novembre'!X41,'Décembre'!X41),"")</f>
        <v/>
      </c>
      <c r="AL37" s="11">
        <f>IF(AND(ISNUMBER(AI37),ISNUMBER(AJ37)),IF(AI37&lt;=AJ37,1,0),0)</f>
        <v/>
      </c>
      <c r="AM37" s="11">
        <f>IF(OR(AA37="",AK37=""),-1,AK37+ROW()/1000000)</f>
        <v/>
      </c>
    </row>
    <row r="38">
      <c r="A38" s="20">
        <f>AA17</f>
        <v/>
      </c>
      <c r="C38" s="21">
        <f>IF(OR(AB17="",MAX(AB17,AC17,AD17,AE17)=0),"",REPT("█",MAX(1,ROUND(AB17/MAX(AB17,AC17,AD17,AE17)*6,0))))</f>
        <v/>
      </c>
      <c r="D38" s="21">
        <f>IF(OR(AC17="",MAX(AB17,AC17,AD17,AE17)=0),"",REPT("█",MAX(1,ROUND(AC17/MAX(AB17,AC17,AD17,AE17)*6,0))))</f>
        <v/>
      </c>
      <c r="E38" s="21">
        <f>IF(OR(AD17="",MAX(AB17,AC17,AD17,AE17)=0),"",REPT("█",MAX(1,ROUND(AD17/MAX(AB17,AC17,AD17,AE17)*6,0))))</f>
        <v/>
      </c>
      <c r="F38" s="21">
        <f>IF(OR(AE17="",MAX(AB17,AC17,AD17,AE17)=0),"",REPT("█",MAX(1,ROUND(AE17/MAX(AB17,AC17,AD17,AE17)*6,0))))</f>
        <v/>
      </c>
      <c r="G38" s="22">
        <f>IF(COUNT(AB17,AC17,AD17,AE17)&lt;2,"",IF(IF(AE17&lt;&gt;"",AE17,IF(AD17&lt;&gt;"",AD17,IF(AC17&lt;&gt;"",AC17,IF(AB17&lt;&gt;"",AB17,""))))&gt;IF(AB17&lt;&gt;"",AB17,IF(AC17&lt;&gt;"",AC17,IF(AD17&lt;&gt;"",AD17,AE17))),"▲",IF(IF(AE17&lt;&gt;"",AE17,IF(AD17&lt;&gt;"",AD17,IF(AC17&lt;&gt;"",AC17,IF(AB17&lt;&gt;"",AB17,""))))&lt;IF(AB17&lt;&gt;"",AB17,IF(AC17&lt;&gt;"",AC17,IF(AD17&lt;&gt;"",AD17,AE17))),"▼","=")))</f>
        <v/>
      </c>
      <c r="H38" s="22">
        <f>AI17</f>
        <v/>
      </c>
      <c r="I38" s="11">
        <f>AJ17</f>
        <v/>
      </c>
      <c r="J38" s="22">
        <f>IF(AL17=1,"À COMMANDER",IF(AA17="","",""))</f>
        <v/>
      </c>
      <c r="AA38" s="11">
        <f>IF(Produits!$A$41="","",Produits!$A$41)</f>
        <v/>
      </c>
      <c r="AB38" s="11">
        <f>IF(ISNUMBER(CHOOSE($Z$3,'Janvier'!E42,'Février'!E42,'Mars'!E42,'Avril'!E42,'Mai'!E42,'Juin'!E42,'Juillet'!E42,'Août'!E42,'Septembre'!E42,'Octobre'!E42,'Novembre'!E42,'Décembre'!E42)),CHOOSE($Z$3,'Janvier'!E42,'Février'!E42,'Mars'!E42,'Avril'!E42,'Mai'!E42,'Juin'!E42,'Juillet'!E42,'Août'!E42,'Septembre'!E42,'Octobre'!E42,'Novembre'!E42,'Décembre'!E42),"")</f>
        <v/>
      </c>
      <c r="AC38" s="11">
        <f>IF(ISNUMBER(CHOOSE($Z$3,'Janvier'!I42,'Février'!I42,'Mars'!I42,'Avril'!I42,'Mai'!I42,'Juin'!I42,'Juillet'!I42,'Août'!I42,'Septembre'!I42,'Octobre'!I42,'Novembre'!I42,'Décembre'!I42)),CHOOSE($Z$3,'Janvier'!I42,'Février'!I42,'Mars'!I42,'Avril'!I42,'Mai'!I42,'Juin'!I42,'Juillet'!I42,'Août'!I42,'Septembre'!I42,'Octobre'!I42,'Novembre'!I42,'Décembre'!I42),"")</f>
        <v/>
      </c>
      <c r="AD38" s="11">
        <f>IF(ISNUMBER(CHOOSE($Z$3,'Janvier'!M42,'Février'!M42,'Mars'!M42,'Avril'!M42,'Mai'!M42,'Juin'!M42,'Juillet'!M42,'Août'!M42,'Septembre'!M42,'Octobre'!M42,'Novembre'!M42,'Décembre'!M42)),CHOOSE($Z$3,'Janvier'!M42,'Février'!M42,'Mars'!M42,'Avril'!M42,'Mai'!M42,'Juin'!M42,'Juillet'!M42,'Août'!M42,'Septembre'!M42,'Octobre'!M42,'Novembre'!M42,'Décembre'!M42),"")</f>
        <v/>
      </c>
      <c r="AE38" s="11">
        <f>IF(ISNUMBER(CHOOSE($Z$3,'Janvier'!Q42,'Février'!Q42,'Mars'!Q42,'Avril'!Q42,'Mai'!Q42,'Juin'!Q42,'Juillet'!Q42,'Août'!Q42,'Septembre'!Q42,'Octobre'!Q42,'Novembre'!Q42,'Décembre'!Q42)),CHOOSE($Z$3,'Janvier'!Q42,'Février'!Q42,'Mars'!Q42,'Avril'!Q42,'Mai'!Q42,'Juin'!Q42,'Juillet'!Q42,'Août'!Q42,'Septembre'!Q42,'Octobre'!Q42,'Novembre'!Q42,'Décembre'!Q42),"")</f>
        <v/>
      </c>
      <c r="AF38" s="11">
        <f>IF(ISNUMBER(CHOOSE($Z$3,'Janvier'!T42,'Février'!T42,'Mars'!T42,'Avril'!T42,'Mai'!T42,'Juin'!T42,'Juillet'!T42,'Août'!T42,'Septembre'!T42,'Octobre'!T42,'Novembre'!T42,'Décembre'!T42)),CHOOSE($Z$3,'Janvier'!T42,'Février'!T42,'Mars'!T42,'Avril'!T42,'Mai'!T42,'Juin'!T42,'Juillet'!T42,'Août'!T42,'Septembre'!T42,'Octobre'!T42,'Novembre'!T42,'Décembre'!T42),"")</f>
        <v/>
      </c>
      <c r="AG38" s="11">
        <f>IF(ISNUMBER(CHOOSE($Z$3,'Janvier'!U42,'Février'!U42,'Mars'!U42,'Avril'!U42,'Mai'!U42,'Juin'!U42,'Juillet'!U42,'Août'!U42,'Septembre'!U42,'Octobre'!U42,'Novembre'!U42,'Décembre'!U42)),CHOOSE($Z$3,'Janvier'!U42,'Février'!U42,'Mars'!U42,'Avril'!U42,'Mai'!U42,'Juin'!U42,'Juillet'!U42,'Août'!U42,'Septembre'!U42,'Octobre'!U42,'Novembre'!U42,'Décembre'!U42),"")</f>
        <v/>
      </c>
      <c r="AH38" s="11">
        <f>IF(ISNUMBER(CHOOSE($Z$3,'Janvier'!V42,'Février'!V42,'Mars'!V42,'Avril'!V42,'Mai'!V42,'Juin'!V42,'Juillet'!V42,'Août'!V42,'Septembre'!V42,'Octobre'!V42,'Novembre'!V42,'Décembre'!V42)),CHOOSE($Z$3,'Janvier'!V42,'Février'!V42,'Mars'!V42,'Avril'!V42,'Mai'!V42,'Juin'!V42,'Juillet'!V42,'Août'!V42,'Septembre'!V42,'Octobre'!V42,'Novembre'!V42,'Décembre'!V42),"")</f>
        <v/>
      </c>
      <c r="AI38" s="11">
        <f>IF(ISNUMBER(CHOOSE($Z$3,'Janvier'!W42,'Février'!W42,'Mars'!W42,'Avril'!W42,'Mai'!W42,'Juin'!W42,'Juillet'!W42,'Août'!W42,'Septembre'!W42,'Octobre'!W42,'Novembre'!W42,'Décembre'!W42)),CHOOSE($Z$3,'Janvier'!W42,'Février'!W42,'Mars'!W42,'Avril'!W42,'Mai'!W42,'Juin'!W42,'Juillet'!W42,'Août'!W42,'Septembre'!W42,'Octobre'!W42,'Novembre'!W42,'Décembre'!W42),"")</f>
        <v/>
      </c>
      <c r="AJ38" s="11">
        <f>IF(Produits!$A$41="","",Produits!$D$41)</f>
        <v/>
      </c>
      <c r="AK38" s="11">
        <f>IF(ISNUMBER(CHOOSE($Z$3,'Janvier'!X42,'Février'!X42,'Mars'!X42,'Avril'!X42,'Mai'!X42,'Juin'!X42,'Juillet'!X42,'Août'!X42,'Septembre'!X42,'Octobre'!X42,'Novembre'!X42,'Décembre'!X42)),CHOOSE($Z$3,'Janvier'!X42,'Février'!X42,'Mars'!X42,'Avril'!X42,'Mai'!X42,'Juin'!X42,'Juillet'!X42,'Août'!X42,'Septembre'!X42,'Octobre'!X42,'Novembre'!X42,'Décembre'!X42),"")</f>
        <v/>
      </c>
      <c r="AL38" s="11">
        <f>IF(AND(ISNUMBER(AI38),ISNUMBER(AJ38)),IF(AI38&lt;=AJ38,1,0),0)</f>
        <v/>
      </c>
      <c r="AM38" s="11">
        <f>IF(OR(AA38="",AK38=""),-1,AK38+ROW()/1000000)</f>
        <v/>
      </c>
    </row>
    <row r="39">
      <c r="A39" s="20">
        <f>AA18</f>
        <v/>
      </c>
      <c r="C39" s="21">
        <f>IF(OR(AB18="",MAX(AB18,AC18,AD18,AE18)=0),"",REPT("█",MAX(1,ROUND(AB18/MAX(AB18,AC18,AD18,AE18)*6,0))))</f>
        <v/>
      </c>
      <c r="D39" s="21">
        <f>IF(OR(AC18="",MAX(AB18,AC18,AD18,AE18)=0),"",REPT("█",MAX(1,ROUND(AC18/MAX(AB18,AC18,AD18,AE18)*6,0))))</f>
        <v/>
      </c>
      <c r="E39" s="21">
        <f>IF(OR(AD18="",MAX(AB18,AC18,AD18,AE18)=0),"",REPT("█",MAX(1,ROUND(AD18/MAX(AB18,AC18,AD18,AE18)*6,0))))</f>
        <v/>
      </c>
      <c r="F39" s="21">
        <f>IF(OR(AE18="",MAX(AB18,AC18,AD18,AE18)=0),"",REPT("█",MAX(1,ROUND(AE18/MAX(AB18,AC18,AD18,AE18)*6,0))))</f>
        <v/>
      </c>
      <c r="G39" s="22">
        <f>IF(COUNT(AB18,AC18,AD18,AE18)&lt;2,"",IF(IF(AE18&lt;&gt;"",AE18,IF(AD18&lt;&gt;"",AD18,IF(AC18&lt;&gt;"",AC18,IF(AB18&lt;&gt;"",AB18,""))))&gt;IF(AB18&lt;&gt;"",AB18,IF(AC18&lt;&gt;"",AC18,IF(AD18&lt;&gt;"",AD18,AE18))),"▲",IF(IF(AE18&lt;&gt;"",AE18,IF(AD18&lt;&gt;"",AD18,IF(AC18&lt;&gt;"",AC18,IF(AB18&lt;&gt;"",AB18,""))))&lt;IF(AB18&lt;&gt;"",AB18,IF(AC18&lt;&gt;"",AC18,IF(AD18&lt;&gt;"",AD18,AE18))),"▼","=")))</f>
        <v/>
      </c>
      <c r="H39" s="22">
        <f>AI18</f>
        <v/>
      </c>
      <c r="I39" s="11">
        <f>AJ18</f>
        <v/>
      </c>
      <c r="J39" s="22">
        <f>IF(AL18=1,"À COMMANDER",IF(AA18="","",""))</f>
        <v/>
      </c>
      <c r="AA39" s="11">
        <f>IF(Produits!$A$42="","",Produits!$A$42)</f>
        <v/>
      </c>
      <c r="AB39" s="11">
        <f>IF(ISNUMBER(CHOOSE($Z$3,'Janvier'!E43,'Février'!E43,'Mars'!E43,'Avril'!E43,'Mai'!E43,'Juin'!E43,'Juillet'!E43,'Août'!E43,'Septembre'!E43,'Octobre'!E43,'Novembre'!E43,'Décembre'!E43)),CHOOSE($Z$3,'Janvier'!E43,'Février'!E43,'Mars'!E43,'Avril'!E43,'Mai'!E43,'Juin'!E43,'Juillet'!E43,'Août'!E43,'Septembre'!E43,'Octobre'!E43,'Novembre'!E43,'Décembre'!E43),"")</f>
        <v/>
      </c>
      <c r="AC39" s="11">
        <f>IF(ISNUMBER(CHOOSE($Z$3,'Janvier'!I43,'Février'!I43,'Mars'!I43,'Avril'!I43,'Mai'!I43,'Juin'!I43,'Juillet'!I43,'Août'!I43,'Septembre'!I43,'Octobre'!I43,'Novembre'!I43,'Décembre'!I43)),CHOOSE($Z$3,'Janvier'!I43,'Février'!I43,'Mars'!I43,'Avril'!I43,'Mai'!I43,'Juin'!I43,'Juillet'!I43,'Août'!I43,'Septembre'!I43,'Octobre'!I43,'Novembre'!I43,'Décembre'!I43),"")</f>
        <v/>
      </c>
      <c r="AD39" s="11">
        <f>IF(ISNUMBER(CHOOSE($Z$3,'Janvier'!M43,'Février'!M43,'Mars'!M43,'Avril'!M43,'Mai'!M43,'Juin'!M43,'Juillet'!M43,'Août'!M43,'Septembre'!M43,'Octobre'!M43,'Novembre'!M43,'Décembre'!M43)),CHOOSE($Z$3,'Janvier'!M43,'Février'!M43,'Mars'!M43,'Avril'!M43,'Mai'!M43,'Juin'!M43,'Juillet'!M43,'Août'!M43,'Septembre'!M43,'Octobre'!M43,'Novembre'!M43,'Décembre'!M43),"")</f>
        <v/>
      </c>
      <c r="AE39" s="11">
        <f>IF(ISNUMBER(CHOOSE($Z$3,'Janvier'!Q43,'Février'!Q43,'Mars'!Q43,'Avril'!Q43,'Mai'!Q43,'Juin'!Q43,'Juillet'!Q43,'Août'!Q43,'Septembre'!Q43,'Octobre'!Q43,'Novembre'!Q43,'Décembre'!Q43)),CHOOSE($Z$3,'Janvier'!Q43,'Février'!Q43,'Mars'!Q43,'Avril'!Q43,'Mai'!Q43,'Juin'!Q43,'Juillet'!Q43,'Août'!Q43,'Septembre'!Q43,'Octobre'!Q43,'Novembre'!Q43,'Décembre'!Q43),"")</f>
        <v/>
      </c>
      <c r="AF39" s="11">
        <f>IF(ISNUMBER(CHOOSE($Z$3,'Janvier'!T43,'Février'!T43,'Mars'!T43,'Avril'!T43,'Mai'!T43,'Juin'!T43,'Juillet'!T43,'Août'!T43,'Septembre'!T43,'Octobre'!T43,'Novembre'!T43,'Décembre'!T43)),CHOOSE($Z$3,'Janvier'!T43,'Février'!T43,'Mars'!T43,'Avril'!T43,'Mai'!T43,'Juin'!T43,'Juillet'!T43,'Août'!T43,'Septembre'!T43,'Octobre'!T43,'Novembre'!T43,'Décembre'!T43),"")</f>
        <v/>
      </c>
      <c r="AG39" s="11">
        <f>IF(ISNUMBER(CHOOSE($Z$3,'Janvier'!U43,'Février'!U43,'Mars'!U43,'Avril'!U43,'Mai'!U43,'Juin'!U43,'Juillet'!U43,'Août'!U43,'Septembre'!U43,'Octobre'!U43,'Novembre'!U43,'Décembre'!U43)),CHOOSE($Z$3,'Janvier'!U43,'Février'!U43,'Mars'!U43,'Avril'!U43,'Mai'!U43,'Juin'!U43,'Juillet'!U43,'Août'!U43,'Septembre'!U43,'Octobre'!U43,'Novembre'!U43,'Décembre'!U43),"")</f>
        <v/>
      </c>
      <c r="AH39" s="11">
        <f>IF(ISNUMBER(CHOOSE($Z$3,'Janvier'!V43,'Février'!V43,'Mars'!V43,'Avril'!V43,'Mai'!V43,'Juin'!V43,'Juillet'!V43,'Août'!V43,'Septembre'!V43,'Octobre'!V43,'Novembre'!V43,'Décembre'!V43)),CHOOSE($Z$3,'Janvier'!V43,'Février'!V43,'Mars'!V43,'Avril'!V43,'Mai'!V43,'Juin'!V43,'Juillet'!V43,'Août'!V43,'Septembre'!V43,'Octobre'!V43,'Novembre'!V43,'Décembre'!V43),"")</f>
        <v/>
      </c>
      <c r="AI39" s="11">
        <f>IF(ISNUMBER(CHOOSE($Z$3,'Janvier'!W43,'Février'!W43,'Mars'!W43,'Avril'!W43,'Mai'!W43,'Juin'!W43,'Juillet'!W43,'Août'!W43,'Septembre'!W43,'Octobre'!W43,'Novembre'!W43,'Décembre'!W43)),CHOOSE($Z$3,'Janvier'!W43,'Février'!W43,'Mars'!W43,'Avril'!W43,'Mai'!W43,'Juin'!W43,'Juillet'!W43,'Août'!W43,'Septembre'!W43,'Octobre'!W43,'Novembre'!W43,'Décembre'!W43),"")</f>
        <v/>
      </c>
      <c r="AJ39" s="11">
        <f>IF(Produits!$A$42="","",Produits!$D$42)</f>
        <v/>
      </c>
      <c r="AK39" s="11">
        <f>IF(ISNUMBER(CHOOSE($Z$3,'Janvier'!X43,'Février'!X43,'Mars'!X43,'Avril'!X43,'Mai'!X43,'Juin'!X43,'Juillet'!X43,'Août'!X43,'Septembre'!X43,'Octobre'!X43,'Novembre'!X43,'Décembre'!X43)),CHOOSE($Z$3,'Janvier'!X43,'Février'!X43,'Mars'!X43,'Avril'!X43,'Mai'!X43,'Juin'!X43,'Juillet'!X43,'Août'!X43,'Septembre'!X43,'Octobre'!X43,'Novembre'!X43,'Décembre'!X43),"")</f>
        <v/>
      </c>
      <c r="AL39" s="11">
        <f>IF(AND(ISNUMBER(AI39),ISNUMBER(AJ39)),IF(AI39&lt;=AJ39,1,0),0)</f>
        <v/>
      </c>
      <c r="AM39" s="11">
        <f>IF(OR(AA39="",AK39=""),-1,AK39+ROW()/1000000)</f>
        <v/>
      </c>
    </row>
    <row r="40">
      <c r="A40" s="20">
        <f>AA19</f>
        <v/>
      </c>
      <c r="C40" s="21">
        <f>IF(OR(AB19="",MAX(AB19,AC19,AD19,AE19)=0),"",REPT("█",MAX(1,ROUND(AB19/MAX(AB19,AC19,AD19,AE19)*6,0))))</f>
        <v/>
      </c>
      <c r="D40" s="21">
        <f>IF(OR(AC19="",MAX(AB19,AC19,AD19,AE19)=0),"",REPT("█",MAX(1,ROUND(AC19/MAX(AB19,AC19,AD19,AE19)*6,0))))</f>
        <v/>
      </c>
      <c r="E40" s="21">
        <f>IF(OR(AD19="",MAX(AB19,AC19,AD19,AE19)=0),"",REPT("█",MAX(1,ROUND(AD19/MAX(AB19,AC19,AD19,AE19)*6,0))))</f>
        <v/>
      </c>
      <c r="F40" s="21">
        <f>IF(OR(AE19="",MAX(AB19,AC19,AD19,AE19)=0),"",REPT("█",MAX(1,ROUND(AE19/MAX(AB19,AC19,AD19,AE19)*6,0))))</f>
        <v/>
      </c>
      <c r="G40" s="22">
        <f>IF(COUNT(AB19,AC19,AD19,AE19)&lt;2,"",IF(IF(AE19&lt;&gt;"",AE19,IF(AD19&lt;&gt;"",AD19,IF(AC19&lt;&gt;"",AC19,IF(AB19&lt;&gt;"",AB19,""))))&gt;IF(AB19&lt;&gt;"",AB19,IF(AC19&lt;&gt;"",AC19,IF(AD19&lt;&gt;"",AD19,AE19))),"▲",IF(IF(AE19&lt;&gt;"",AE19,IF(AD19&lt;&gt;"",AD19,IF(AC19&lt;&gt;"",AC19,IF(AB19&lt;&gt;"",AB19,""))))&lt;IF(AB19&lt;&gt;"",AB19,IF(AC19&lt;&gt;"",AC19,IF(AD19&lt;&gt;"",AD19,AE19))),"▼","=")))</f>
        <v/>
      </c>
      <c r="H40" s="22">
        <f>AI19</f>
        <v/>
      </c>
      <c r="I40" s="11">
        <f>AJ19</f>
        <v/>
      </c>
      <c r="J40" s="22">
        <f>IF(AL19=1,"À COMMANDER",IF(AA19="","",""))</f>
        <v/>
      </c>
      <c r="AA40" s="11">
        <f>IF(Produits!$A$43="","",Produits!$A$43)</f>
        <v/>
      </c>
      <c r="AB40" s="11">
        <f>IF(ISNUMBER(CHOOSE($Z$3,'Janvier'!E44,'Février'!E44,'Mars'!E44,'Avril'!E44,'Mai'!E44,'Juin'!E44,'Juillet'!E44,'Août'!E44,'Septembre'!E44,'Octobre'!E44,'Novembre'!E44,'Décembre'!E44)),CHOOSE($Z$3,'Janvier'!E44,'Février'!E44,'Mars'!E44,'Avril'!E44,'Mai'!E44,'Juin'!E44,'Juillet'!E44,'Août'!E44,'Septembre'!E44,'Octobre'!E44,'Novembre'!E44,'Décembre'!E44),"")</f>
        <v/>
      </c>
      <c r="AC40" s="11">
        <f>IF(ISNUMBER(CHOOSE($Z$3,'Janvier'!I44,'Février'!I44,'Mars'!I44,'Avril'!I44,'Mai'!I44,'Juin'!I44,'Juillet'!I44,'Août'!I44,'Septembre'!I44,'Octobre'!I44,'Novembre'!I44,'Décembre'!I44)),CHOOSE($Z$3,'Janvier'!I44,'Février'!I44,'Mars'!I44,'Avril'!I44,'Mai'!I44,'Juin'!I44,'Juillet'!I44,'Août'!I44,'Septembre'!I44,'Octobre'!I44,'Novembre'!I44,'Décembre'!I44),"")</f>
        <v/>
      </c>
      <c r="AD40" s="11">
        <f>IF(ISNUMBER(CHOOSE($Z$3,'Janvier'!M44,'Février'!M44,'Mars'!M44,'Avril'!M44,'Mai'!M44,'Juin'!M44,'Juillet'!M44,'Août'!M44,'Septembre'!M44,'Octobre'!M44,'Novembre'!M44,'Décembre'!M44)),CHOOSE($Z$3,'Janvier'!M44,'Février'!M44,'Mars'!M44,'Avril'!M44,'Mai'!M44,'Juin'!M44,'Juillet'!M44,'Août'!M44,'Septembre'!M44,'Octobre'!M44,'Novembre'!M44,'Décembre'!M44),"")</f>
        <v/>
      </c>
      <c r="AE40" s="11">
        <f>IF(ISNUMBER(CHOOSE($Z$3,'Janvier'!Q44,'Février'!Q44,'Mars'!Q44,'Avril'!Q44,'Mai'!Q44,'Juin'!Q44,'Juillet'!Q44,'Août'!Q44,'Septembre'!Q44,'Octobre'!Q44,'Novembre'!Q44,'Décembre'!Q44)),CHOOSE($Z$3,'Janvier'!Q44,'Février'!Q44,'Mars'!Q44,'Avril'!Q44,'Mai'!Q44,'Juin'!Q44,'Juillet'!Q44,'Août'!Q44,'Septembre'!Q44,'Octobre'!Q44,'Novembre'!Q44,'Décembre'!Q44),"")</f>
        <v/>
      </c>
      <c r="AF40" s="11">
        <f>IF(ISNUMBER(CHOOSE($Z$3,'Janvier'!T44,'Février'!T44,'Mars'!T44,'Avril'!T44,'Mai'!T44,'Juin'!T44,'Juillet'!T44,'Août'!T44,'Septembre'!T44,'Octobre'!T44,'Novembre'!T44,'Décembre'!T44)),CHOOSE($Z$3,'Janvier'!T44,'Février'!T44,'Mars'!T44,'Avril'!T44,'Mai'!T44,'Juin'!T44,'Juillet'!T44,'Août'!T44,'Septembre'!T44,'Octobre'!T44,'Novembre'!T44,'Décembre'!T44),"")</f>
        <v/>
      </c>
      <c r="AG40" s="11">
        <f>IF(ISNUMBER(CHOOSE($Z$3,'Janvier'!U44,'Février'!U44,'Mars'!U44,'Avril'!U44,'Mai'!U44,'Juin'!U44,'Juillet'!U44,'Août'!U44,'Septembre'!U44,'Octobre'!U44,'Novembre'!U44,'Décembre'!U44)),CHOOSE($Z$3,'Janvier'!U44,'Février'!U44,'Mars'!U44,'Avril'!U44,'Mai'!U44,'Juin'!U44,'Juillet'!U44,'Août'!U44,'Septembre'!U44,'Octobre'!U44,'Novembre'!U44,'Décembre'!U44),"")</f>
        <v/>
      </c>
      <c r="AH40" s="11">
        <f>IF(ISNUMBER(CHOOSE($Z$3,'Janvier'!V44,'Février'!V44,'Mars'!V44,'Avril'!V44,'Mai'!V44,'Juin'!V44,'Juillet'!V44,'Août'!V44,'Septembre'!V44,'Octobre'!V44,'Novembre'!V44,'Décembre'!V44)),CHOOSE($Z$3,'Janvier'!V44,'Février'!V44,'Mars'!V44,'Avril'!V44,'Mai'!V44,'Juin'!V44,'Juillet'!V44,'Août'!V44,'Septembre'!V44,'Octobre'!V44,'Novembre'!V44,'Décembre'!V44),"")</f>
        <v/>
      </c>
      <c r="AI40" s="11">
        <f>IF(ISNUMBER(CHOOSE($Z$3,'Janvier'!W44,'Février'!W44,'Mars'!W44,'Avril'!W44,'Mai'!W44,'Juin'!W44,'Juillet'!W44,'Août'!W44,'Septembre'!W44,'Octobre'!W44,'Novembre'!W44,'Décembre'!W44)),CHOOSE($Z$3,'Janvier'!W44,'Février'!W44,'Mars'!W44,'Avril'!W44,'Mai'!W44,'Juin'!W44,'Juillet'!W44,'Août'!W44,'Septembre'!W44,'Octobre'!W44,'Novembre'!W44,'Décembre'!W44),"")</f>
        <v/>
      </c>
      <c r="AJ40" s="11">
        <f>IF(Produits!$A$43="","",Produits!$D$43)</f>
        <v/>
      </c>
      <c r="AK40" s="11">
        <f>IF(ISNUMBER(CHOOSE($Z$3,'Janvier'!X44,'Février'!X44,'Mars'!X44,'Avril'!X44,'Mai'!X44,'Juin'!X44,'Juillet'!X44,'Août'!X44,'Septembre'!X44,'Octobre'!X44,'Novembre'!X44,'Décembre'!X44)),CHOOSE($Z$3,'Janvier'!X44,'Février'!X44,'Mars'!X44,'Avril'!X44,'Mai'!X44,'Juin'!X44,'Juillet'!X44,'Août'!X44,'Septembre'!X44,'Octobre'!X44,'Novembre'!X44,'Décembre'!X44),"")</f>
        <v/>
      </c>
      <c r="AL40" s="11">
        <f>IF(AND(ISNUMBER(AI40),ISNUMBER(AJ40)),IF(AI40&lt;=AJ40,1,0),0)</f>
        <v/>
      </c>
      <c r="AM40" s="11">
        <f>IF(OR(AA40="",AK40=""),-1,AK40+ROW()/1000000)</f>
        <v/>
      </c>
    </row>
    <row r="41">
      <c r="A41" s="20">
        <f>AA20</f>
        <v/>
      </c>
      <c r="C41" s="21">
        <f>IF(OR(AB20="",MAX(AB20,AC20,AD20,AE20)=0),"",REPT("█",MAX(1,ROUND(AB20/MAX(AB20,AC20,AD20,AE20)*6,0))))</f>
        <v/>
      </c>
      <c r="D41" s="21">
        <f>IF(OR(AC20="",MAX(AB20,AC20,AD20,AE20)=0),"",REPT("█",MAX(1,ROUND(AC20/MAX(AB20,AC20,AD20,AE20)*6,0))))</f>
        <v/>
      </c>
      <c r="E41" s="21">
        <f>IF(OR(AD20="",MAX(AB20,AC20,AD20,AE20)=0),"",REPT("█",MAX(1,ROUND(AD20/MAX(AB20,AC20,AD20,AE20)*6,0))))</f>
        <v/>
      </c>
      <c r="F41" s="21">
        <f>IF(OR(AE20="",MAX(AB20,AC20,AD20,AE20)=0),"",REPT("█",MAX(1,ROUND(AE20/MAX(AB20,AC20,AD20,AE20)*6,0))))</f>
        <v/>
      </c>
      <c r="G41" s="22">
        <f>IF(COUNT(AB20,AC20,AD20,AE20)&lt;2,"",IF(IF(AE20&lt;&gt;"",AE20,IF(AD20&lt;&gt;"",AD20,IF(AC20&lt;&gt;"",AC20,IF(AB20&lt;&gt;"",AB20,""))))&gt;IF(AB20&lt;&gt;"",AB20,IF(AC20&lt;&gt;"",AC20,IF(AD20&lt;&gt;"",AD20,AE20))),"▲",IF(IF(AE20&lt;&gt;"",AE20,IF(AD20&lt;&gt;"",AD20,IF(AC20&lt;&gt;"",AC20,IF(AB20&lt;&gt;"",AB20,""))))&lt;IF(AB20&lt;&gt;"",AB20,IF(AC20&lt;&gt;"",AC20,IF(AD20&lt;&gt;"",AD20,AE20))),"▼","=")))</f>
        <v/>
      </c>
      <c r="H41" s="22">
        <f>AI20</f>
        <v/>
      </c>
      <c r="I41" s="11">
        <f>AJ20</f>
        <v/>
      </c>
      <c r="J41" s="22">
        <f>IF(AL20=1,"À COMMANDER",IF(AA20="","",""))</f>
        <v/>
      </c>
      <c r="AA41" s="11">
        <f>IF(Produits!$A$44="","",Produits!$A$44)</f>
        <v/>
      </c>
      <c r="AB41" s="11">
        <f>IF(ISNUMBER(CHOOSE($Z$3,'Janvier'!E45,'Février'!E45,'Mars'!E45,'Avril'!E45,'Mai'!E45,'Juin'!E45,'Juillet'!E45,'Août'!E45,'Septembre'!E45,'Octobre'!E45,'Novembre'!E45,'Décembre'!E45)),CHOOSE($Z$3,'Janvier'!E45,'Février'!E45,'Mars'!E45,'Avril'!E45,'Mai'!E45,'Juin'!E45,'Juillet'!E45,'Août'!E45,'Septembre'!E45,'Octobre'!E45,'Novembre'!E45,'Décembre'!E45),"")</f>
        <v/>
      </c>
      <c r="AC41" s="11">
        <f>IF(ISNUMBER(CHOOSE($Z$3,'Janvier'!I45,'Février'!I45,'Mars'!I45,'Avril'!I45,'Mai'!I45,'Juin'!I45,'Juillet'!I45,'Août'!I45,'Septembre'!I45,'Octobre'!I45,'Novembre'!I45,'Décembre'!I45)),CHOOSE($Z$3,'Janvier'!I45,'Février'!I45,'Mars'!I45,'Avril'!I45,'Mai'!I45,'Juin'!I45,'Juillet'!I45,'Août'!I45,'Septembre'!I45,'Octobre'!I45,'Novembre'!I45,'Décembre'!I45),"")</f>
        <v/>
      </c>
      <c r="AD41" s="11">
        <f>IF(ISNUMBER(CHOOSE($Z$3,'Janvier'!M45,'Février'!M45,'Mars'!M45,'Avril'!M45,'Mai'!M45,'Juin'!M45,'Juillet'!M45,'Août'!M45,'Septembre'!M45,'Octobre'!M45,'Novembre'!M45,'Décembre'!M45)),CHOOSE($Z$3,'Janvier'!M45,'Février'!M45,'Mars'!M45,'Avril'!M45,'Mai'!M45,'Juin'!M45,'Juillet'!M45,'Août'!M45,'Septembre'!M45,'Octobre'!M45,'Novembre'!M45,'Décembre'!M45),"")</f>
        <v/>
      </c>
      <c r="AE41" s="11">
        <f>IF(ISNUMBER(CHOOSE($Z$3,'Janvier'!Q45,'Février'!Q45,'Mars'!Q45,'Avril'!Q45,'Mai'!Q45,'Juin'!Q45,'Juillet'!Q45,'Août'!Q45,'Septembre'!Q45,'Octobre'!Q45,'Novembre'!Q45,'Décembre'!Q45)),CHOOSE($Z$3,'Janvier'!Q45,'Février'!Q45,'Mars'!Q45,'Avril'!Q45,'Mai'!Q45,'Juin'!Q45,'Juillet'!Q45,'Août'!Q45,'Septembre'!Q45,'Octobre'!Q45,'Novembre'!Q45,'Décembre'!Q45),"")</f>
        <v/>
      </c>
      <c r="AF41" s="11">
        <f>IF(ISNUMBER(CHOOSE($Z$3,'Janvier'!T45,'Février'!T45,'Mars'!T45,'Avril'!T45,'Mai'!T45,'Juin'!T45,'Juillet'!T45,'Août'!T45,'Septembre'!T45,'Octobre'!T45,'Novembre'!T45,'Décembre'!T45)),CHOOSE($Z$3,'Janvier'!T45,'Février'!T45,'Mars'!T45,'Avril'!T45,'Mai'!T45,'Juin'!T45,'Juillet'!T45,'Août'!T45,'Septembre'!T45,'Octobre'!T45,'Novembre'!T45,'Décembre'!T45),"")</f>
        <v/>
      </c>
      <c r="AG41" s="11">
        <f>IF(ISNUMBER(CHOOSE($Z$3,'Janvier'!U45,'Février'!U45,'Mars'!U45,'Avril'!U45,'Mai'!U45,'Juin'!U45,'Juillet'!U45,'Août'!U45,'Septembre'!U45,'Octobre'!U45,'Novembre'!U45,'Décembre'!U45)),CHOOSE($Z$3,'Janvier'!U45,'Février'!U45,'Mars'!U45,'Avril'!U45,'Mai'!U45,'Juin'!U45,'Juillet'!U45,'Août'!U45,'Septembre'!U45,'Octobre'!U45,'Novembre'!U45,'Décembre'!U45),"")</f>
        <v/>
      </c>
      <c r="AH41" s="11">
        <f>IF(ISNUMBER(CHOOSE($Z$3,'Janvier'!V45,'Février'!V45,'Mars'!V45,'Avril'!V45,'Mai'!V45,'Juin'!V45,'Juillet'!V45,'Août'!V45,'Septembre'!V45,'Octobre'!V45,'Novembre'!V45,'Décembre'!V45)),CHOOSE($Z$3,'Janvier'!V45,'Février'!V45,'Mars'!V45,'Avril'!V45,'Mai'!V45,'Juin'!V45,'Juillet'!V45,'Août'!V45,'Septembre'!V45,'Octobre'!V45,'Novembre'!V45,'Décembre'!V45),"")</f>
        <v/>
      </c>
      <c r="AI41" s="11">
        <f>IF(ISNUMBER(CHOOSE($Z$3,'Janvier'!W45,'Février'!W45,'Mars'!W45,'Avril'!W45,'Mai'!W45,'Juin'!W45,'Juillet'!W45,'Août'!W45,'Septembre'!W45,'Octobre'!W45,'Novembre'!W45,'Décembre'!W45)),CHOOSE($Z$3,'Janvier'!W45,'Février'!W45,'Mars'!W45,'Avril'!W45,'Mai'!W45,'Juin'!W45,'Juillet'!W45,'Août'!W45,'Septembre'!W45,'Octobre'!W45,'Novembre'!W45,'Décembre'!W45),"")</f>
        <v/>
      </c>
      <c r="AJ41" s="11">
        <f>IF(Produits!$A$44="","",Produits!$D$44)</f>
        <v/>
      </c>
      <c r="AK41" s="11">
        <f>IF(ISNUMBER(CHOOSE($Z$3,'Janvier'!X45,'Février'!X45,'Mars'!X45,'Avril'!X45,'Mai'!X45,'Juin'!X45,'Juillet'!X45,'Août'!X45,'Septembre'!X45,'Octobre'!X45,'Novembre'!X45,'Décembre'!X45)),CHOOSE($Z$3,'Janvier'!X45,'Février'!X45,'Mars'!X45,'Avril'!X45,'Mai'!X45,'Juin'!X45,'Juillet'!X45,'Août'!X45,'Septembre'!X45,'Octobre'!X45,'Novembre'!X45,'Décembre'!X45),"")</f>
        <v/>
      </c>
      <c r="AL41" s="11">
        <f>IF(AND(ISNUMBER(AI41),ISNUMBER(AJ41)),IF(AI41&lt;=AJ41,1,0),0)</f>
        <v/>
      </c>
      <c r="AM41" s="11">
        <f>IF(OR(AA41="",AK41=""),-1,AK41+ROW()/1000000)</f>
        <v/>
      </c>
    </row>
    <row r="42">
      <c r="A42" s="20">
        <f>AA21</f>
        <v/>
      </c>
      <c r="C42" s="21">
        <f>IF(OR(AB21="",MAX(AB21,AC21,AD21,AE21)=0),"",REPT("█",MAX(1,ROUND(AB21/MAX(AB21,AC21,AD21,AE21)*6,0))))</f>
        <v/>
      </c>
      <c r="D42" s="21">
        <f>IF(OR(AC21="",MAX(AB21,AC21,AD21,AE21)=0),"",REPT("█",MAX(1,ROUND(AC21/MAX(AB21,AC21,AD21,AE21)*6,0))))</f>
        <v/>
      </c>
      <c r="E42" s="21">
        <f>IF(OR(AD21="",MAX(AB21,AC21,AD21,AE21)=0),"",REPT("█",MAX(1,ROUND(AD21/MAX(AB21,AC21,AD21,AE21)*6,0))))</f>
        <v/>
      </c>
      <c r="F42" s="21">
        <f>IF(OR(AE21="",MAX(AB21,AC21,AD21,AE21)=0),"",REPT("█",MAX(1,ROUND(AE21/MAX(AB21,AC21,AD21,AE21)*6,0))))</f>
        <v/>
      </c>
      <c r="G42" s="22">
        <f>IF(COUNT(AB21,AC21,AD21,AE21)&lt;2,"",IF(IF(AE21&lt;&gt;"",AE21,IF(AD21&lt;&gt;"",AD21,IF(AC21&lt;&gt;"",AC21,IF(AB21&lt;&gt;"",AB21,""))))&gt;IF(AB21&lt;&gt;"",AB21,IF(AC21&lt;&gt;"",AC21,IF(AD21&lt;&gt;"",AD21,AE21))),"▲",IF(IF(AE21&lt;&gt;"",AE21,IF(AD21&lt;&gt;"",AD21,IF(AC21&lt;&gt;"",AC21,IF(AB21&lt;&gt;"",AB21,""))))&lt;IF(AB21&lt;&gt;"",AB21,IF(AC21&lt;&gt;"",AC21,IF(AD21&lt;&gt;"",AD21,AE21))),"▼","=")))</f>
        <v/>
      </c>
      <c r="H42" s="22">
        <f>AI21</f>
        <v/>
      </c>
      <c r="I42" s="11">
        <f>AJ21</f>
        <v/>
      </c>
      <c r="J42" s="22">
        <f>IF(AL21=1,"À COMMANDER",IF(AA21="","",""))</f>
        <v/>
      </c>
      <c r="AA42" s="11">
        <f>IF(Produits!$A$45="","",Produits!$A$45)</f>
        <v/>
      </c>
      <c r="AB42" s="11">
        <f>IF(ISNUMBER(CHOOSE($Z$3,'Janvier'!E46,'Février'!E46,'Mars'!E46,'Avril'!E46,'Mai'!E46,'Juin'!E46,'Juillet'!E46,'Août'!E46,'Septembre'!E46,'Octobre'!E46,'Novembre'!E46,'Décembre'!E46)),CHOOSE($Z$3,'Janvier'!E46,'Février'!E46,'Mars'!E46,'Avril'!E46,'Mai'!E46,'Juin'!E46,'Juillet'!E46,'Août'!E46,'Septembre'!E46,'Octobre'!E46,'Novembre'!E46,'Décembre'!E46),"")</f>
        <v/>
      </c>
      <c r="AC42" s="11">
        <f>IF(ISNUMBER(CHOOSE($Z$3,'Janvier'!I46,'Février'!I46,'Mars'!I46,'Avril'!I46,'Mai'!I46,'Juin'!I46,'Juillet'!I46,'Août'!I46,'Septembre'!I46,'Octobre'!I46,'Novembre'!I46,'Décembre'!I46)),CHOOSE($Z$3,'Janvier'!I46,'Février'!I46,'Mars'!I46,'Avril'!I46,'Mai'!I46,'Juin'!I46,'Juillet'!I46,'Août'!I46,'Septembre'!I46,'Octobre'!I46,'Novembre'!I46,'Décembre'!I46),"")</f>
        <v/>
      </c>
      <c r="AD42" s="11">
        <f>IF(ISNUMBER(CHOOSE($Z$3,'Janvier'!M46,'Février'!M46,'Mars'!M46,'Avril'!M46,'Mai'!M46,'Juin'!M46,'Juillet'!M46,'Août'!M46,'Septembre'!M46,'Octobre'!M46,'Novembre'!M46,'Décembre'!M46)),CHOOSE($Z$3,'Janvier'!M46,'Février'!M46,'Mars'!M46,'Avril'!M46,'Mai'!M46,'Juin'!M46,'Juillet'!M46,'Août'!M46,'Septembre'!M46,'Octobre'!M46,'Novembre'!M46,'Décembre'!M46),"")</f>
        <v/>
      </c>
      <c r="AE42" s="11">
        <f>IF(ISNUMBER(CHOOSE($Z$3,'Janvier'!Q46,'Février'!Q46,'Mars'!Q46,'Avril'!Q46,'Mai'!Q46,'Juin'!Q46,'Juillet'!Q46,'Août'!Q46,'Septembre'!Q46,'Octobre'!Q46,'Novembre'!Q46,'Décembre'!Q46)),CHOOSE($Z$3,'Janvier'!Q46,'Février'!Q46,'Mars'!Q46,'Avril'!Q46,'Mai'!Q46,'Juin'!Q46,'Juillet'!Q46,'Août'!Q46,'Septembre'!Q46,'Octobre'!Q46,'Novembre'!Q46,'Décembre'!Q46),"")</f>
        <v/>
      </c>
      <c r="AF42" s="11">
        <f>IF(ISNUMBER(CHOOSE($Z$3,'Janvier'!T46,'Février'!T46,'Mars'!T46,'Avril'!T46,'Mai'!T46,'Juin'!T46,'Juillet'!T46,'Août'!T46,'Septembre'!T46,'Octobre'!T46,'Novembre'!T46,'Décembre'!T46)),CHOOSE($Z$3,'Janvier'!T46,'Février'!T46,'Mars'!T46,'Avril'!T46,'Mai'!T46,'Juin'!T46,'Juillet'!T46,'Août'!T46,'Septembre'!T46,'Octobre'!T46,'Novembre'!T46,'Décembre'!T46),"")</f>
        <v/>
      </c>
      <c r="AG42" s="11">
        <f>IF(ISNUMBER(CHOOSE($Z$3,'Janvier'!U46,'Février'!U46,'Mars'!U46,'Avril'!U46,'Mai'!U46,'Juin'!U46,'Juillet'!U46,'Août'!U46,'Septembre'!U46,'Octobre'!U46,'Novembre'!U46,'Décembre'!U46)),CHOOSE($Z$3,'Janvier'!U46,'Février'!U46,'Mars'!U46,'Avril'!U46,'Mai'!U46,'Juin'!U46,'Juillet'!U46,'Août'!U46,'Septembre'!U46,'Octobre'!U46,'Novembre'!U46,'Décembre'!U46),"")</f>
        <v/>
      </c>
      <c r="AH42" s="11">
        <f>IF(ISNUMBER(CHOOSE($Z$3,'Janvier'!V46,'Février'!V46,'Mars'!V46,'Avril'!V46,'Mai'!V46,'Juin'!V46,'Juillet'!V46,'Août'!V46,'Septembre'!V46,'Octobre'!V46,'Novembre'!V46,'Décembre'!V46)),CHOOSE($Z$3,'Janvier'!V46,'Février'!V46,'Mars'!V46,'Avril'!V46,'Mai'!V46,'Juin'!V46,'Juillet'!V46,'Août'!V46,'Septembre'!V46,'Octobre'!V46,'Novembre'!V46,'Décembre'!V46),"")</f>
        <v/>
      </c>
      <c r="AI42" s="11">
        <f>IF(ISNUMBER(CHOOSE($Z$3,'Janvier'!W46,'Février'!W46,'Mars'!W46,'Avril'!W46,'Mai'!W46,'Juin'!W46,'Juillet'!W46,'Août'!W46,'Septembre'!W46,'Octobre'!W46,'Novembre'!W46,'Décembre'!W46)),CHOOSE($Z$3,'Janvier'!W46,'Février'!W46,'Mars'!W46,'Avril'!W46,'Mai'!W46,'Juin'!W46,'Juillet'!W46,'Août'!W46,'Septembre'!W46,'Octobre'!W46,'Novembre'!W46,'Décembre'!W46),"")</f>
        <v/>
      </c>
      <c r="AJ42" s="11">
        <f>IF(Produits!$A$45="","",Produits!$D$45)</f>
        <v/>
      </c>
      <c r="AK42" s="11">
        <f>IF(ISNUMBER(CHOOSE($Z$3,'Janvier'!X46,'Février'!X46,'Mars'!X46,'Avril'!X46,'Mai'!X46,'Juin'!X46,'Juillet'!X46,'Août'!X46,'Septembre'!X46,'Octobre'!X46,'Novembre'!X46,'Décembre'!X46)),CHOOSE($Z$3,'Janvier'!X46,'Février'!X46,'Mars'!X46,'Avril'!X46,'Mai'!X46,'Juin'!X46,'Juillet'!X46,'Août'!X46,'Septembre'!X46,'Octobre'!X46,'Novembre'!X46,'Décembre'!X46),"")</f>
        <v/>
      </c>
      <c r="AL42" s="11">
        <f>IF(AND(ISNUMBER(AI42),ISNUMBER(AJ42)),IF(AI42&lt;=AJ42,1,0),0)</f>
        <v/>
      </c>
      <c r="AM42" s="11">
        <f>IF(OR(AA42="",AK42=""),-1,AK42+ROW()/1000000)</f>
        <v/>
      </c>
    </row>
    <row r="43">
      <c r="A43" s="20">
        <f>AA22</f>
        <v/>
      </c>
      <c r="C43" s="21">
        <f>IF(OR(AB22="",MAX(AB22,AC22,AD22,AE22)=0),"",REPT("█",MAX(1,ROUND(AB22/MAX(AB22,AC22,AD22,AE22)*6,0))))</f>
        <v/>
      </c>
      <c r="D43" s="21">
        <f>IF(OR(AC22="",MAX(AB22,AC22,AD22,AE22)=0),"",REPT("█",MAX(1,ROUND(AC22/MAX(AB22,AC22,AD22,AE22)*6,0))))</f>
        <v/>
      </c>
      <c r="E43" s="21">
        <f>IF(OR(AD22="",MAX(AB22,AC22,AD22,AE22)=0),"",REPT("█",MAX(1,ROUND(AD22/MAX(AB22,AC22,AD22,AE22)*6,0))))</f>
        <v/>
      </c>
      <c r="F43" s="21">
        <f>IF(OR(AE22="",MAX(AB22,AC22,AD22,AE22)=0),"",REPT("█",MAX(1,ROUND(AE22/MAX(AB22,AC22,AD22,AE22)*6,0))))</f>
        <v/>
      </c>
      <c r="G43" s="22">
        <f>IF(COUNT(AB22,AC22,AD22,AE22)&lt;2,"",IF(IF(AE22&lt;&gt;"",AE22,IF(AD22&lt;&gt;"",AD22,IF(AC22&lt;&gt;"",AC22,IF(AB22&lt;&gt;"",AB22,""))))&gt;IF(AB22&lt;&gt;"",AB22,IF(AC22&lt;&gt;"",AC22,IF(AD22&lt;&gt;"",AD22,AE22))),"▲",IF(IF(AE22&lt;&gt;"",AE22,IF(AD22&lt;&gt;"",AD22,IF(AC22&lt;&gt;"",AC22,IF(AB22&lt;&gt;"",AB22,""))))&lt;IF(AB22&lt;&gt;"",AB22,IF(AC22&lt;&gt;"",AC22,IF(AD22&lt;&gt;"",AD22,AE22))),"▼","=")))</f>
        <v/>
      </c>
      <c r="H43" s="22">
        <f>AI22</f>
        <v/>
      </c>
      <c r="I43" s="11">
        <f>AJ22</f>
        <v/>
      </c>
      <c r="J43" s="22">
        <f>IF(AL22=1,"À COMMANDER",IF(AA22="","",""))</f>
        <v/>
      </c>
      <c r="AA43" s="11">
        <f>IF(Produits!$A$46="","",Produits!$A$46)</f>
        <v/>
      </c>
      <c r="AB43" s="11">
        <f>IF(ISNUMBER(CHOOSE($Z$3,'Janvier'!E47,'Février'!E47,'Mars'!E47,'Avril'!E47,'Mai'!E47,'Juin'!E47,'Juillet'!E47,'Août'!E47,'Septembre'!E47,'Octobre'!E47,'Novembre'!E47,'Décembre'!E47)),CHOOSE($Z$3,'Janvier'!E47,'Février'!E47,'Mars'!E47,'Avril'!E47,'Mai'!E47,'Juin'!E47,'Juillet'!E47,'Août'!E47,'Septembre'!E47,'Octobre'!E47,'Novembre'!E47,'Décembre'!E47),"")</f>
        <v/>
      </c>
      <c r="AC43" s="11">
        <f>IF(ISNUMBER(CHOOSE($Z$3,'Janvier'!I47,'Février'!I47,'Mars'!I47,'Avril'!I47,'Mai'!I47,'Juin'!I47,'Juillet'!I47,'Août'!I47,'Septembre'!I47,'Octobre'!I47,'Novembre'!I47,'Décembre'!I47)),CHOOSE($Z$3,'Janvier'!I47,'Février'!I47,'Mars'!I47,'Avril'!I47,'Mai'!I47,'Juin'!I47,'Juillet'!I47,'Août'!I47,'Septembre'!I47,'Octobre'!I47,'Novembre'!I47,'Décembre'!I47),"")</f>
        <v/>
      </c>
      <c r="AD43" s="11">
        <f>IF(ISNUMBER(CHOOSE($Z$3,'Janvier'!M47,'Février'!M47,'Mars'!M47,'Avril'!M47,'Mai'!M47,'Juin'!M47,'Juillet'!M47,'Août'!M47,'Septembre'!M47,'Octobre'!M47,'Novembre'!M47,'Décembre'!M47)),CHOOSE($Z$3,'Janvier'!M47,'Février'!M47,'Mars'!M47,'Avril'!M47,'Mai'!M47,'Juin'!M47,'Juillet'!M47,'Août'!M47,'Septembre'!M47,'Octobre'!M47,'Novembre'!M47,'Décembre'!M47),"")</f>
        <v/>
      </c>
      <c r="AE43" s="11">
        <f>IF(ISNUMBER(CHOOSE($Z$3,'Janvier'!Q47,'Février'!Q47,'Mars'!Q47,'Avril'!Q47,'Mai'!Q47,'Juin'!Q47,'Juillet'!Q47,'Août'!Q47,'Septembre'!Q47,'Octobre'!Q47,'Novembre'!Q47,'Décembre'!Q47)),CHOOSE($Z$3,'Janvier'!Q47,'Février'!Q47,'Mars'!Q47,'Avril'!Q47,'Mai'!Q47,'Juin'!Q47,'Juillet'!Q47,'Août'!Q47,'Septembre'!Q47,'Octobre'!Q47,'Novembre'!Q47,'Décembre'!Q47),"")</f>
        <v/>
      </c>
      <c r="AF43" s="11">
        <f>IF(ISNUMBER(CHOOSE($Z$3,'Janvier'!T47,'Février'!T47,'Mars'!T47,'Avril'!T47,'Mai'!T47,'Juin'!T47,'Juillet'!T47,'Août'!T47,'Septembre'!T47,'Octobre'!T47,'Novembre'!T47,'Décembre'!T47)),CHOOSE($Z$3,'Janvier'!T47,'Février'!T47,'Mars'!T47,'Avril'!T47,'Mai'!T47,'Juin'!T47,'Juillet'!T47,'Août'!T47,'Septembre'!T47,'Octobre'!T47,'Novembre'!T47,'Décembre'!T47),"")</f>
        <v/>
      </c>
      <c r="AG43" s="11">
        <f>IF(ISNUMBER(CHOOSE($Z$3,'Janvier'!U47,'Février'!U47,'Mars'!U47,'Avril'!U47,'Mai'!U47,'Juin'!U47,'Juillet'!U47,'Août'!U47,'Septembre'!U47,'Octobre'!U47,'Novembre'!U47,'Décembre'!U47)),CHOOSE($Z$3,'Janvier'!U47,'Février'!U47,'Mars'!U47,'Avril'!U47,'Mai'!U47,'Juin'!U47,'Juillet'!U47,'Août'!U47,'Septembre'!U47,'Octobre'!U47,'Novembre'!U47,'Décembre'!U47),"")</f>
        <v/>
      </c>
      <c r="AH43" s="11">
        <f>IF(ISNUMBER(CHOOSE($Z$3,'Janvier'!V47,'Février'!V47,'Mars'!V47,'Avril'!V47,'Mai'!V47,'Juin'!V47,'Juillet'!V47,'Août'!V47,'Septembre'!V47,'Octobre'!V47,'Novembre'!V47,'Décembre'!V47)),CHOOSE($Z$3,'Janvier'!V47,'Février'!V47,'Mars'!V47,'Avril'!V47,'Mai'!V47,'Juin'!V47,'Juillet'!V47,'Août'!V47,'Septembre'!V47,'Octobre'!V47,'Novembre'!V47,'Décembre'!V47),"")</f>
        <v/>
      </c>
      <c r="AI43" s="11">
        <f>IF(ISNUMBER(CHOOSE($Z$3,'Janvier'!W47,'Février'!W47,'Mars'!W47,'Avril'!W47,'Mai'!W47,'Juin'!W47,'Juillet'!W47,'Août'!W47,'Septembre'!W47,'Octobre'!W47,'Novembre'!W47,'Décembre'!W47)),CHOOSE($Z$3,'Janvier'!W47,'Février'!W47,'Mars'!W47,'Avril'!W47,'Mai'!W47,'Juin'!W47,'Juillet'!W47,'Août'!W47,'Septembre'!W47,'Octobre'!W47,'Novembre'!W47,'Décembre'!W47),"")</f>
        <v/>
      </c>
      <c r="AJ43" s="11">
        <f>IF(Produits!$A$46="","",Produits!$D$46)</f>
        <v/>
      </c>
      <c r="AK43" s="11">
        <f>IF(ISNUMBER(CHOOSE($Z$3,'Janvier'!X47,'Février'!X47,'Mars'!X47,'Avril'!X47,'Mai'!X47,'Juin'!X47,'Juillet'!X47,'Août'!X47,'Septembre'!X47,'Octobre'!X47,'Novembre'!X47,'Décembre'!X47)),CHOOSE($Z$3,'Janvier'!X47,'Février'!X47,'Mars'!X47,'Avril'!X47,'Mai'!X47,'Juin'!X47,'Juillet'!X47,'Août'!X47,'Septembre'!X47,'Octobre'!X47,'Novembre'!X47,'Décembre'!X47),"")</f>
        <v/>
      </c>
      <c r="AL43" s="11">
        <f>IF(AND(ISNUMBER(AI43),ISNUMBER(AJ43)),IF(AI43&lt;=AJ43,1,0),0)</f>
        <v/>
      </c>
      <c r="AM43" s="11">
        <f>IF(OR(AA43="",AK43=""),-1,AK43+ROW()/1000000)</f>
        <v/>
      </c>
    </row>
    <row r="44">
      <c r="A44" s="20">
        <f>AA23</f>
        <v/>
      </c>
      <c r="C44" s="21">
        <f>IF(OR(AB23="",MAX(AB23,AC23,AD23,AE23)=0),"",REPT("█",MAX(1,ROUND(AB23/MAX(AB23,AC23,AD23,AE23)*6,0))))</f>
        <v/>
      </c>
      <c r="D44" s="21">
        <f>IF(OR(AC23="",MAX(AB23,AC23,AD23,AE23)=0),"",REPT("█",MAX(1,ROUND(AC23/MAX(AB23,AC23,AD23,AE23)*6,0))))</f>
        <v/>
      </c>
      <c r="E44" s="21">
        <f>IF(OR(AD23="",MAX(AB23,AC23,AD23,AE23)=0),"",REPT("█",MAX(1,ROUND(AD23/MAX(AB23,AC23,AD23,AE23)*6,0))))</f>
        <v/>
      </c>
      <c r="F44" s="21">
        <f>IF(OR(AE23="",MAX(AB23,AC23,AD23,AE23)=0),"",REPT("█",MAX(1,ROUND(AE23/MAX(AB23,AC23,AD23,AE23)*6,0))))</f>
        <v/>
      </c>
      <c r="G44" s="22">
        <f>IF(COUNT(AB23,AC23,AD23,AE23)&lt;2,"",IF(IF(AE23&lt;&gt;"",AE23,IF(AD23&lt;&gt;"",AD23,IF(AC23&lt;&gt;"",AC23,IF(AB23&lt;&gt;"",AB23,""))))&gt;IF(AB23&lt;&gt;"",AB23,IF(AC23&lt;&gt;"",AC23,IF(AD23&lt;&gt;"",AD23,AE23))),"▲",IF(IF(AE23&lt;&gt;"",AE23,IF(AD23&lt;&gt;"",AD23,IF(AC23&lt;&gt;"",AC23,IF(AB23&lt;&gt;"",AB23,""))))&lt;IF(AB23&lt;&gt;"",AB23,IF(AC23&lt;&gt;"",AC23,IF(AD23&lt;&gt;"",AD23,AE23))),"▼","=")))</f>
        <v/>
      </c>
      <c r="H44" s="22">
        <f>AI23</f>
        <v/>
      </c>
      <c r="I44" s="11">
        <f>AJ23</f>
        <v/>
      </c>
      <c r="J44" s="22">
        <f>IF(AL23=1,"À COMMANDER",IF(AA23="","",""))</f>
        <v/>
      </c>
      <c r="AA44" s="11">
        <f>IF(Produits!$A$47="","",Produits!$A$47)</f>
        <v/>
      </c>
      <c r="AB44" s="11">
        <f>IF(ISNUMBER(CHOOSE($Z$3,'Janvier'!E48,'Février'!E48,'Mars'!E48,'Avril'!E48,'Mai'!E48,'Juin'!E48,'Juillet'!E48,'Août'!E48,'Septembre'!E48,'Octobre'!E48,'Novembre'!E48,'Décembre'!E48)),CHOOSE($Z$3,'Janvier'!E48,'Février'!E48,'Mars'!E48,'Avril'!E48,'Mai'!E48,'Juin'!E48,'Juillet'!E48,'Août'!E48,'Septembre'!E48,'Octobre'!E48,'Novembre'!E48,'Décembre'!E48),"")</f>
        <v/>
      </c>
      <c r="AC44" s="11">
        <f>IF(ISNUMBER(CHOOSE($Z$3,'Janvier'!I48,'Février'!I48,'Mars'!I48,'Avril'!I48,'Mai'!I48,'Juin'!I48,'Juillet'!I48,'Août'!I48,'Septembre'!I48,'Octobre'!I48,'Novembre'!I48,'Décembre'!I48)),CHOOSE($Z$3,'Janvier'!I48,'Février'!I48,'Mars'!I48,'Avril'!I48,'Mai'!I48,'Juin'!I48,'Juillet'!I48,'Août'!I48,'Septembre'!I48,'Octobre'!I48,'Novembre'!I48,'Décembre'!I48),"")</f>
        <v/>
      </c>
      <c r="AD44" s="11">
        <f>IF(ISNUMBER(CHOOSE($Z$3,'Janvier'!M48,'Février'!M48,'Mars'!M48,'Avril'!M48,'Mai'!M48,'Juin'!M48,'Juillet'!M48,'Août'!M48,'Septembre'!M48,'Octobre'!M48,'Novembre'!M48,'Décembre'!M48)),CHOOSE($Z$3,'Janvier'!M48,'Février'!M48,'Mars'!M48,'Avril'!M48,'Mai'!M48,'Juin'!M48,'Juillet'!M48,'Août'!M48,'Septembre'!M48,'Octobre'!M48,'Novembre'!M48,'Décembre'!M48),"")</f>
        <v/>
      </c>
      <c r="AE44" s="11">
        <f>IF(ISNUMBER(CHOOSE($Z$3,'Janvier'!Q48,'Février'!Q48,'Mars'!Q48,'Avril'!Q48,'Mai'!Q48,'Juin'!Q48,'Juillet'!Q48,'Août'!Q48,'Septembre'!Q48,'Octobre'!Q48,'Novembre'!Q48,'Décembre'!Q48)),CHOOSE($Z$3,'Janvier'!Q48,'Février'!Q48,'Mars'!Q48,'Avril'!Q48,'Mai'!Q48,'Juin'!Q48,'Juillet'!Q48,'Août'!Q48,'Septembre'!Q48,'Octobre'!Q48,'Novembre'!Q48,'Décembre'!Q48),"")</f>
        <v/>
      </c>
      <c r="AF44" s="11">
        <f>IF(ISNUMBER(CHOOSE($Z$3,'Janvier'!T48,'Février'!T48,'Mars'!T48,'Avril'!T48,'Mai'!T48,'Juin'!T48,'Juillet'!T48,'Août'!T48,'Septembre'!T48,'Octobre'!T48,'Novembre'!T48,'Décembre'!T48)),CHOOSE($Z$3,'Janvier'!T48,'Février'!T48,'Mars'!T48,'Avril'!T48,'Mai'!T48,'Juin'!T48,'Juillet'!T48,'Août'!T48,'Septembre'!T48,'Octobre'!T48,'Novembre'!T48,'Décembre'!T48),"")</f>
        <v/>
      </c>
      <c r="AG44" s="11">
        <f>IF(ISNUMBER(CHOOSE($Z$3,'Janvier'!U48,'Février'!U48,'Mars'!U48,'Avril'!U48,'Mai'!U48,'Juin'!U48,'Juillet'!U48,'Août'!U48,'Septembre'!U48,'Octobre'!U48,'Novembre'!U48,'Décembre'!U48)),CHOOSE($Z$3,'Janvier'!U48,'Février'!U48,'Mars'!U48,'Avril'!U48,'Mai'!U48,'Juin'!U48,'Juillet'!U48,'Août'!U48,'Septembre'!U48,'Octobre'!U48,'Novembre'!U48,'Décembre'!U48),"")</f>
        <v/>
      </c>
      <c r="AH44" s="11">
        <f>IF(ISNUMBER(CHOOSE($Z$3,'Janvier'!V48,'Février'!V48,'Mars'!V48,'Avril'!V48,'Mai'!V48,'Juin'!V48,'Juillet'!V48,'Août'!V48,'Septembre'!V48,'Octobre'!V48,'Novembre'!V48,'Décembre'!V48)),CHOOSE($Z$3,'Janvier'!V48,'Février'!V48,'Mars'!V48,'Avril'!V48,'Mai'!V48,'Juin'!V48,'Juillet'!V48,'Août'!V48,'Septembre'!V48,'Octobre'!V48,'Novembre'!V48,'Décembre'!V48),"")</f>
        <v/>
      </c>
      <c r="AI44" s="11">
        <f>IF(ISNUMBER(CHOOSE($Z$3,'Janvier'!W48,'Février'!W48,'Mars'!W48,'Avril'!W48,'Mai'!W48,'Juin'!W48,'Juillet'!W48,'Août'!W48,'Septembre'!W48,'Octobre'!W48,'Novembre'!W48,'Décembre'!W48)),CHOOSE($Z$3,'Janvier'!W48,'Février'!W48,'Mars'!W48,'Avril'!W48,'Mai'!W48,'Juin'!W48,'Juillet'!W48,'Août'!W48,'Septembre'!W48,'Octobre'!W48,'Novembre'!W48,'Décembre'!W48),"")</f>
        <v/>
      </c>
      <c r="AJ44" s="11">
        <f>IF(Produits!$A$47="","",Produits!$D$47)</f>
        <v/>
      </c>
      <c r="AK44" s="11">
        <f>IF(ISNUMBER(CHOOSE($Z$3,'Janvier'!X48,'Février'!X48,'Mars'!X48,'Avril'!X48,'Mai'!X48,'Juin'!X48,'Juillet'!X48,'Août'!X48,'Septembre'!X48,'Octobre'!X48,'Novembre'!X48,'Décembre'!X48)),CHOOSE($Z$3,'Janvier'!X48,'Février'!X48,'Mars'!X48,'Avril'!X48,'Mai'!X48,'Juin'!X48,'Juillet'!X48,'Août'!X48,'Septembre'!X48,'Octobre'!X48,'Novembre'!X48,'Décembre'!X48),"")</f>
        <v/>
      </c>
      <c r="AL44" s="11">
        <f>IF(AND(ISNUMBER(AI44),ISNUMBER(AJ44)),IF(AI44&lt;=AJ44,1,0),0)</f>
        <v/>
      </c>
      <c r="AM44" s="11">
        <f>IF(OR(AA44="",AK44=""),-1,AK44+ROW()/1000000)</f>
        <v/>
      </c>
    </row>
    <row r="45">
      <c r="A45" s="20">
        <f>AA24</f>
        <v/>
      </c>
      <c r="C45" s="21">
        <f>IF(OR(AB24="",MAX(AB24,AC24,AD24,AE24)=0),"",REPT("█",MAX(1,ROUND(AB24/MAX(AB24,AC24,AD24,AE24)*6,0))))</f>
        <v/>
      </c>
      <c r="D45" s="21">
        <f>IF(OR(AC24="",MAX(AB24,AC24,AD24,AE24)=0),"",REPT("█",MAX(1,ROUND(AC24/MAX(AB24,AC24,AD24,AE24)*6,0))))</f>
        <v/>
      </c>
      <c r="E45" s="21">
        <f>IF(OR(AD24="",MAX(AB24,AC24,AD24,AE24)=0),"",REPT("█",MAX(1,ROUND(AD24/MAX(AB24,AC24,AD24,AE24)*6,0))))</f>
        <v/>
      </c>
      <c r="F45" s="21">
        <f>IF(OR(AE24="",MAX(AB24,AC24,AD24,AE24)=0),"",REPT("█",MAX(1,ROUND(AE24/MAX(AB24,AC24,AD24,AE24)*6,0))))</f>
        <v/>
      </c>
      <c r="G45" s="22">
        <f>IF(COUNT(AB24,AC24,AD24,AE24)&lt;2,"",IF(IF(AE24&lt;&gt;"",AE24,IF(AD24&lt;&gt;"",AD24,IF(AC24&lt;&gt;"",AC24,IF(AB24&lt;&gt;"",AB24,""))))&gt;IF(AB24&lt;&gt;"",AB24,IF(AC24&lt;&gt;"",AC24,IF(AD24&lt;&gt;"",AD24,AE24))),"▲",IF(IF(AE24&lt;&gt;"",AE24,IF(AD24&lt;&gt;"",AD24,IF(AC24&lt;&gt;"",AC24,IF(AB24&lt;&gt;"",AB24,""))))&lt;IF(AB24&lt;&gt;"",AB24,IF(AC24&lt;&gt;"",AC24,IF(AD24&lt;&gt;"",AD24,AE24))),"▼","=")))</f>
        <v/>
      </c>
      <c r="H45" s="22">
        <f>AI24</f>
        <v/>
      </c>
      <c r="I45" s="11">
        <f>AJ24</f>
        <v/>
      </c>
      <c r="J45" s="22">
        <f>IF(AL24=1,"À COMMANDER",IF(AA24="","",""))</f>
        <v/>
      </c>
      <c r="AA45" s="11">
        <f>IF(Produits!$A$48="","",Produits!$A$48)</f>
        <v/>
      </c>
      <c r="AB45" s="11">
        <f>IF(ISNUMBER(CHOOSE($Z$3,'Janvier'!E49,'Février'!E49,'Mars'!E49,'Avril'!E49,'Mai'!E49,'Juin'!E49,'Juillet'!E49,'Août'!E49,'Septembre'!E49,'Octobre'!E49,'Novembre'!E49,'Décembre'!E49)),CHOOSE($Z$3,'Janvier'!E49,'Février'!E49,'Mars'!E49,'Avril'!E49,'Mai'!E49,'Juin'!E49,'Juillet'!E49,'Août'!E49,'Septembre'!E49,'Octobre'!E49,'Novembre'!E49,'Décembre'!E49),"")</f>
        <v/>
      </c>
      <c r="AC45" s="11">
        <f>IF(ISNUMBER(CHOOSE($Z$3,'Janvier'!I49,'Février'!I49,'Mars'!I49,'Avril'!I49,'Mai'!I49,'Juin'!I49,'Juillet'!I49,'Août'!I49,'Septembre'!I49,'Octobre'!I49,'Novembre'!I49,'Décembre'!I49)),CHOOSE($Z$3,'Janvier'!I49,'Février'!I49,'Mars'!I49,'Avril'!I49,'Mai'!I49,'Juin'!I49,'Juillet'!I49,'Août'!I49,'Septembre'!I49,'Octobre'!I49,'Novembre'!I49,'Décembre'!I49),"")</f>
        <v/>
      </c>
      <c r="AD45" s="11">
        <f>IF(ISNUMBER(CHOOSE($Z$3,'Janvier'!M49,'Février'!M49,'Mars'!M49,'Avril'!M49,'Mai'!M49,'Juin'!M49,'Juillet'!M49,'Août'!M49,'Septembre'!M49,'Octobre'!M49,'Novembre'!M49,'Décembre'!M49)),CHOOSE($Z$3,'Janvier'!M49,'Février'!M49,'Mars'!M49,'Avril'!M49,'Mai'!M49,'Juin'!M49,'Juillet'!M49,'Août'!M49,'Septembre'!M49,'Octobre'!M49,'Novembre'!M49,'Décembre'!M49),"")</f>
        <v/>
      </c>
      <c r="AE45" s="11">
        <f>IF(ISNUMBER(CHOOSE($Z$3,'Janvier'!Q49,'Février'!Q49,'Mars'!Q49,'Avril'!Q49,'Mai'!Q49,'Juin'!Q49,'Juillet'!Q49,'Août'!Q49,'Septembre'!Q49,'Octobre'!Q49,'Novembre'!Q49,'Décembre'!Q49)),CHOOSE($Z$3,'Janvier'!Q49,'Février'!Q49,'Mars'!Q49,'Avril'!Q49,'Mai'!Q49,'Juin'!Q49,'Juillet'!Q49,'Août'!Q49,'Septembre'!Q49,'Octobre'!Q49,'Novembre'!Q49,'Décembre'!Q49),"")</f>
        <v/>
      </c>
      <c r="AF45" s="11">
        <f>IF(ISNUMBER(CHOOSE($Z$3,'Janvier'!T49,'Février'!T49,'Mars'!T49,'Avril'!T49,'Mai'!T49,'Juin'!T49,'Juillet'!T49,'Août'!T49,'Septembre'!T49,'Octobre'!T49,'Novembre'!T49,'Décembre'!T49)),CHOOSE($Z$3,'Janvier'!T49,'Février'!T49,'Mars'!T49,'Avril'!T49,'Mai'!T49,'Juin'!T49,'Juillet'!T49,'Août'!T49,'Septembre'!T49,'Octobre'!T49,'Novembre'!T49,'Décembre'!T49),"")</f>
        <v/>
      </c>
      <c r="AG45" s="11">
        <f>IF(ISNUMBER(CHOOSE($Z$3,'Janvier'!U49,'Février'!U49,'Mars'!U49,'Avril'!U49,'Mai'!U49,'Juin'!U49,'Juillet'!U49,'Août'!U49,'Septembre'!U49,'Octobre'!U49,'Novembre'!U49,'Décembre'!U49)),CHOOSE($Z$3,'Janvier'!U49,'Février'!U49,'Mars'!U49,'Avril'!U49,'Mai'!U49,'Juin'!U49,'Juillet'!U49,'Août'!U49,'Septembre'!U49,'Octobre'!U49,'Novembre'!U49,'Décembre'!U49),"")</f>
        <v/>
      </c>
      <c r="AH45" s="11">
        <f>IF(ISNUMBER(CHOOSE($Z$3,'Janvier'!V49,'Février'!V49,'Mars'!V49,'Avril'!V49,'Mai'!V49,'Juin'!V49,'Juillet'!V49,'Août'!V49,'Septembre'!V49,'Octobre'!V49,'Novembre'!V49,'Décembre'!V49)),CHOOSE($Z$3,'Janvier'!V49,'Février'!V49,'Mars'!V49,'Avril'!V49,'Mai'!V49,'Juin'!V49,'Juillet'!V49,'Août'!V49,'Septembre'!V49,'Octobre'!V49,'Novembre'!V49,'Décembre'!V49),"")</f>
        <v/>
      </c>
      <c r="AI45" s="11">
        <f>IF(ISNUMBER(CHOOSE($Z$3,'Janvier'!W49,'Février'!W49,'Mars'!W49,'Avril'!W49,'Mai'!W49,'Juin'!W49,'Juillet'!W49,'Août'!W49,'Septembre'!W49,'Octobre'!W49,'Novembre'!W49,'Décembre'!W49)),CHOOSE($Z$3,'Janvier'!W49,'Février'!W49,'Mars'!W49,'Avril'!W49,'Mai'!W49,'Juin'!W49,'Juillet'!W49,'Août'!W49,'Septembre'!W49,'Octobre'!W49,'Novembre'!W49,'Décembre'!W49),"")</f>
        <v/>
      </c>
      <c r="AJ45" s="11">
        <f>IF(Produits!$A$48="","",Produits!$D$48)</f>
        <v/>
      </c>
      <c r="AK45" s="11">
        <f>IF(ISNUMBER(CHOOSE($Z$3,'Janvier'!X49,'Février'!X49,'Mars'!X49,'Avril'!X49,'Mai'!X49,'Juin'!X49,'Juillet'!X49,'Août'!X49,'Septembre'!X49,'Octobre'!X49,'Novembre'!X49,'Décembre'!X49)),CHOOSE($Z$3,'Janvier'!X49,'Février'!X49,'Mars'!X49,'Avril'!X49,'Mai'!X49,'Juin'!X49,'Juillet'!X49,'Août'!X49,'Septembre'!X49,'Octobre'!X49,'Novembre'!X49,'Décembre'!X49),"")</f>
        <v/>
      </c>
      <c r="AL45" s="11">
        <f>IF(AND(ISNUMBER(AI45),ISNUMBER(AJ45)),IF(AI45&lt;=AJ45,1,0),0)</f>
        <v/>
      </c>
      <c r="AM45" s="11">
        <f>IF(OR(AA45="",AK45=""),-1,AK45+ROW()/1000000)</f>
        <v/>
      </c>
    </row>
    <row r="46">
      <c r="A46" s="20">
        <f>AA25</f>
        <v/>
      </c>
      <c r="C46" s="21">
        <f>IF(OR(AB25="",MAX(AB25,AC25,AD25,AE25)=0),"",REPT("█",MAX(1,ROUND(AB25/MAX(AB25,AC25,AD25,AE25)*6,0))))</f>
        <v/>
      </c>
      <c r="D46" s="21">
        <f>IF(OR(AC25="",MAX(AB25,AC25,AD25,AE25)=0),"",REPT("█",MAX(1,ROUND(AC25/MAX(AB25,AC25,AD25,AE25)*6,0))))</f>
        <v/>
      </c>
      <c r="E46" s="21">
        <f>IF(OR(AD25="",MAX(AB25,AC25,AD25,AE25)=0),"",REPT("█",MAX(1,ROUND(AD25/MAX(AB25,AC25,AD25,AE25)*6,0))))</f>
        <v/>
      </c>
      <c r="F46" s="21">
        <f>IF(OR(AE25="",MAX(AB25,AC25,AD25,AE25)=0),"",REPT("█",MAX(1,ROUND(AE25/MAX(AB25,AC25,AD25,AE25)*6,0))))</f>
        <v/>
      </c>
      <c r="G46" s="22">
        <f>IF(COUNT(AB25,AC25,AD25,AE25)&lt;2,"",IF(IF(AE25&lt;&gt;"",AE25,IF(AD25&lt;&gt;"",AD25,IF(AC25&lt;&gt;"",AC25,IF(AB25&lt;&gt;"",AB25,""))))&gt;IF(AB25&lt;&gt;"",AB25,IF(AC25&lt;&gt;"",AC25,IF(AD25&lt;&gt;"",AD25,AE25))),"▲",IF(IF(AE25&lt;&gt;"",AE25,IF(AD25&lt;&gt;"",AD25,IF(AC25&lt;&gt;"",AC25,IF(AB25&lt;&gt;"",AB25,""))))&lt;IF(AB25&lt;&gt;"",AB25,IF(AC25&lt;&gt;"",AC25,IF(AD25&lt;&gt;"",AD25,AE25))),"▼","=")))</f>
        <v/>
      </c>
      <c r="H46" s="22">
        <f>AI25</f>
        <v/>
      </c>
      <c r="I46" s="11">
        <f>AJ25</f>
        <v/>
      </c>
      <c r="J46" s="22">
        <f>IF(AL25=1,"À COMMANDER",IF(AA25="","",""))</f>
        <v/>
      </c>
      <c r="AA46" s="11">
        <f>IF(Produits!$A$49="","",Produits!$A$49)</f>
        <v/>
      </c>
      <c r="AB46" s="11">
        <f>IF(ISNUMBER(CHOOSE($Z$3,'Janvier'!E50,'Février'!E50,'Mars'!E50,'Avril'!E50,'Mai'!E50,'Juin'!E50,'Juillet'!E50,'Août'!E50,'Septembre'!E50,'Octobre'!E50,'Novembre'!E50,'Décembre'!E50)),CHOOSE($Z$3,'Janvier'!E50,'Février'!E50,'Mars'!E50,'Avril'!E50,'Mai'!E50,'Juin'!E50,'Juillet'!E50,'Août'!E50,'Septembre'!E50,'Octobre'!E50,'Novembre'!E50,'Décembre'!E50),"")</f>
        <v/>
      </c>
      <c r="AC46" s="11">
        <f>IF(ISNUMBER(CHOOSE($Z$3,'Janvier'!I50,'Février'!I50,'Mars'!I50,'Avril'!I50,'Mai'!I50,'Juin'!I50,'Juillet'!I50,'Août'!I50,'Septembre'!I50,'Octobre'!I50,'Novembre'!I50,'Décembre'!I50)),CHOOSE($Z$3,'Janvier'!I50,'Février'!I50,'Mars'!I50,'Avril'!I50,'Mai'!I50,'Juin'!I50,'Juillet'!I50,'Août'!I50,'Septembre'!I50,'Octobre'!I50,'Novembre'!I50,'Décembre'!I50),"")</f>
        <v/>
      </c>
      <c r="AD46" s="11">
        <f>IF(ISNUMBER(CHOOSE($Z$3,'Janvier'!M50,'Février'!M50,'Mars'!M50,'Avril'!M50,'Mai'!M50,'Juin'!M50,'Juillet'!M50,'Août'!M50,'Septembre'!M50,'Octobre'!M50,'Novembre'!M50,'Décembre'!M50)),CHOOSE($Z$3,'Janvier'!M50,'Février'!M50,'Mars'!M50,'Avril'!M50,'Mai'!M50,'Juin'!M50,'Juillet'!M50,'Août'!M50,'Septembre'!M50,'Octobre'!M50,'Novembre'!M50,'Décembre'!M50),"")</f>
        <v/>
      </c>
      <c r="AE46" s="11">
        <f>IF(ISNUMBER(CHOOSE($Z$3,'Janvier'!Q50,'Février'!Q50,'Mars'!Q50,'Avril'!Q50,'Mai'!Q50,'Juin'!Q50,'Juillet'!Q50,'Août'!Q50,'Septembre'!Q50,'Octobre'!Q50,'Novembre'!Q50,'Décembre'!Q50)),CHOOSE($Z$3,'Janvier'!Q50,'Février'!Q50,'Mars'!Q50,'Avril'!Q50,'Mai'!Q50,'Juin'!Q50,'Juillet'!Q50,'Août'!Q50,'Septembre'!Q50,'Octobre'!Q50,'Novembre'!Q50,'Décembre'!Q50),"")</f>
        <v/>
      </c>
      <c r="AF46" s="11">
        <f>IF(ISNUMBER(CHOOSE($Z$3,'Janvier'!T50,'Février'!T50,'Mars'!T50,'Avril'!T50,'Mai'!T50,'Juin'!T50,'Juillet'!T50,'Août'!T50,'Septembre'!T50,'Octobre'!T50,'Novembre'!T50,'Décembre'!T50)),CHOOSE($Z$3,'Janvier'!T50,'Février'!T50,'Mars'!T50,'Avril'!T50,'Mai'!T50,'Juin'!T50,'Juillet'!T50,'Août'!T50,'Septembre'!T50,'Octobre'!T50,'Novembre'!T50,'Décembre'!T50),"")</f>
        <v/>
      </c>
      <c r="AG46" s="11">
        <f>IF(ISNUMBER(CHOOSE($Z$3,'Janvier'!U50,'Février'!U50,'Mars'!U50,'Avril'!U50,'Mai'!U50,'Juin'!U50,'Juillet'!U50,'Août'!U50,'Septembre'!U50,'Octobre'!U50,'Novembre'!U50,'Décembre'!U50)),CHOOSE($Z$3,'Janvier'!U50,'Février'!U50,'Mars'!U50,'Avril'!U50,'Mai'!U50,'Juin'!U50,'Juillet'!U50,'Août'!U50,'Septembre'!U50,'Octobre'!U50,'Novembre'!U50,'Décembre'!U50),"")</f>
        <v/>
      </c>
      <c r="AH46" s="11">
        <f>IF(ISNUMBER(CHOOSE($Z$3,'Janvier'!V50,'Février'!V50,'Mars'!V50,'Avril'!V50,'Mai'!V50,'Juin'!V50,'Juillet'!V50,'Août'!V50,'Septembre'!V50,'Octobre'!V50,'Novembre'!V50,'Décembre'!V50)),CHOOSE($Z$3,'Janvier'!V50,'Février'!V50,'Mars'!V50,'Avril'!V50,'Mai'!V50,'Juin'!V50,'Juillet'!V50,'Août'!V50,'Septembre'!V50,'Octobre'!V50,'Novembre'!V50,'Décembre'!V50),"")</f>
        <v/>
      </c>
      <c r="AI46" s="11">
        <f>IF(ISNUMBER(CHOOSE($Z$3,'Janvier'!W50,'Février'!W50,'Mars'!W50,'Avril'!W50,'Mai'!W50,'Juin'!W50,'Juillet'!W50,'Août'!W50,'Septembre'!W50,'Octobre'!W50,'Novembre'!W50,'Décembre'!W50)),CHOOSE($Z$3,'Janvier'!W50,'Février'!W50,'Mars'!W50,'Avril'!W50,'Mai'!W50,'Juin'!W50,'Juillet'!W50,'Août'!W50,'Septembre'!W50,'Octobre'!W50,'Novembre'!W50,'Décembre'!W50),"")</f>
        <v/>
      </c>
      <c r="AJ46" s="11">
        <f>IF(Produits!$A$49="","",Produits!$D$49)</f>
        <v/>
      </c>
      <c r="AK46" s="11">
        <f>IF(ISNUMBER(CHOOSE($Z$3,'Janvier'!X50,'Février'!X50,'Mars'!X50,'Avril'!X50,'Mai'!X50,'Juin'!X50,'Juillet'!X50,'Août'!X50,'Septembre'!X50,'Octobre'!X50,'Novembre'!X50,'Décembre'!X50)),CHOOSE($Z$3,'Janvier'!X50,'Février'!X50,'Mars'!X50,'Avril'!X50,'Mai'!X50,'Juin'!X50,'Juillet'!X50,'Août'!X50,'Septembre'!X50,'Octobre'!X50,'Novembre'!X50,'Décembre'!X50),"")</f>
        <v/>
      </c>
      <c r="AL46" s="11">
        <f>IF(AND(ISNUMBER(AI46),ISNUMBER(AJ46)),IF(AI46&lt;=AJ46,1,0),0)</f>
        <v/>
      </c>
      <c r="AM46" s="11">
        <f>IF(OR(AA46="",AK46=""),-1,AK46+ROW()/1000000)</f>
        <v/>
      </c>
    </row>
    <row r="47">
      <c r="A47" s="20">
        <f>AA26</f>
        <v/>
      </c>
      <c r="C47" s="21">
        <f>IF(OR(AB26="",MAX(AB26,AC26,AD26,AE26)=0),"",REPT("█",MAX(1,ROUND(AB26/MAX(AB26,AC26,AD26,AE26)*6,0))))</f>
        <v/>
      </c>
      <c r="D47" s="21">
        <f>IF(OR(AC26="",MAX(AB26,AC26,AD26,AE26)=0),"",REPT("█",MAX(1,ROUND(AC26/MAX(AB26,AC26,AD26,AE26)*6,0))))</f>
        <v/>
      </c>
      <c r="E47" s="21">
        <f>IF(OR(AD26="",MAX(AB26,AC26,AD26,AE26)=0),"",REPT("█",MAX(1,ROUND(AD26/MAX(AB26,AC26,AD26,AE26)*6,0))))</f>
        <v/>
      </c>
      <c r="F47" s="21">
        <f>IF(OR(AE26="",MAX(AB26,AC26,AD26,AE26)=0),"",REPT("█",MAX(1,ROUND(AE26/MAX(AB26,AC26,AD26,AE26)*6,0))))</f>
        <v/>
      </c>
      <c r="G47" s="22">
        <f>IF(COUNT(AB26,AC26,AD26,AE26)&lt;2,"",IF(IF(AE26&lt;&gt;"",AE26,IF(AD26&lt;&gt;"",AD26,IF(AC26&lt;&gt;"",AC26,IF(AB26&lt;&gt;"",AB26,""))))&gt;IF(AB26&lt;&gt;"",AB26,IF(AC26&lt;&gt;"",AC26,IF(AD26&lt;&gt;"",AD26,AE26))),"▲",IF(IF(AE26&lt;&gt;"",AE26,IF(AD26&lt;&gt;"",AD26,IF(AC26&lt;&gt;"",AC26,IF(AB26&lt;&gt;"",AB26,""))))&lt;IF(AB26&lt;&gt;"",AB26,IF(AC26&lt;&gt;"",AC26,IF(AD26&lt;&gt;"",AD26,AE26))),"▼","=")))</f>
        <v/>
      </c>
      <c r="H47" s="22">
        <f>AI26</f>
        <v/>
      </c>
      <c r="I47" s="11">
        <f>AJ26</f>
        <v/>
      </c>
      <c r="J47" s="22">
        <f>IF(AL26=1,"À COMMANDER",IF(AA26="","",""))</f>
        <v/>
      </c>
      <c r="AA47" s="11">
        <f>IF(Produits!$A$50="","",Produits!$A$50)</f>
        <v/>
      </c>
      <c r="AB47" s="11">
        <f>IF(ISNUMBER(CHOOSE($Z$3,'Janvier'!E51,'Février'!E51,'Mars'!E51,'Avril'!E51,'Mai'!E51,'Juin'!E51,'Juillet'!E51,'Août'!E51,'Septembre'!E51,'Octobre'!E51,'Novembre'!E51,'Décembre'!E51)),CHOOSE($Z$3,'Janvier'!E51,'Février'!E51,'Mars'!E51,'Avril'!E51,'Mai'!E51,'Juin'!E51,'Juillet'!E51,'Août'!E51,'Septembre'!E51,'Octobre'!E51,'Novembre'!E51,'Décembre'!E51),"")</f>
        <v/>
      </c>
      <c r="AC47" s="11">
        <f>IF(ISNUMBER(CHOOSE($Z$3,'Janvier'!I51,'Février'!I51,'Mars'!I51,'Avril'!I51,'Mai'!I51,'Juin'!I51,'Juillet'!I51,'Août'!I51,'Septembre'!I51,'Octobre'!I51,'Novembre'!I51,'Décembre'!I51)),CHOOSE($Z$3,'Janvier'!I51,'Février'!I51,'Mars'!I51,'Avril'!I51,'Mai'!I51,'Juin'!I51,'Juillet'!I51,'Août'!I51,'Septembre'!I51,'Octobre'!I51,'Novembre'!I51,'Décembre'!I51),"")</f>
        <v/>
      </c>
      <c r="AD47" s="11">
        <f>IF(ISNUMBER(CHOOSE($Z$3,'Janvier'!M51,'Février'!M51,'Mars'!M51,'Avril'!M51,'Mai'!M51,'Juin'!M51,'Juillet'!M51,'Août'!M51,'Septembre'!M51,'Octobre'!M51,'Novembre'!M51,'Décembre'!M51)),CHOOSE($Z$3,'Janvier'!M51,'Février'!M51,'Mars'!M51,'Avril'!M51,'Mai'!M51,'Juin'!M51,'Juillet'!M51,'Août'!M51,'Septembre'!M51,'Octobre'!M51,'Novembre'!M51,'Décembre'!M51),"")</f>
        <v/>
      </c>
      <c r="AE47" s="11">
        <f>IF(ISNUMBER(CHOOSE($Z$3,'Janvier'!Q51,'Février'!Q51,'Mars'!Q51,'Avril'!Q51,'Mai'!Q51,'Juin'!Q51,'Juillet'!Q51,'Août'!Q51,'Septembre'!Q51,'Octobre'!Q51,'Novembre'!Q51,'Décembre'!Q51)),CHOOSE($Z$3,'Janvier'!Q51,'Février'!Q51,'Mars'!Q51,'Avril'!Q51,'Mai'!Q51,'Juin'!Q51,'Juillet'!Q51,'Août'!Q51,'Septembre'!Q51,'Octobre'!Q51,'Novembre'!Q51,'Décembre'!Q51),"")</f>
        <v/>
      </c>
      <c r="AF47" s="11">
        <f>IF(ISNUMBER(CHOOSE($Z$3,'Janvier'!T51,'Février'!T51,'Mars'!T51,'Avril'!T51,'Mai'!T51,'Juin'!T51,'Juillet'!T51,'Août'!T51,'Septembre'!T51,'Octobre'!T51,'Novembre'!T51,'Décembre'!T51)),CHOOSE($Z$3,'Janvier'!T51,'Février'!T51,'Mars'!T51,'Avril'!T51,'Mai'!T51,'Juin'!T51,'Juillet'!T51,'Août'!T51,'Septembre'!T51,'Octobre'!T51,'Novembre'!T51,'Décembre'!T51),"")</f>
        <v/>
      </c>
      <c r="AG47" s="11">
        <f>IF(ISNUMBER(CHOOSE($Z$3,'Janvier'!U51,'Février'!U51,'Mars'!U51,'Avril'!U51,'Mai'!U51,'Juin'!U51,'Juillet'!U51,'Août'!U51,'Septembre'!U51,'Octobre'!U51,'Novembre'!U51,'Décembre'!U51)),CHOOSE($Z$3,'Janvier'!U51,'Février'!U51,'Mars'!U51,'Avril'!U51,'Mai'!U51,'Juin'!U51,'Juillet'!U51,'Août'!U51,'Septembre'!U51,'Octobre'!U51,'Novembre'!U51,'Décembre'!U51),"")</f>
        <v/>
      </c>
      <c r="AH47" s="11">
        <f>IF(ISNUMBER(CHOOSE($Z$3,'Janvier'!V51,'Février'!V51,'Mars'!V51,'Avril'!V51,'Mai'!V51,'Juin'!V51,'Juillet'!V51,'Août'!V51,'Septembre'!V51,'Octobre'!V51,'Novembre'!V51,'Décembre'!V51)),CHOOSE($Z$3,'Janvier'!V51,'Février'!V51,'Mars'!V51,'Avril'!V51,'Mai'!V51,'Juin'!V51,'Juillet'!V51,'Août'!V51,'Septembre'!V51,'Octobre'!V51,'Novembre'!V51,'Décembre'!V51),"")</f>
        <v/>
      </c>
      <c r="AI47" s="11">
        <f>IF(ISNUMBER(CHOOSE($Z$3,'Janvier'!W51,'Février'!W51,'Mars'!W51,'Avril'!W51,'Mai'!W51,'Juin'!W51,'Juillet'!W51,'Août'!W51,'Septembre'!W51,'Octobre'!W51,'Novembre'!W51,'Décembre'!W51)),CHOOSE($Z$3,'Janvier'!W51,'Février'!W51,'Mars'!W51,'Avril'!W51,'Mai'!W51,'Juin'!W51,'Juillet'!W51,'Août'!W51,'Septembre'!W51,'Octobre'!W51,'Novembre'!W51,'Décembre'!W51),"")</f>
        <v/>
      </c>
      <c r="AJ47" s="11">
        <f>IF(Produits!$A$50="","",Produits!$D$50)</f>
        <v/>
      </c>
      <c r="AK47" s="11">
        <f>IF(ISNUMBER(CHOOSE($Z$3,'Janvier'!X51,'Février'!X51,'Mars'!X51,'Avril'!X51,'Mai'!X51,'Juin'!X51,'Juillet'!X51,'Août'!X51,'Septembre'!X51,'Octobre'!X51,'Novembre'!X51,'Décembre'!X51)),CHOOSE($Z$3,'Janvier'!X51,'Février'!X51,'Mars'!X51,'Avril'!X51,'Mai'!X51,'Juin'!X51,'Juillet'!X51,'Août'!X51,'Septembre'!X51,'Octobre'!X51,'Novembre'!X51,'Décembre'!X51),"")</f>
        <v/>
      </c>
      <c r="AL47" s="11">
        <f>IF(AND(ISNUMBER(AI47),ISNUMBER(AJ47)),IF(AI47&lt;=AJ47,1,0),0)</f>
        <v/>
      </c>
      <c r="AM47" s="11">
        <f>IF(OR(AA47="",AK47=""),-1,AK47+ROW()/1000000)</f>
        <v/>
      </c>
    </row>
    <row r="48">
      <c r="A48" s="20">
        <f>AA27</f>
        <v/>
      </c>
      <c r="C48" s="21">
        <f>IF(OR(AB27="",MAX(AB27,AC27,AD27,AE27)=0),"",REPT("█",MAX(1,ROUND(AB27/MAX(AB27,AC27,AD27,AE27)*6,0))))</f>
        <v/>
      </c>
      <c r="D48" s="21">
        <f>IF(OR(AC27="",MAX(AB27,AC27,AD27,AE27)=0),"",REPT("█",MAX(1,ROUND(AC27/MAX(AB27,AC27,AD27,AE27)*6,0))))</f>
        <v/>
      </c>
      <c r="E48" s="21">
        <f>IF(OR(AD27="",MAX(AB27,AC27,AD27,AE27)=0),"",REPT("█",MAX(1,ROUND(AD27/MAX(AB27,AC27,AD27,AE27)*6,0))))</f>
        <v/>
      </c>
      <c r="F48" s="21">
        <f>IF(OR(AE27="",MAX(AB27,AC27,AD27,AE27)=0),"",REPT("█",MAX(1,ROUND(AE27/MAX(AB27,AC27,AD27,AE27)*6,0))))</f>
        <v/>
      </c>
      <c r="G48" s="22">
        <f>IF(COUNT(AB27,AC27,AD27,AE27)&lt;2,"",IF(IF(AE27&lt;&gt;"",AE27,IF(AD27&lt;&gt;"",AD27,IF(AC27&lt;&gt;"",AC27,IF(AB27&lt;&gt;"",AB27,""))))&gt;IF(AB27&lt;&gt;"",AB27,IF(AC27&lt;&gt;"",AC27,IF(AD27&lt;&gt;"",AD27,AE27))),"▲",IF(IF(AE27&lt;&gt;"",AE27,IF(AD27&lt;&gt;"",AD27,IF(AC27&lt;&gt;"",AC27,IF(AB27&lt;&gt;"",AB27,""))))&lt;IF(AB27&lt;&gt;"",AB27,IF(AC27&lt;&gt;"",AC27,IF(AD27&lt;&gt;"",AD27,AE27))),"▼","=")))</f>
        <v/>
      </c>
      <c r="H48" s="22">
        <f>AI27</f>
        <v/>
      </c>
      <c r="I48" s="11">
        <f>AJ27</f>
        <v/>
      </c>
      <c r="J48" s="22">
        <f>IF(AL27=1,"À COMMANDER",IF(AA27="","",""))</f>
        <v/>
      </c>
      <c r="AA48" s="11">
        <f>IF(Produits!$A$51="","",Produits!$A$51)</f>
        <v/>
      </c>
      <c r="AB48" s="11">
        <f>IF(ISNUMBER(CHOOSE($Z$3,'Janvier'!E52,'Février'!E52,'Mars'!E52,'Avril'!E52,'Mai'!E52,'Juin'!E52,'Juillet'!E52,'Août'!E52,'Septembre'!E52,'Octobre'!E52,'Novembre'!E52,'Décembre'!E52)),CHOOSE($Z$3,'Janvier'!E52,'Février'!E52,'Mars'!E52,'Avril'!E52,'Mai'!E52,'Juin'!E52,'Juillet'!E52,'Août'!E52,'Septembre'!E52,'Octobre'!E52,'Novembre'!E52,'Décembre'!E52),"")</f>
        <v/>
      </c>
      <c r="AC48" s="11">
        <f>IF(ISNUMBER(CHOOSE($Z$3,'Janvier'!I52,'Février'!I52,'Mars'!I52,'Avril'!I52,'Mai'!I52,'Juin'!I52,'Juillet'!I52,'Août'!I52,'Septembre'!I52,'Octobre'!I52,'Novembre'!I52,'Décembre'!I52)),CHOOSE($Z$3,'Janvier'!I52,'Février'!I52,'Mars'!I52,'Avril'!I52,'Mai'!I52,'Juin'!I52,'Juillet'!I52,'Août'!I52,'Septembre'!I52,'Octobre'!I52,'Novembre'!I52,'Décembre'!I52),"")</f>
        <v/>
      </c>
      <c r="AD48" s="11">
        <f>IF(ISNUMBER(CHOOSE($Z$3,'Janvier'!M52,'Février'!M52,'Mars'!M52,'Avril'!M52,'Mai'!M52,'Juin'!M52,'Juillet'!M52,'Août'!M52,'Septembre'!M52,'Octobre'!M52,'Novembre'!M52,'Décembre'!M52)),CHOOSE($Z$3,'Janvier'!M52,'Février'!M52,'Mars'!M52,'Avril'!M52,'Mai'!M52,'Juin'!M52,'Juillet'!M52,'Août'!M52,'Septembre'!M52,'Octobre'!M52,'Novembre'!M52,'Décembre'!M52),"")</f>
        <v/>
      </c>
      <c r="AE48" s="11">
        <f>IF(ISNUMBER(CHOOSE($Z$3,'Janvier'!Q52,'Février'!Q52,'Mars'!Q52,'Avril'!Q52,'Mai'!Q52,'Juin'!Q52,'Juillet'!Q52,'Août'!Q52,'Septembre'!Q52,'Octobre'!Q52,'Novembre'!Q52,'Décembre'!Q52)),CHOOSE($Z$3,'Janvier'!Q52,'Février'!Q52,'Mars'!Q52,'Avril'!Q52,'Mai'!Q52,'Juin'!Q52,'Juillet'!Q52,'Août'!Q52,'Septembre'!Q52,'Octobre'!Q52,'Novembre'!Q52,'Décembre'!Q52),"")</f>
        <v/>
      </c>
      <c r="AF48" s="11">
        <f>IF(ISNUMBER(CHOOSE($Z$3,'Janvier'!T52,'Février'!T52,'Mars'!T52,'Avril'!T52,'Mai'!T52,'Juin'!T52,'Juillet'!T52,'Août'!T52,'Septembre'!T52,'Octobre'!T52,'Novembre'!T52,'Décembre'!T52)),CHOOSE($Z$3,'Janvier'!T52,'Février'!T52,'Mars'!T52,'Avril'!T52,'Mai'!T52,'Juin'!T52,'Juillet'!T52,'Août'!T52,'Septembre'!T52,'Octobre'!T52,'Novembre'!T52,'Décembre'!T52),"")</f>
        <v/>
      </c>
      <c r="AG48" s="11">
        <f>IF(ISNUMBER(CHOOSE($Z$3,'Janvier'!U52,'Février'!U52,'Mars'!U52,'Avril'!U52,'Mai'!U52,'Juin'!U52,'Juillet'!U52,'Août'!U52,'Septembre'!U52,'Octobre'!U52,'Novembre'!U52,'Décembre'!U52)),CHOOSE($Z$3,'Janvier'!U52,'Février'!U52,'Mars'!U52,'Avril'!U52,'Mai'!U52,'Juin'!U52,'Juillet'!U52,'Août'!U52,'Septembre'!U52,'Octobre'!U52,'Novembre'!U52,'Décembre'!U52),"")</f>
        <v/>
      </c>
      <c r="AH48" s="11">
        <f>IF(ISNUMBER(CHOOSE($Z$3,'Janvier'!V52,'Février'!V52,'Mars'!V52,'Avril'!V52,'Mai'!V52,'Juin'!V52,'Juillet'!V52,'Août'!V52,'Septembre'!V52,'Octobre'!V52,'Novembre'!V52,'Décembre'!V52)),CHOOSE($Z$3,'Janvier'!V52,'Février'!V52,'Mars'!V52,'Avril'!V52,'Mai'!V52,'Juin'!V52,'Juillet'!V52,'Août'!V52,'Septembre'!V52,'Octobre'!V52,'Novembre'!V52,'Décembre'!V52),"")</f>
        <v/>
      </c>
      <c r="AI48" s="11">
        <f>IF(ISNUMBER(CHOOSE($Z$3,'Janvier'!W52,'Février'!W52,'Mars'!W52,'Avril'!W52,'Mai'!W52,'Juin'!W52,'Juillet'!W52,'Août'!W52,'Septembre'!W52,'Octobre'!W52,'Novembre'!W52,'Décembre'!W52)),CHOOSE($Z$3,'Janvier'!W52,'Février'!W52,'Mars'!W52,'Avril'!W52,'Mai'!W52,'Juin'!W52,'Juillet'!W52,'Août'!W52,'Septembre'!W52,'Octobre'!W52,'Novembre'!W52,'Décembre'!W52),"")</f>
        <v/>
      </c>
      <c r="AJ48" s="11">
        <f>IF(Produits!$A$51="","",Produits!$D$51)</f>
        <v/>
      </c>
      <c r="AK48" s="11">
        <f>IF(ISNUMBER(CHOOSE($Z$3,'Janvier'!X52,'Février'!X52,'Mars'!X52,'Avril'!X52,'Mai'!X52,'Juin'!X52,'Juillet'!X52,'Août'!X52,'Septembre'!X52,'Octobre'!X52,'Novembre'!X52,'Décembre'!X52)),CHOOSE($Z$3,'Janvier'!X52,'Février'!X52,'Mars'!X52,'Avril'!X52,'Mai'!X52,'Juin'!X52,'Juillet'!X52,'Août'!X52,'Septembre'!X52,'Octobre'!X52,'Novembre'!X52,'Décembre'!X52),"")</f>
        <v/>
      </c>
      <c r="AL48" s="11">
        <f>IF(AND(ISNUMBER(AI48),ISNUMBER(AJ48)),IF(AI48&lt;=AJ48,1,0),0)</f>
        <v/>
      </c>
      <c r="AM48" s="11">
        <f>IF(OR(AA48="",AK48=""),-1,AK48+ROW()/1000000)</f>
        <v/>
      </c>
    </row>
    <row r="49">
      <c r="A49" s="20">
        <f>AA28</f>
        <v/>
      </c>
      <c r="C49" s="21">
        <f>IF(OR(AB28="",MAX(AB28,AC28,AD28,AE28)=0),"",REPT("█",MAX(1,ROUND(AB28/MAX(AB28,AC28,AD28,AE28)*6,0))))</f>
        <v/>
      </c>
      <c r="D49" s="21">
        <f>IF(OR(AC28="",MAX(AB28,AC28,AD28,AE28)=0),"",REPT("█",MAX(1,ROUND(AC28/MAX(AB28,AC28,AD28,AE28)*6,0))))</f>
        <v/>
      </c>
      <c r="E49" s="21">
        <f>IF(OR(AD28="",MAX(AB28,AC28,AD28,AE28)=0),"",REPT("█",MAX(1,ROUND(AD28/MAX(AB28,AC28,AD28,AE28)*6,0))))</f>
        <v/>
      </c>
      <c r="F49" s="21">
        <f>IF(OR(AE28="",MAX(AB28,AC28,AD28,AE28)=0),"",REPT("█",MAX(1,ROUND(AE28/MAX(AB28,AC28,AD28,AE28)*6,0))))</f>
        <v/>
      </c>
      <c r="G49" s="22">
        <f>IF(COUNT(AB28,AC28,AD28,AE28)&lt;2,"",IF(IF(AE28&lt;&gt;"",AE28,IF(AD28&lt;&gt;"",AD28,IF(AC28&lt;&gt;"",AC28,IF(AB28&lt;&gt;"",AB28,""))))&gt;IF(AB28&lt;&gt;"",AB28,IF(AC28&lt;&gt;"",AC28,IF(AD28&lt;&gt;"",AD28,AE28))),"▲",IF(IF(AE28&lt;&gt;"",AE28,IF(AD28&lt;&gt;"",AD28,IF(AC28&lt;&gt;"",AC28,IF(AB28&lt;&gt;"",AB28,""))))&lt;IF(AB28&lt;&gt;"",AB28,IF(AC28&lt;&gt;"",AC28,IF(AD28&lt;&gt;"",AD28,AE28))),"▼","=")))</f>
        <v/>
      </c>
      <c r="H49" s="22">
        <f>AI28</f>
        <v/>
      </c>
      <c r="I49" s="11">
        <f>AJ28</f>
        <v/>
      </c>
      <c r="J49" s="22">
        <f>IF(AL28=1,"À COMMANDER",IF(AA28="","",""))</f>
        <v/>
      </c>
      <c r="AA49" s="11">
        <f>IF(Produits!$A$52="","",Produits!$A$52)</f>
        <v/>
      </c>
      <c r="AB49" s="11">
        <f>IF(ISNUMBER(CHOOSE($Z$3,'Janvier'!E53,'Février'!E53,'Mars'!E53,'Avril'!E53,'Mai'!E53,'Juin'!E53,'Juillet'!E53,'Août'!E53,'Septembre'!E53,'Octobre'!E53,'Novembre'!E53,'Décembre'!E53)),CHOOSE($Z$3,'Janvier'!E53,'Février'!E53,'Mars'!E53,'Avril'!E53,'Mai'!E53,'Juin'!E53,'Juillet'!E53,'Août'!E53,'Septembre'!E53,'Octobre'!E53,'Novembre'!E53,'Décembre'!E53),"")</f>
        <v/>
      </c>
      <c r="AC49" s="11">
        <f>IF(ISNUMBER(CHOOSE($Z$3,'Janvier'!I53,'Février'!I53,'Mars'!I53,'Avril'!I53,'Mai'!I53,'Juin'!I53,'Juillet'!I53,'Août'!I53,'Septembre'!I53,'Octobre'!I53,'Novembre'!I53,'Décembre'!I53)),CHOOSE($Z$3,'Janvier'!I53,'Février'!I53,'Mars'!I53,'Avril'!I53,'Mai'!I53,'Juin'!I53,'Juillet'!I53,'Août'!I53,'Septembre'!I53,'Octobre'!I53,'Novembre'!I53,'Décembre'!I53),"")</f>
        <v/>
      </c>
      <c r="AD49" s="11">
        <f>IF(ISNUMBER(CHOOSE($Z$3,'Janvier'!M53,'Février'!M53,'Mars'!M53,'Avril'!M53,'Mai'!M53,'Juin'!M53,'Juillet'!M53,'Août'!M53,'Septembre'!M53,'Octobre'!M53,'Novembre'!M53,'Décembre'!M53)),CHOOSE($Z$3,'Janvier'!M53,'Février'!M53,'Mars'!M53,'Avril'!M53,'Mai'!M53,'Juin'!M53,'Juillet'!M53,'Août'!M53,'Septembre'!M53,'Octobre'!M53,'Novembre'!M53,'Décembre'!M53),"")</f>
        <v/>
      </c>
      <c r="AE49" s="11">
        <f>IF(ISNUMBER(CHOOSE($Z$3,'Janvier'!Q53,'Février'!Q53,'Mars'!Q53,'Avril'!Q53,'Mai'!Q53,'Juin'!Q53,'Juillet'!Q53,'Août'!Q53,'Septembre'!Q53,'Octobre'!Q53,'Novembre'!Q53,'Décembre'!Q53)),CHOOSE($Z$3,'Janvier'!Q53,'Février'!Q53,'Mars'!Q53,'Avril'!Q53,'Mai'!Q53,'Juin'!Q53,'Juillet'!Q53,'Août'!Q53,'Septembre'!Q53,'Octobre'!Q53,'Novembre'!Q53,'Décembre'!Q53),"")</f>
        <v/>
      </c>
      <c r="AF49" s="11">
        <f>IF(ISNUMBER(CHOOSE($Z$3,'Janvier'!T53,'Février'!T53,'Mars'!T53,'Avril'!T53,'Mai'!T53,'Juin'!T53,'Juillet'!T53,'Août'!T53,'Septembre'!T53,'Octobre'!T53,'Novembre'!T53,'Décembre'!T53)),CHOOSE($Z$3,'Janvier'!T53,'Février'!T53,'Mars'!T53,'Avril'!T53,'Mai'!T53,'Juin'!T53,'Juillet'!T53,'Août'!T53,'Septembre'!T53,'Octobre'!T53,'Novembre'!T53,'Décembre'!T53),"")</f>
        <v/>
      </c>
      <c r="AG49" s="11">
        <f>IF(ISNUMBER(CHOOSE($Z$3,'Janvier'!U53,'Février'!U53,'Mars'!U53,'Avril'!U53,'Mai'!U53,'Juin'!U53,'Juillet'!U53,'Août'!U53,'Septembre'!U53,'Octobre'!U53,'Novembre'!U53,'Décembre'!U53)),CHOOSE($Z$3,'Janvier'!U53,'Février'!U53,'Mars'!U53,'Avril'!U53,'Mai'!U53,'Juin'!U53,'Juillet'!U53,'Août'!U53,'Septembre'!U53,'Octobre'!U53,'Novembre'!U53,'Décembre'!U53),"")</f>
        <v/>
      </c>
      <c r="AH49" s="11">
        <f>IF(ISNUMBER(CHOOSE($Z$3,'Janvier'!V53,'Février'!V53,'Mars'!V53,'Avril'!V53,'Mai'!V53,'Juin'!V53,'Juillet'!V53,'Août'!V53,'Septembre'!V53,'Octobre'!V53,'Novembre'!V53,'Décembre'!V53)),CHOOSE($Z$3,'Janvier'!V53,'Février'!V53,'Mars'!V53,'Avril'!V53,'Mai'!V53,'Juin'!V53,'Juillet'!V53,'Août'!V53,'Septembre'!V53,'Octobre'!V53,'Novembre'!V53,'Décembre'!V53),"")</f>
        <v/>
      </c>
      <c r="AI49" s="11">
        <f>IF(ISNUMBER(CHOOSE($Z$3,'Janvier'!W53,'Février'!W53,'Mars'!W53,'Avril'!W53,'Mai'!W53,'Juin'!W53,'Juillet'!W53,'Août'!W53,'Septembre'!W53,'Octobre'!W53,'Novembre'!W53,'Décembre'!W53)),CHOOSE($Z$3,'Janvier'!W53,'Février'!W53,'Mars'!W53,'Avril'!W53,'Mai'!W53,'Juin'!W53,'Juillet'!W53,'Août'!W53,'Septembre'!W53,'Octobre'!W53,'Novembre'!W53,'Décembre'!W53),"")</f>
        <v/>
      </c>
      <c r="AJ49" s="11">
        <f>IF(Produits!$A$52="","",Produits!$D$52)</f>
        <v/>
      </c>
      <c r="AK49" s="11">
        <f>IF(ISNUMBER(CHOOSE($Z$3,'Janvier'!X53,'Février'!X53,'Mars'!X53,'Avril'!X53,'Mai'!X53,'Juin'!X53,'Juillet'!X53,'Août'!X53,'Septembre'!X53,'Octobre'!X53,'Novembre'!X53,'Décembre'!X53)),CHOOSE($Z$3,'Janvier'!X53,'Février'!X53,'Mars'!X53,'Avril'!X53,'Mai'!X53,'Juin'!X53,'Juillet'!X53,'Août'!X53,'Septembre'!X53,'Octobre'!X53,'Novembre'!X53,'Décembre'!X53),"")</f>
        <v/>
      </c>
      <c r="AL49" s="11">
        <f>IF(AND(ISNUMBER(AI49),ISNUMBER(AJ49)),IF(AI49&lt;=AJ49,1,0),0)</f>
        <v/>
      </c>
      <c r="AM49" s="11">
        <f>IF(OR(AA49="",AK49=""),-1,AK49+ROW()/1000000)</f>
        <v/>
      </c>
    </row>
    <row r="50">
      <c r="A50" s="20">
        <f>AA29</f>
        <v/>
      </c>
      <c r="C50" s="21">
        <f>IF(OR(AB29="",MAX(AB29,AC29,AD29,AE29)=0),"",REPT("█",MAX(1,ROUND(AB29/MAX(AB29,AC29,AD29,AE29)*6,0))))</f>
        <v/>
      </c>
      <c r="D50" s="21">
        <f>IF(OR(AC29="",MAX(AB29,AC29,AD29,AE29)=0),"",REPT("█",MAX(1,ROUND(AC29/MAX(AB29,AC29,AD29,AE29)*6,0))))</f>
        <v/>
      </c>
      <c r="E50" s="21">
        <f>IF(OR(AD29="",MAX(AB29,AC29,AD29,AE29)=0),"",REPT("█",MAX(1,ROUND(AD29/MAX(AB29,AC29,AD29,AE29)*6,0))))</f>
        <v/>
      </c>
      <c r="F50" s="21">
        <f>IF(OR(AE29="",MAX(AB29,AC29,AD29,AE29)=0),"",REPT("█",MAX(1,ROUND(AE29/MAX(AB29,AC29,AD29,AE29)*6,0))))</f>
        <v/>
      </c>
      <c r="G50" s="22">
        <f>IF(COUNT(AB29,AC29,AD29,AE29)&lt;2,"",IF(IF(AE29&lt;&gt;"",AE29,IF(AD29&lt;&gt;"",AD29,IF(AC29&lt;&gt;"",AC29,IF(AB29&lt;&gt;"",AB29,""))))&gt;IF(AB29&lt;&gt;"",AB29,IF(AC29&lt;&gt;"",AC29,IF(AD29&lt;&gt;"",AD29,AE29))),"▲",IF(IF(AE29&lt;&gt;"",AE29,IF(AD29&lt;&gt;"",AD29,IF(AC29&lt;&gt;"",AC29,IF(AB29&lt;&gt;"",AB29,""))))&lt;IF(AB29&lt;&gt;"",AB29,IF(AC29&lt;&gt;"",AC29,IF(AD29&lt;&gt;"",AD29,AE29))),"▼","=")))</f>
        <v/>
      </c>
      <c r="H50" s="22">
        <f>AI29</f>
        <v/>
      </c>
      <c r="I50" s="11">
        <f>AJ29</f>
        <v/>
      </c>
      <c r="J50" s="22">
        <f>IF(AL29=1,"À COMMANDER",IF(AA29="","",""))</f>
        <v/>
      </c>
      <c r="AA50" s="11">
        <f>IF(Produits!$A$54="","",Produits!$A$54)</f>
        <v/>
      </c>
      <c r="AB50" s="11">
        <f>IF(ISNUMBER(CHOOSE($Z$3,'Janvier'!E55,'Février'!E55,'Mars'!E55,'Avril'!E55,'Mai'!E55,'Juin'!E55,'Juillet'!E55,'Août'!E55,'Septembre'!E55,'Octobre'!E55,'Novembre'!E55,'Décembre'!E55)),CHOOSE($Z$3,'Janvier'!E55,'Février'!E55,'Mars'!E55,'Avril'!E55,'Mai'!E55,'Juin'!E55,'Juillet'!E55,'Août'!E55,'Septembre'!E55,'Octobre'!E55,'Novembre'!E55,'Décembre'!E55),"")</f>
        <v/>
      </c>
      <c r="AC50" s="11">
        <f>IF(ISNUMBER(CHOOSE($Z$3,'Janvier'!I55,'Février'!I55,'Mars'!I55,'Avril'!I55,'Mai'!I55,'Juin'!I55,'Juillet'!I55,'Août'!I55,'Septembre'!I55,'Octobre'!I55,'Novembre'!I55,'Décembre'!I55)),CHOOSE($Z$3,'Janvier'!I55,'Février'!I55,'Mars'!I55,'Avril'!I55,'Mai'!I55,'Juin'!I55,'Juillet'!I55,'Août'!I55,'Septembre'!I55,'Octobre'!I55,'Novembre'!I55,'Décembre'!I55),"")</f>
        <v/>
      </c>
      <c r="AD50" s="11">
        <f>IF(ISNUMBER(CHOOSE($Z$3,'Janvier'!M55,'Février'!M55,'Mars'!M55,'Avril'!M55,'Mai'!M55,'Juin'!M55,'Juillet'!M55,'Août'!M55,'Septembre'!M55,'Octobre'!M55,'Novembre'!M55,'Décembre'!M55)),CHOOSE($Z$3,'Janvier'!M55,'Février'!M55,'Mars'!M55,'Avril'!M55,'Mai'!M55,'Juin'!M55,'Juillet'!M55,'Août'!M55,'Septembre'!M55,'Octobre'!M55,'Novembre'!M55,'Décembre'!M55),"")</f>
        <v/>
      </c>
      <c r="AE50" s="11">
        <f>IF(ISNUMBER(CHOOSE($Z$3,'Janvier'!Q55,'Février'!Q55,'Mars'!Q55,'Avril'!Q55,'Mai'!Q55,'Juin'!Q55,'Juillet'!Q55,'Août'!Q55,'Septembre'!Q55,'Octobre'!Q55,'Novembre'!Q55,'Décembre'!Q55)),CHOOSE($Z$3,'Janvier'!Q55,'Février'!Q55,'Mars'!Q55,'Avril'!Q55,'Mai'!Q55,'Juin'!Q55,'Juillet'!Q55,'Août'!Q55,'Septembre'!Q55,'Octobre'!Q55,'Novembre'!Q55,'Décembre'!Q55),"")</f>
        <v/>
      </c>
      <c r="AF50" s="11">
        <f>IF(ISNUMBER(CHOOSE($Z$3,'Janvier'!T55,'Février'!T55,'Mars'!T55,'Avril'!T55,'Mai'!T55,'Juin'!T55,'Juillet'!T55,'Août'!T55,'Septembre'!T55,'Octobre'!T55,'Novembre'!T55,'Décembre'!T55)),CHOOSE($Z$3,'Janvier'!T55,'Février'!T55,'Mars'!T55,'Avril'!T55,'Mai'!T55,'Juin'!T55,'Juillet'!T55,'Août'!T55,'Septembre'!T55,'Octobre'!T55,'Novembre'!T55,'Décembre'!T55),"")</f>
        <v/>
      </c>
      <c r="AG50" s="11">
        <f>IF(ISNUMBER(CHOOSE($Z$3,'Janvier'!U55,'Février'!U55,'Mars'!U55,'Avril'!U55,'Mai'!U55,'Juin'!U55,'Juillet'!U55,'Août'!U55,'Septembre'!U55,'Octobre'!U55,'Novembre'!U55,'Décembre'!U55)),CHOOSE($Z$3,'Janvier'!U55,'Février'!U55,'Mars'!U55,'Avril'!U55,'Mai'!U55,'Juin'!U55,'Juillet'!U55,'Août'!U55,'Septembre'!U55,'Octobre'!U55,'Novembre'!U55,'Décembre'!U55),"")</f>
        <v/>
      </c>
      <c r="AH50" s="11">
        <f>IF(ISNUMBER(CHOOSE($Z$3,'Janvier'!V55,'Février'!V55,'Mars'!V55,'Avril'!V55,'Mai'!V55,'Juin'!V55,'Juillet'!V55,'Août'!V55,'Septembre'!V55,'Octobre'!V55,'Novembre'!V55,'Décembre'!V55)),CHOOSE($Z$3,'Janvier'!V55,'Février'!V55,'Mars'!V55,'Avril'!V55,'Mai'!V55,'Juin'!V55,'Juillet'!V55,'Août'!V55,'Septembre'!V55,'Octobre'!V55,'Novembre'!V55,'Décembre'!V55),"")</f>
        <v/>
      </c>
      <c r="AI50" s="11">
        <f>IF(ISNUMBER(CHOOSE($Z$3,'Janvier'!W55,'Février'!W55,'Mars'!W55,'Avril'!W55,'Mai'!W55,'Juin'!W55,'Juillet'!W55,'Août'!W55,'Septembre'!W55,'Octobre'!W55,'Novembre'!W55,'Décembre'!W55)),CHOOSE($Z$3,'Janvier'!W55,'Février'!W55,'Mars'!W55,'Avril'!W55,'Mai'!W55,'Juin'!W55,'Juillet'!W55,'Août'!W55,'Septembre'!W55,'Octobre'!W55,'Novembre'!W55,'Décembre'!W55),"")</f>
        <v/>
      </c>
      <c r="AJ50" s="11">
        <f>IF(Produits!$A$54="","",Produits!$D$54)</f>
        <v/>
      </c>
      <c r="AK50" s="11">
        <f>IF(ISNUMBER(CHOOSE($Z$3,'Janvier'!X55,'Février'!X55,'Mars'!X55,'Avril'!X55,'Mai'!X55,'Juin'!X55,'Juillet'!X55,'Août'!X55,'Septembre'!X55,'Octobre'!X55,'Novembre'!X55,'Décembre'!X55)),CHOOSE($Z$3,'Janvier'!X55,'Février'!X55,'Mars'!X55,'Avril'!X55,'Mai'!X55,'Juin'!X55,'Juillet'!X55,'Août'!X55,'Septembre'!X55,'Octobre'!X55,'Novembre'!X55,'Décembre'!X55),"")</f>
        <v/>
      </c>
      <c r="AL50" s="11">
        <f>IF(AND(ISNUMBER(AI50),ISNUMBER(AJ50)),IF(AI50&lt;=AJ50,1,0),0)</f>
        <v/>
      </c>
      <c r="AM50" s="11">
        <f>IF(OR(AA50="",AK50=""),-1,AK50+ROW()/1000000)</f>
        <v/>
      </c>
    </row>
    <row r="51">
      <c r="A51" s="20">
        <f>AA30</f>
        <v/>
      </c>
      <c r="C51" s="21">
        <f>IF(OR(AB30="",MAX(AB30,AC30,AD30,AE30)=0),"",REPT("█",MAX(1,ROUND(AB30/MAX(AB30,AC30,AD30,AE30)*6,0))))</f>
        <v/>
      </c>
      <c r="D51" s="21">
        <f>IF(OR(AC30="",MAX(AB30,AC30,AD30,AE30)=0),"",REPT("█",MAX(1,ROUND(AC30/MAX(AB30,AC30,AD30,AE30)*6,0))))</f>
        <v/>
      </c>
      <c r="E51" s="21">
        <f>IF(OR(AD30="",MAX(AB30,AC30,AD30,AE30)=0),"",REPT("█",MAX(1,ROUND(AD30/MAX(AB30,AC30,AD30,AE30)*6,0))))</f>
        <v/>
      </c>
      <c r="F51" s="21">
        <f>IF(OR(AE30="",MAX(AB30,AC30,AD30,AE30)=0),"",REPT("█",MAX(1,ROUND(AE30/MAX(AB30,AC30,AD30,AE30)*6,0))))</f>
        <v/>
      </c>
      <c r="G51" s="22">
        <f>IF(COUNT(AB30,AC30,AD30,AE30)&lt;2,"",IF(IF(AE30&lt;&gt;"",AE30,IF(AD30&lt;&gt;"",AD30,IF(AC30&lt;&gt;"",AC30,IF(AB30&lt;&gt;"",AB30,""))))&gt;IF(AB30&lt;&gt;"",AB30,IF(AC30&lt;&gt;"",AC30,IF(AD30&lt;&gt;"",AD30,AE30))),"▲",IF(IF(AE30&lt;&gt;"",AE30,IF(AD30&lt;&gt;"",AD30,IF(AC30&lt;&gt;"",AC30,IF(AB30&lt;&gt;"",AB30,""))))&lt;IF(AB30&lt;&gt;"",AB30,IF(AC30&lt;&gt;"",AC30,IF(AD30&lt;&gt;"",AD30,AE30))),"▼","=")))</f>
        <v/>
      </c>
      <c r="H51" s="22">
        <f>AI30</f>
        <v/>
      </c>
      <c r="I51" s="11">
        <f>AJ30</f>
        <v/>
      </c>
      <c r="J51" s="22">
        <f>IF(AL30=1,"À COMMANDER",IF(AA30="","",""))</f>
        <v/>
      </c>
      <c r="AA51" s="11">
        <f>IF(Produits!$A$55="","",Produits!$A$55)</f>
        <v/>
      </c>
      <c r="AB51" s="11">
        <f>IF(ISNUMBER(CHOOSE($Z$3,'Janvier'!E56,'Février'!E56,'Mars'!E56,'Avril'!E56,'Mai'!E56,'Juin'!E56,'Juillet'!E56,'Août'!E56,'Septembre'!E56,'Octobre'!E56,'Novembre'!E56,'Décembre'!E56)),CHOOSE($Z$3,'Janvier'!E56,'Février'!E56,'Mars'!E56,'Avril'!E56,'Mai'!E56,'Juin'!E56,'Juillet'!E56,'Août'!E56,'Septembre'!E56,'Octobre'!E56,'Novembre'!E56,'Décembre'!E56),"")</f>
        <v/>
      </c>
      <c r="AC51" s="11">
        <f>IF(ISNUMBER(CHOOSE($Z$3,'Janvier'!I56,'Février'!I56,'Mars'!I56,'Avril'!I56,'Mai'!I56,'Juin'!I56,'Juillet'!I56,'Août'!I56,'Septembre'!I56,'Octobre'!I56,'Novembre'!I56,'Décembre'!I56)),CHOOSE($Z$3,'Janvier'!I56,'Février'!I56,'Mars'!I56,'Avril'!I56,'Mai'!I56,'Juin'!I56,'Juillet'!I56,'Août'!I56,'Septembre'!I56,'Octobre'!I56,'Novembre'!I56,'Décembre'!I56),"")</f>
        <v/>
      </c>
      <c r="AD51" s="11">
        <f>IF(ISNUMBER(CHOOSE($Z$3,'Janvier'!M56,'Février'!M56,'Mars'!M56,'Avril'!M56,'Mai'!M56,'Juin'!M56,'Juillet'!M56,'Août'!M56,'Septembre'!M56,'Octobre'!M56,'Novembre'!M56,'Décembre'!M56)),CHOOSE($Z$3,'Janvier'!M56,'Février'!M56,'Mars'!M56,'Avril'!M56,'Mai'!M56,'Juin'!M56,'Juillet'!M56,'Août'!M56,'Septembre'!M56,'Octobre'!M56,'Novembre'!M56,'Décembre'!M56),"")</f>
        <v/>
      </c>
      <c r="AE51" s="11">
        <f>IF(ISNUMBER(CHOOSE($Z$3,'Janvier'!Q56,'Février'!Q56,'Mars'!Q56,'Avril'!Q56,'Mai'!Q56,'Juin'!Q56,'Juillet'!Q56,'Août'!Q56,'Septembre'!Q56,'Octobre'!Q56,'Novembre'!Q56,'Décembre'!Q56)),CHOOSE($Z$3,'Janvier'!Q56,'Février'!Q56,'Mars'!Q56,'Avril'!Q56,'Mai'!Q56,'Juin'!Q56,'Juillet'!Q56,'Août'!Q56,'Septembre'!Q56,'Octobre'!Q56,'Novembre'!Q56,'Décembre'!Q56),"")</f>
        <v/>
      </c>
      <c r="AF51" s="11">
        <f>IF(ISNUMBER(CHOOSE($Z$3,'Janvier'!T56,'Février'!T56,'Mars'!T56,'Avril'!T56,'Mai'!T56,'Juin'!T56,'Juillet'!T56,'Août'!T56,'Septembre'!T56,'Octobre'!T56,'Novembre'!T56,'Décembre'!T56)),CHOOSE($Z$3,'Janvier'!T56,'Février'!T56,'Mars'!T56,'Avril'!T56,'Mai'!T56,'Juin'!T56,'Juillet'!T56,'Août'!T56,'Septembre'!T56,'Octobre'!T56,'Novembre'!T56,'Décembre'!T56),"")</f>
        <v/>
      </c>
      <c r="AG51" s="11">
        <f>IF(ISNUMBER(CHOOSE($Z$3,'Janvier'!U56,'Février'!U56,'Mars'!U56,'Avril'!U56,'Mai'!U56,'Juin'!U56,'Juillet'!U56,'Août'!U56,'Septembre'!U56,'Octobre'!U56,'Novembre'!U56,'Décembre'!U56)),CHOOSE($Z$3,'Janvier'!U56,'Février'!U56,'Mars'!U56,'Avril'!U56,'Mai'!U56,'Juin'!U56,'Juillet'!U56,'Août'!U56,'Septembre'!U56,'Octobre'!U56,'Novembre'!U56,'Décembre'!U56),"")</f>
        <v/>
      </c>
      <c r="AH51" s="11">
        <f>IF(ISNUMBER(CHOOSE($Z$3,'Janvier'!V56,'Février'!V56,'Mars'!V56,'Avril'!V56,'Mai'!V56,'Juin'!V56,'Juillet'!V56,'Août'!V56,'Septembre'!V56,'Octobre'!V56,'Novembre'!V56,'Décembre'!V56)),CHOOSE($Z$3,'Janvier'!V56,'Février'!V56,'Mars'!V56,'Avril'!V56,'Mai'!V56,'Juin'!V56,'Juillet'!V56,'Août'!V56,'Septembre'!V56,'Octobre'!V56,'Novembre'!V56,'Décembre'!V56),"")</f>
        <v/>
      </c>
      <c r="AI51" s="11">
        <f>IF(ISNUMBER(CHOOSE($Z$3,'Janvier'!W56,'Février'!W56,'Mars'!W56,'Avril'!W56,'Mai'!W56,'Juin'!W56,'Juillet'!W56,'Août'!W56,'Septembre'!W56,'Octobre'!W56,'Novembre'!W56,'Décembre'!W56)),CHOOSE($Z$3,'Janvier'!W56,'Février'!W56,'Mars'!W56,'Avril'!W56,'Mai'!W56,'Juin'!W56,'Juillet'!W56,'Août'!W56,'Septembre'!W56,'Octobre'!W56,'Novembre'!W56,'Décembre'!W56),"")</f>
        <v/>
      </c>
      <c r="AJ51" s="11">
        <f>IF(Produits!$A$55="","",Produits!$D$55)</f>
        <v/>
      </c>
      <c r="AK51" s="11">
        <f>IF(ISNUMBER(CHOOSE($Z$3,'Janvier'!X56,'Février'!X56,'Mars'!X56,'Avril'!X56,'Mai'!X56,'Juin'!X56,'Juillet'!X56,'Août'!X56,'Septembre'!X56,'Octobre'!X56,'Novembre'!X56,'Décembre'!X56)),CHOOSE($Z$3,'Janvier'!X56,'Février'!X56,'Mars'!X56,'Avril'!X56,'Mai'!X56,'Juin'!X56,'Juillet'!X56,'Août'!X56,'Septembre'!X56,'Octobre'!X56,'Novembre'!X56,'Décembre'!X56),"")</f>
        <v/>
      </c>
      <c r="AL51" s="11">
        <f>IF(AND(ISNUMBER(AI51),ISNUMBER(AJ51)),IF(AI51&lt;=AJ51,1,0),0)</f>
        <v/>
      </c>
      <c r="AM51" s="11">
        <f>IF(OR(AA51="",AK51=""),-1,AK51+ROW()/1000000)</f>
        <v/>
      </c>
    </row>
    <row r="52">
      <c r="A52" s="20">
        <f>AA31</f>
        <v/>
      </c>
      <c r="C52" s="21">
        <f>IF(OR(AB31="",MAX(AB31,AC31,AD31,AE31)=0),"",REPT("█",MAX(1,ROUND(AB31/MAX(AB31,AC31,AD31,AE31)*6,0))))</f>
        <v/>
      </c>
      <c r="D52" s="21">
        <f>IF(OR(AC31="",MAX(AB31,AC31,AD31,AE31)=0),"",REPT("█",MAX(1,ROUND(AC31/MAX(AB31,AC31,AD31,AE31)*6,0))))</f>
        <v/>
      </c>
      <c r="E52" s="21">
        <f>IF(OR(AD31="",MAX(AB31,AC31,AD31,AE31)=0),"",REPT("█",MAX(1,ROUND(AD31/MAX(AB31,AC31,AD31,AE31)*6,0))))</f>
        <v/>
      </c>
      <c r="F52" s="21">
        <f>IF(OR(AE31="",MAX(AB31,AC31,AD31,AE31)=0),"",REPT("█",MAX(1,ROUND(AE31/MAX(AB31,AC31,AD31,AE31)*6,0))))</f>
        <v/>
      </c>
      <c r="G52" s="22">
        <f>IF(COUNT(AB31,AC31,AD31,AE31)&lt;2,"",IF(IF(AE31&lt;&gt;"",AE31,IF(AD31&lt;&gt;"",AD31,IF(AC31&lt;&gt;"",AC31,IF(AB31&lt;&gt;"",AB31,""))))&gt;IF(AB31&lt;&gt;"",AB31,IF(AC31&lt;&gt;"",AC31,IF(AD31&lt;&gt;"",AD31,AE31))),"▲",IF(IF(AE31&lt;&gt;"",AE31,IF(AD31&lt;&gt;"",AD31,IF(AC31&lt;&gt;"",AC31,IF(AB31&lt;&gt;"",AB31,""))))&lt;IF(AB31&lt;&gt;"",AB31,IF(AC31&lt;&gt;"",AC31,IF(AD31&lt;&gt;"",AD31,AE31))),"▼","=")))</f>
        <v/>
      </c>
      <c r="H52" s="22">
        <f>AI31</f>
        <v/>
      </c>
      <c r="I52" s="11">
        <f>AJ31</f>
        <v/>
      </c>
      <c r="J52" s="22">
        <f>IF(AL31=1,"À COMMANDER",IF(AA31="","",""))</f>
        <v/>
      </c>
      <c r="AA52" s="11">
        <f>IF(Produits!$A$56="","",Produits!$A$56)</f>
        <v/>
      </c>
      <c r="AB52" s="11">
        <f>IF(ISNUMBER(CHOOSE($Z$3,'Janvier'!E57,'Février'!E57,'Mars'!E57,'Avril'!E57,'Mai'!E57,'Juin'!E57,'Juillet'!E57,'Août'!E57,'Septembre'!E57,'Octobre'!E57,'Novembre'!E57,'Décembre'!E57)),CHOOSE($Z$3,'Janvier'!E57,'Février'!E57,'Mars'!E57,'Avril'!E57,'Mai'!E57,'Juin'!E57,'Juillet'!E57,'Août'!E57,'Septembre'!E57,'Octobre'!E57,'Novembre'!E57,'Décembre'!E57),"")</f>
        <v/>
      </c>
      <c r="AC52" s="11">
        <f>IF(ISNUMBER(CHOOSE($Z$3,'Janvier'!I57,'Février'!I57,'Mars'!I57,'Avril'!I57,'Mai'!I57,'Juin'!I57,'Juillet'!I57,'Août'!I57,'Septembre'!I57,'Octobre'!I57,'Novembre'!I57,'Décembre'!I57)),CHOOSE($Z$3,'Janvier'!I57,'Février'!I57,'Mars'!I57,'Avril'!I57,'Mai'!I57,'Juin'!I57,'Juillet'!I57,'Août'!I57,'Septembre'!I57,'Octobre'!I57,'Novembre'!I57,'Décembre'!I57),"")</f>
        <v/>
      </c>
      <c r="AD52" s="11">
        <f>IF(ISNUMBER(CHOOSE($Z$3,'Janvier'!M57,'Février'!M57,'Mars'!M57,'Avril'!M57,'Mai'!M57,'Juin'!M57,'Juillet'!M57,'Août'!M57,'Septembre'!M57,'Octobre'!M57,'Novembre'!M57,'Décembre'!M57)),CHOOSE($Z$3,'Janvier'!M57,'Février'!M57,'Mars'!M57,'Avril'!M57,'Mai'!M57,'Juin'!M57,'Juillet'!M57,'Août'!M57,'Septembre'!M57,'Octobre'!M57,'Novembre'!M57,'Décembre'!M57),"")</f>
        <v/>
      </c>
      <c r="AE52" s="11">
        <f>IF(ISNUMBER(CHOOSE($Z$3,'Janvier'!Q57,'Février'!Q57,'Mars'!Q57,'Avril'!Q57,'Mai'!Q57,'Juin'!Q57,'Juillet'!Q57,'Août'!Q57,'Septembre'!Q57,'Octobre'!Q57,'Novembre'!Q57,'Décembre'!Q57)),CHOOSE($Z$3,'Janvier'!Q57,'Février'!Q57,'Mars'!Q57,'Avril'!Q57,'Mai'!Q57,'Juin'!Q57,'Juillet'!Q57,'Août'!Q57,'Septembre'!Q57,'Octobre'!Q57,'Novembre'!Q57,'Décembre'!Q57),"")</f>
        <v/>
      </c>
      <c r="AF52" s="11">
        <f>IF(ISNUMBER(CHOOSE($Z$3,'Janvier'!T57,'Février'!T57,'Mars'!T57,'Avril'!T57,'Mai'!T57,'Juin'!T57,'Juillet'!T57,'Août'!T57,'Septembre'!T57,'Octobre'!T57,'Novembre'!T57,'Décembre'!T57)),CHOOSE($Z$3,'Janvier'!T57,'Février'!T57,'Mars'!T57,'Avril'!T57,'Mai'!T57,'Juin'!T57,'Juillet'!T57,'Août'!T57,'Septembre'!T57,'Octobre'!T57,'Novembre'!T57,'Décembre'!T57),"")</f>
        <v/>
      </c>
      <c r="AG52" s="11">
        <f>IF(ISNUMBER(CHOOSE($Z$3,'Janvier'!U57,'Février'!U57,'Mars'!U57,'Avril'!U57,'Mai'!U57,'Juin'!U57,'Juillet'!U57,'Août'!U57,'Septembre'!U57,'Octobre'!U57,'Novembre'!U57,'Décembre'!U57)),CHOOSE($Z$3,'Janvier'!U57,'Février'!U57,'Mars'!U57,'Avril'!U57,'Mai'!U57,'Juin'!U57,'Juillet'!U57,'Août'!U57,'Septembre'!U57,'Octobre'!U57,'Novembre'!U57,'Décembre'!U57),"")</f>
        <v/>
      </c>
      <c r="AH52" s="11">
        <f>IF(ISNUMBER(CHOOSE($Z$3,'Janvier'!V57,'Février'!V57,'Mars'!V57,'Avril'!V57,'Mai'!V57,'Juin'!V57,'Juillet'!V57,'Août'!V57,'Septembre'!V57,'Octobre'!V57,'Novembre'!V57,'Décembre'!V57)),CHOOSE($Z$3,'Janvier'!V57,'Février'!V57,'Mars'!V57,'Avril'!V57,'Mai'!V57,'Juin'!V57,'Juillet'!V57,'Août'!V57,'Septembre'!V57,'Octobre'!V57,'Novembre'!V57,'Décembre'!V57),"")</f>
        <v/>
      </c>
      <c r="AI52" s="11">
        <f>IF(ISNUMBER(CHOOSE($Z$3,'Janvier'!W57,'Février'!W57,'Mars'!W57,'Avril'!W57,'Mai'!W57,'Juin'!W57,'Juillet'!W57,'Août'!W57,'Septembre'!W57,'Octobre'!W57,'Novembre'!W57,'Décembre'!W57)),CHOOSE($Z$3,'Janvier'!W57,'Février'!W57,'Mars'!W57,'Avril'!W57,'Mai'!W57,'Juin'!W57,'Juillet'!W57,'Août'!W57,'Septembre'!W57,'Octobre'!W57,'Novembre'!W57,'Décembre'!W57),"")</f>
        <v/>
      </c>
      <c r="AJ52" s="11">
        <f>IF(Produits!$A$56="","",Produits!$D$56)</f>
        <v/>
      </c>
      <c r="AK52" s="11">
        <f>IF(ISNUMBER(CHOOSE($Z$3,'Janvier'!X57,'Février'!X57,'Mars'!X57,'Avril'!X57,'Mai'!X57,'Juin'!X57,'Juillet'!X57,'Août'!X57,'Septembre'!X57,'Octobre'!X57,'Novembre'!X57,'Décembre'!X57)),CHOOSE($Z$3,'Janvier'!X57,'Février'!X57,'Mars'!X57,'Avril'!X57,'Mai'!X57,'Juin'!X57,'Juillet'!X57,'Août'!X57,'Septembre'!X57,'Octobre'!X57,'Novembre'!X57,'Décembre'!X57),"")</f>
        <v/>
      </c>
      <c r="AL52" s="11">
        <f>IF(AND(ISNUMBER(AI52),ISNUMBER(AJ52)),IF(AI52&lt;=AJ52,1,0),0)</f>
        <v/>
      </c>
      <c r="AM52" s="11">
        <f>IF(OR(AA52="",AK52=""),-1,AK52+ROW()/1000000)</f>
        <v/>
      </c>
    </row>
    <row r="53">
      <c r="A53" s="20">
        <f>AA32</f>
        <v/>
      </c>
      <c r="C53" s="21">
        <f>IF(OR(AB32="",MAX(AB32,AC32,AD32,AE32)=0),"",REPT("█",MAX(1,ROUND(AB32/MAX(AB32,AC32,AD32,AE32)*6,0))))</f>
        <v/>
      </c>
      <c r="D53" s="21">
        <f>IF(OR(AC32="",MAX(AB32,AC32,AD32,AE32)=0),"",REPT("█",MAX(1,ROUND(AC32/MAX(AB32,AC32,AD32,AE32)*6,0))))</f>
        <v/>
      </c>
      <c r="E53" s="21">
        <f>IF(OR(AD32="",MAX(AB32,AC32,AD32,AE32)=0),"",REPT("█",MAX(1,ROUND(AD32/MAX(AB32,AC32,AD32,AE32)*6,0))))</f>
        <v/>
      </c>
      <c r="F53" s="21">
        <f>IF(OR(AE32="",MAX(AB32,AC32,AD32,AE32)=0),"",REPT("█",MAX(1,ROUND(AE32/MAX(AB32,AC32,AD32,AE32)*6,0))))</f>
        <v/>
      </c>
      <c r="G53" s="22">
        <f>IF(COUNT(AB32,AC32,AD32,AE32)&lt;2,"",IF(IF(AE32&lt;&gt;"",AE32,IF(AD32&lt;&gt;"",AD32,IF(AC32&lt;&gt;"",AC32,IF(AB32&lt;&gt;"",AB32,""))))&gt;IF(AB32&lt;&gt;"",AB32,IF(AC32&lt;&gt;"",AC32,IF(AD32&lt;&gt;"",AD32,AE32))),"▲",IF(IF(AE32&lt;&gt;"",AE32,IF(AD32&lt;&gt;"",AD32,IF(AC32&lt;&gt;"",AC32,IF(AB32&lt;&gt;"",AB32,""))))&lt;IF(AB32&lt;&gt;"",AB32,IF(AC32&lt;&gt;"",AC32,IF(AD32&lt;&gt;"",AD32,AE32))),"▼","=")))</f>
        <v/>
      </c>
      <c r="H53" s="22">
        <f>AI32</f>
        <v/>
      </c>
      <c r="I53" s="11">
        <f>AJ32</f>
        <v/>
      </c>
      <c r="J53" s="22">
        <f>IF(AL32=1,"À COMMANDER",IF(AA32="","",""))</f>
        <v/>
      </c>
      <c r="AA53" s="11">
        <f>IF(Produits!$A$57="","",Produits!$A$57)</f>
        <v/>
      </c>
      <c r="AB53" s="11">
        <f>IF(ISNUMBER(CHOOSE($Z$3,'Janvier'!E58,'Février'!E58,'Mars'!E58,'Avril'!E58,'Mai'!E58,'Juin'!E58,'Juillet'!E58,'Août'!E58,'Septembre'!E58,'Octobre'!E58,'Novembre'!E58,'Décembre'!E58)),CHOOSE($Z$3,'Janvier'!E58,'Février'!E58,'Mars'!E58,'Avril'!E58,'Mai'!E58,'Juin'!E58,'Juillet'!E58,'Août'!E58,'Septembre'!E58,'Octobre'!E58,'Novembre'!E58,'Décembre'!E58),"")</f>
        <v/>
      </c>
      <c r="AC53" s="11">
        <f>IF(ISNUMBER(CHOOSE($Z$3,'Janvier'!I58,'Février'!I58,'Mars'!I58,'Avril'!I58,'Mai'!I58,'Juin'!I58,'Juillet'!I58,'Août'!I58,'Septembre'!I58,'Octobre'!I58,'Novembre'!I58,'Décembre'!I58)),CHOOSE($Z$3,'Janvier'!I58,'Février'!I58,'Mars'!I58,'Avril'!I58,'Mai'!I58,'Juin'!I58,'Juillet'!I58,'Août'!I58,'Septembre'!I58,'Octobre'!I58,'Novembre'!I58,'Décembre'!I58),"")</f>
        <v/>
      </c>
      <c r="AD53" s="11">
        <f>IF(ISNUMBER(CHOOSE($Z$3,'Janvier'!M58,'Février'!M58,'Mars'!M58,'Avril'!M58,'Mai'!M58,'Juin'!M58,'Juillet'!M58,'Août'!M58,'Septembre'!M58,'Octobre'!M58,'Novembre'!M58,'Décembre'!M58)),CHOOSE($Z$3,'Janvier'!M58,'Février'!M58,'Mars'!M58,'Avril'!M58,'Mai'!M58,'Juin'!M58,'Juillet'!M58,'Août'!M58,'Septembre'!M58,'Octobre'!M58,'Novembre'!M58,'Décembre'!M58),"")</f>
        <v/>
      </c>
      <c r="AE53" s="11">
        <f>IF(ISNUMBER(CHOOSE($Z$3,'Janvier'!Q58,'Février'!Q58,'Mars'!Q58,'Avril'!Q58,'Mai'!Q58,'Juin'!Q58,'Juillet'!Q58,'Août'!Q58,'Septembre'!Q58,'Octobre'!Q58,'Novembre'!Q58,'Décembre'!Q58)),CHOOSE($Z$3,'Janvier'!Q58,'Février'!Q58,'Mars'!Q58,'Avril'!Q58,'Mai'!Q58,'Juin'!Q58,'Juillet'!Q58,'Août'!Q58,'Septembre'!Q58,'Octobre'!Q58,'Novembre'!Q58,'Décembre'!Q58),"")</f>
        <v/>
      </c>
      <c r="AF53" s="11">
        <f>IF(ISNUMBER(CHOOSE($Z$3,'Janvier'!T58,'Février'!T58,'Mars'!T58,'Avril'!T58,'Mai'!T58,'Juin'!T58,'Juillet'!T58,'Août'!T58,'Septembre'!T58,'Octobre'!T58,'Novembre'!T58,'Décembre'!T58)),CHOOSE($Z$3,'Janvier'!T58,'Février'!T58,'Mars'!T58,'Avril'!T58,'Mai'!T58,'Juin'!T58,'Juillet'!T58,'Août'!T58,'Septembre'!T58,'Octobre'!T58,'Novembre'!T58,'Décembre'!T58),"")</f>
        <v/>
      </c>
      <c r="AG53" s="11">
        <f>IF(ISNUMBER(CHOOSE($Z$3,'Janvier'!U58,'Février'!U58,'Mars'!U58,'Avril'!U58,'Mai'!U58,'Juin'!U58,'Juillet'!U58,'Août'!U58,'Septembre'!U58,'Octobre'!U58,'Novembre'!U58,'Décembre'!U58)),CHOOSE($Z$3,'Janvier'!U58,'Février'!U58,'Mars'!U58,'Avril'!U58,'Mai'!U58,'Juin'!U58,'Juillet'!U58,'Août'!U58,'Septembre'!U58,'Octobre'!U58,'Novembre'!U58,'Décembre'!U58),"")</f>
        <v/>
      </c>
      <c r="AH53" s="11">
        <f>IF(ISNUMBER(CHOOSE($Z$3,'Janvier'!V58,'Février'!V58,'Mars'!V58,'Avril'!V58,'Mai'!V58,'Juin'!V58,'Juillet'!V58,'Août'!V58,'Septembre'!V58,'Octobre'!V58,'Novembre'!V58,'Décembre'!V58)),CHOOSE($Z$3,'Janvier'!V58,'Février'!V58,'Mars'!V58,'Avril'!V58,'Mai'!V58,'Juin'!V58,'Juillet'!V58,'Août'!V58,'Septembre'!V58,'Octobre'!V58,'Novembre'!V58,'Décembre'!V58),"")</f>
        <v/>
      </c>
      <c r="AI53" s="11">
        <f>IF(ISNUMBER(CHOOSE($Z$3,'Janvier'!W58,'Février'!W58,'Mars'!W58,'Avril'!W58,'Mai'!W58,'Juin'!W58,'Juillet'!W58,'Août'!W58,'Septembre'!W58,'Octobre'!W58,'Novembre'!W58,'Décembre'!W58)),CHOOSE($Z$3,'Janvier'!W58,'Février'!W58,'Mars'!W58,'Avril'!W58,'Mai'!W58,'Juin'!W58,'Juillet'!W58,'Août'!W58,'Septembre'!W58,'Octobre'!W58,'Novembre'!W58,'Décembre'!W58),"")</f>
        <v/>
      </c>
      <c r="AJ53" s="11">
        <f>IF(Produits!$A$57="","",Produits!$D$57)</f>
        <v/>
      </c>
      <c r="AK53" s="11">
        <f>IF(ISNUMBER(CHOOSE($Z$3,'Janvier'!X58,'Février'!X58,'Mars'!X58,'Avril'!X58,'Mai'!X58,'Juin'!X58,'Juillet'!X58,'Août'!X58,'Septembre'!X58,'Octobre'!X58,'Novembre'!X58,'Décembre'!X58)),CHOOSE($Z$3,'Janvier'!X58,'Février'!X58,'Mars'!X58,'Avril'!X58,'Mai'!X58,'Juin'!X58,'Juillet'!X58,'Août'!X58,'Septembre'!X58,'Octobre'!X58,'Novembre'!X58,'Décembre'!X58),"")</f>
        <v/>
      </c>
      <c r="AL53" s="11">
        <f>IF(AND(ISNUMBER(AI53),ISNUMBER(AJ53)),IF(AI53&lt;=AJ53,1,0),0)</f>
        <v/>
      </c>
      <c r="AM53" s="11">
        <f>IF(OR(AA53="",AK53=""),-1,AK53+ROW()/1000000)</f>
        <v/>
      </c>
    </row>
    <row r="54">
      <c r="A54" s="20">
        <f>AA33</f>
        <v/>
      </c>
      <c r="C54" s="21">
        <f>IF(OR(AB33="",MAX(AB33,AC33,AD33,AE33)=0),"",REPT("█",MAX(1,ROUND(AB33/MAX(AB33,AC33,AD33,AE33)*6,0))))</f>
        <v/>
      </c>
      <c r="D54" s="21">
        <f>IF(OR(AC33="",MAX(AB33,AC33,AD33,AE33)=0),"",REPT("█",MAX(1,ROUND(AC33/MAX(AB33,AC33,AD33,AE33)*6,0))))</f>
        <v/>
      </c>
      <c r="E54" s="21">
        <f>IF(OR(AD33="",MAX(AB33,AC33,AD33,AE33)=0),"",REPT("█",MAX(1,ROUND(AD33/MAX(AB33,AC33,AD33,AE33)*6,0))))</f>
        <v/>
      </c>
      <c r="F54" s="21">
        <f>IF(OR(AE33="",MAX(AB33,AC33,AD33,AE33)=0),"",REPT("█",MAX(1,ROUND(AE33/MAX(AB33,AC33,AD33,AE33)*6,0))))</f>
        <v/>
      </c>
      <c r="G54" s="22">
        <f>IF(COUNT(AB33,AC33,AD33,AE33)&lt;2,"",IF(IF(AE33&lt;&gt;"",AE33,IF(AD33&lt;&gt;"",AD33,IF(AC33&lt;&gt;"",AC33,IF(AB33&lt;&gt;"",AB33,""))))&gt;IF(AB33&lt;&gt;"",AB33,IF(AC33&lt;&gt;"",AC33,IF(AD33&lt;&gt;"",AD33,AE33))),"▲",IF(IF(AE33&lt;&gt;"",AE33,IF(AD33&lt;&gt;"",AD33,IF(AC33&lt;&gt;"",AC33,IF(AB33&lt;&gt;"",AB33,""))))&lt;IF(AB33&lt;&gt;"",AB33,IF(AC33&lt;&gt;"",AC33,IF(AD33&lt;&gt;"",AD33,AE33))),"▼","=")))</f>
        <v/>
      </c>
      <c r="H54" s="22">
        <f>AI33</f>
        <v/>
      </c>
      <c r="I54" s="11">
        <f>AJ33</f>
        <v/>
      </c>
      <c r="J54" s="22">
        <f>IF(AL33=1,"À COMMANDER",IF(AA33="","",""))</f>
        <v/>
      </c>
      <c r="AA54" s="11">
        <f>IF(Produits!$A$58="","",Produits!$A$58)</f>
        <v/>
      </c>
      <c r="AB54" s="11">
        <f>IF(ISNUMBER(CHOOSE($Z$3,'Janvier'!E59,'Février'!E59,'Mars'!E59,'Avril'!E59,'Mai'!E59,'Juin'!E59,'Juillet'!E59,'Août'!E59,'Septembre'!E59,'Octobre'!E59,'Novembre'!E59,'Décembre'!E59)),CHOOSE($Z$3,'Janvier'!E59,'Février'!E59,'Mars'!E59,'Avril'!E59,'Mai'!E59,'Juin'!E59,'Juillet'!E59,'Août'!E59,'Septembre'!E59,'Octobre'!E59,'Novembre'!E59,'Décembre'!E59),"")</f>
        <v/>
      </c>
      <c r="AC54" s="11">
        <f>IF(ISNUMBER(CHOOSE($Z$3,'Janvier'!I59,'Février'!I59,'Mars'!I59,'Avril'!I59,'Mai'!I59,'Juin'!I59,'Juillet'!I59,'Août'!I59,'Septembre'!I59,'Octobre'!I59,'Novembre'!I59,'Décembre'!I59)),CHOOSE($Z$3,'Janvier'!I59,'Février'!I59,'Mars'!I59,'Avril'!I59,'Mai'!I59,'Juin'!I59,'Juillet'!I59,'Août'!I59,'Septembre'!I59,'Octobre'!I59,'Novembre'!I59,'Décembre'!I59),"")</f>
        <v/>
      </c>
      <c r="AD54" s="11">
        <f>IF(ISNUMBER(CHOOSE($Z$3,'Janvier'!M59,'Février'!M59,'Mars'!M59,'Avril'!M59,'Mai'!M59,'Juin'!M59,'Juillet'!M59,'Août'!M59,'Septembre'!M59,'Octobre'!M59,'Novembre'!M59,'Décembre'!M59)),CHOOSE($Z$3,'Janvier'!M59,'Février'!M59,'Mars'!M59,'Avril'!M59,'Mai'!M59,'Juin'!M59,'Juillet'!M59,'Août'!M59,'Septembre'!M59,'Octobre'!M59,'Novembre'!M59,'Décembre'!M59),"")</f>
        <v/>
      </c>
      <c r="AE54" s="11">
        <f>IF(ISNUMBER(CHOOSE($Z$3,'Janvier'!Q59,'Février'!Q59,'Mars'!Q59,'Avril'!Q59,'Mai'!Q59,'Juin'!Q59,'Juillet'!Q59,'Août'!Q59,'Septembre'!Q59,'Octobre'!Q59,'Novembre'!Q59,'Décembre'!Q59)),CHOOSE($Z$3,'Janvier'!Q59,'Février'!Q59,'Mars'!Q59,'Avril'!Q59,'Mai'!Q59,'Juin'!Q59,'Juillet'!Q59,'Août'!Q59,'Septembre'!Q59,'Octobre'!Q59,'Novembre'!Q59,'Décembre'!Q59),"")</f>
        <v/>
      </c>
      <c r="AF54" s="11">
        <f>IF(ISNUMBER(CHOOSE($Z$3,'Janvier'!T59,'Février'!T59,'Mars'!T59,'Avril'!T59,'Mai'!T59,'Juin'!T59,'Juillet'!T59,'Août'!T59,'Septembre'!T59,'Octobre'!T59,'Novembre'!T59,'Décembre'!T59)),CHOOSE($Z$3,'Janvier'!T59,'Février'!T59,'Mars'!T59,'Avril'!T59,'Mai'!T59,'Juin'!T59,'Juillet'!T59,'Août'!T59,'Septembre'!T59,'Octobre'!T59,'Novembre'!T59,'Décembre'!T59),"")</f>
        <v/>
      </c>
      <c r="AG54" s="11">
        <f>IF(ISNUMBER(CHOOSE($Z$3,'Janvier'!U59,'Février'!U59,'Mars'!U59,'Avril'!U59,'Mai'!U59,'Juin'!U59,'Juillet'!U59,'Août'!U59,'Septembre'!U59,'Octobre'!U59,'Novembre'!U59,'Décembre'!U59)),CHOOSE($Z$3,'Janvier'!U59,'Février'!U59,'Mars'!U59,'Avril'!U59,'Mai'!U59,'Juin'!U59,'Juillet'!U59,'Août'!U59,'Septembre'!U59,'Octobre'!U59,'Novembre'!U59,'Décembre'!U59),"")</f>
        <v/>
      </c>
      <c r="AH54" s="11">
        <f>IF(ISNUMBER(CHOOSE($Z$3,'Janvier'!V59,'Février'!V59,'Mars'!V59,'Avril'!V59,'Mai'!V59,'Juin'!V59,'Juillet'!V59,'Août'!V59,'Septembre'!V59,'Octobre'!V59,'Novembre'!V59,'Décembre'!V59)),CHOOSE($Z$3,'Janvier'!V59,'Février'!V59,'Mars'!V59,'Avril'!V59,'Mai'!V59,'Juin'!V59,'Juillet'!V59,'Août'!V59,'Septembre'!V59,'Octobre'!V59,'Novembre'!V59,'Décembre'!V59),"")</f>
        <v/>
      </c>
      <c r="AI54" s="11">
        <f>IF(ISNUMBER(CHOOSE($Z$3,'Janvier'!W59,'Février'!W59,'Mars'!W59,'Avril'!W59,'Mai'!W59,'Juin'!W59,'Juillet'!W59,'Août'!W59,'Septembre'!W59,'Octobre'!W59,'Novembre'!W59,'Décembre'!W59)),CHOOSE($Z$3,'Janvier'!W59,'Février'!W59,'Mars'!W59,'Avril'!W59,'Mai'!W59,'Juin'!W59,'Juillet'!W59,'Août'!W59,'Septembre'!W59,'Octobre'!W59,'Novembre'!W59,'Décembre'!W59),"")</f>
        <v/>
      </c>
      <c r="AJ54" s="11">
        <f>IF(Produits!$A$58="","",Produits!$D$58)</f>
        <v/>
      </c>
      <c r="AK54" s="11">
        <f>IF(ISNUMBER(CHOOSE($Z$3,'Janvier'!X59,'Février'!X59,'Mars'!X59,'Avril'!X59,'Mai'!X59,'Juin'!X59,'Juillet'!X59,'Août'!X59,'Septembre'!X59,'Octobre'!X59,'Novembre'!X59,'Décembre'!X59)),CHOOSE($Z$3,'Janvier'!X59,'Février'!X59,'Mars'!X59,'Avril'!X59,'Mai'!X59,'Juin'!X59,'Juillet'!X59,'Août'!X59,'Septembre'!X59,'Octobre'!X59,'Novembre'!X59,'Décembre'!X59),"")</f>
        <v/>
      </c>
      <c r="AL54" s="11">
        <f>IF(AND(ISNUMBER(AI54),ISNUMBER(AJ54)),IF(AI54&lt;=AJ54,1,0),0)</f>
        <v/>
      </c>
      <c r="AM54" s="11">
        <f>IF(OR(AA54="",AK54=""),-1,AK54+ROW()/1000000)</f>
        <v/>
      </c>
    </row>
    <row r="55">
      <c r="A55" s="20">
        <f>AA34</f>
        <v/>
      </c>
      <c r="C55" s="21">
        <f>IF(OR(AB34="",MAX(AB34,AC34,AD34,AE34)=0),"",REPT("█",MAX(1,ROUND(AB34/MAX(AB34,AC34,AD34,AE34)*6,0))))</f>
        <v/>
      </c>
      <c r="D55" s="21">
        <f>IF(OR(AC34="",MAX(AB34,AC34,AD34,AE34)=0),"",REPT("█",MAX(1,ROUND(AC34/MAX(AB34,AC34,AD34,AE34)*6,0))))</f>
        <v/>
      </c>
      <c r="E55" s="21">
        <f>IF(OR(AD34="",MAX(AB34,AC34,AD34,AE34)=0),"",REPT("█",MAX(1,ROUND(AD34/MAX(AB34,AC34,AD34,AE34)*6,0))))</f>
        <v/>
      </c>
      <c r="F55" s="21">
        <f>IF(OR(AE34="",MAX(AB34,AC34,AD34,AE34)=0),"",REPT("█",MAX(1,ROUND(AE34/MAX(AB34,AC34,AD34,AE34)*6,0))))</f>
        <v/>
      </c>
      <c r="G55" s="22">
        <f>IF(COUNT(AB34,AC34,AD34,AE34)&lt;2,"",IF(IF(AE34&lt;&gt;"",AE34,IF(AD34&lt;&gt;"",AD34,IF(AC34&lt;&gt;"",AC34,IF(AB34&lt;&gt;"",AB34,""))))&gt;IF(AB34&lt;&gt;"",AB34,IF(AC34&lt;&gt;"",AC34,IF(AD34&lt;&gt;"",AD34,AE34))),"▲",IF(IF(AE34&lt;&gt;"",AE34,IF(AD34&lt;&gt;"",AD34,IF(AC34&lt;&gt;"",AC34,IF(AB34&lt;&gt;"",AB34,""))))&lt;IF(AB34&lt;&gt;"",AB34,IF(AC34&lt;&gt;"",AC34,IF(AD34&lt;&gt;"",AD34,AE34))),"▼","=")))</f>
        <v/>
      </c>
      <c r="H55" s="22">
        <f>AI34</f>
        <v/>
      </c>
      <c r="I55" s="11">
        <f>AJ34</f>
        <v/>
      </c>
      <c r="J55" s="22">
        <f>IF(AL34=1,"À COMMANDER",IF(AA34="","",""))</f>
        <v/>
      </c>
      <c r="AA55" s="11">
        <f>IF(Produits!$A$59="","",Produits!$A$59)</f>
        <v/>
      </c>
      <c r="AB55" s="11">
        <f>IF(ISNUMBER(CHOOSE($Z$3,'Janvier'!E60,'Février'!E60,'Mars'!E60,'Avril'!E60,'Mai'!E60,'Juin'!E60,'Juillet'!E60,'Août'!E60,'Septembre'!E60,'Octobre'!E60,'Novembre'!E60,'Décembre'!E60)),CHOOSE($Z$3,'Janvier'!E60,'Février'!E60,'Mars'!E60,'Avril'!E60,'Mai'!E60,'Juin'!E60,'Juillet'!E60,'Août'!E60,'Septembre'!E60,'Octobre'!E60,'Novembre'!E60,'Décembre'!E60),"")</f>
        <v/>
      </c>
      <c r="AC55" s="11">
        <f>IF(ISNUMBER(CHOOSE($Z$3,'Janvier'!I60,'Février'!I60,'Mars'!I60,'Avril'!I60,'Mai'!I60,'Juin'!I60,'Juillet'!I60,'Août'!I60,'Septembre'!I60,'Octobre'!I60,'Novembre'!I60,'Décembre'!I60)),CHOOSE($Z$3,'Janvier'!I60,'Février'!I60,'Mars'!I60,'Avril'!I60,'Mai'!I60,'Juin'!I60,'Juillet'!I60,'Août'!I60,'Septembre'!I60,'Octobre'!I60,'Novembre'!I60,'Décembre'!I60),"")</f>
        <v/>
      </c>
      <c r="AD55" s="11">
        <f>IF(ISNUMBER(CHOOSE($Z$3,'Janvier'!M60,'Février'!M60,'Mars'!M60,'Avril'!M60,'Mai'!M60,'Juin'!M60,'Juillet'!M60,'Août'!M60,'Septembre'!M60,'Octobre'!M60,'Novembre'!M60,'Décembre'!M60)),CHOOSE($Z$3,'Janvier'!M60,'Février'!M60,'Mars'!M60,'Avril'!M60,'Mai'!M60,'Juin'!M60,'Juillet'!M60,'Août'!M60,'Septembre'!M60,'Octobre'!M60,'Novembre'!M60,'Décembre'!M60),"")</f>
        <v/>
      </c>
      <c r="AE55" s="11">
        <f>IF(ISNUMBER(CHOOSE($Z$3,'Janvier'!Q60,'Février'!Q60,'Mars'!Q60,'Avril'!Q60,'Mai'!Q60,'Juin'!Q60,'Juillet'!Q60,'Août'!Q60,'Septembre'!Q60,'Octobre'!Q60,'Novembre'!Q60,'Décembre'!Q60)),CHOOSE($Z$3,'Janvier'!Q60,'Février'!Q60,'Mars'!Q60,'Avril'!Q60,'Mai'!Q60,'Juin'!Q60,'Juillet'!Q60,'Août'!Q60,'Septembre'!Q60,'Octobre'!Q60,'Novembre'!Q60,'Décembre'!Q60),"")</f>
        <v/>
      </c>
      <c r="AF55" s="11">
        <f>IF(ISNUMBER(CHOOSE($Z$3,'Janvier'!T60,'Février'!T60,'Mars'!T60,'Avril'!T60,'Mai'!T60,'Juin'!T60,'Juillet'!T60,'Août'!T60,'Septembre'!T60,'Octobre'!T60,'Novembre'!T60,'Décembre'!T60)),CHOOSE($Z$3,'Janvier'!T60,'Février'!T60,'Mars'!T60,'Avril'!T60,'Mai'!T60,'Juin'!T60,'Juillet'!T60,'Août'!T60,'Septembre'!T60,'Octobre'!T60,'Novembre'!T60,'Décembre'!T60),"")</f>
        <v/>
      </c>
      <c r="AG55" s="11">
        <f>IF(ISNUMBER(CHOOSE($Z$3,'Janvier'!U60,'Février'!U60,'Mars'!U60,'Avril'!U60,'Mai'!U60,'Juin'!U60,'Juillet'!U60,'Août'!U60,'Septembre'!U60,'Octobre'!U60,'Novembre'!U60,'Décembre'!U60)),CHOOSE($Z$3,'Janvier'!U60,'Février'!U60,'Mars'!U60,'Avril'!U60,'Mai'!U60,'Juin'!U60,'Juillet'!U60,'Août'!U60,'Septembre'!U60,'Octobre'!U60,'Novembre'!U60,'Décembre'!U60),"")</f>
        <v/>
      </c>
      <c r="AH55" s="11">
        <f>IF(ISNUMBER(CHOOSE($Z$3,'Janvier'!V60,'Février'!V60,'Mars'!V60,'Avril'!V60,'Mai'!V60,'Juin'!V60,'Juillet'!V60,'Août'!V60,'Septembre'!V60,'Octobre'!V60,'Novembre'!V60,'Décembre'!V60)),CHOOSE($Z$3,'Janvier'!V60,'Février'!V60,'Mars'!V60,'Avril'!V60,'Mai'!V60,'Juin'!V60,'Juillet'!V60,'Août'!V60,'Septembre'!V60,'Octobre'!V60,'Novembre'!V60,'Décembre'!V60),"")</f>
        <v/>
      </c>
      <c r="AI55" s="11">
        <f>IF(ISNUMBER(CHOOSE($Z$3,'Janvier'!W60,'Février'!W60,'Mars'!W60,'Avril'!W60,'Mai'!W60,'Juin'!W60,'Juillet'!W60,'Août'!W60,'Septembre'!W60,'Octobre'!W60,'Novembre'!W60,'Décembre'!W60)),CHOOSE($Z$3,'Janvier'!W60,'Février'!W60,'Mars'!W60,'Avril'!W60,'Mai'!W60,'Juin'!W60,'Juillet'!W60,'Août'!W60,'Septembre'!W60,'Octobre'!W60,'Novembre'!W60,'Décembre'!W60),"")</f>
        <v/>
      </c>
      <c r="AJ55" s="11">
        <f>IF(Produits!$A$59="","",Produits!$D$59)</f>
        <v/>
      </c>
      <c r="AK55" s="11">
        <f>IF(ISNUMBER(CHOOSE($Z$3,'Janvier'!X60,'Février'!X60,'Mars'!X60,'Avril'!X60,'Mai'!X60,'Juin'!X60,'Juillet'!X60,'Août'!X60,'Septembre'!X60,'Octobre'!X60,'Novembre'!X60,'Décembre'!X60)),CHOOSE($Z$3,'Janvier'!X60,'Février'!X60,'Mars'!X60,'Avril'!X60,'Mai'!X60,'Juin'!X60,'Juillet'!X60,'Août'!X60,'Septembre'!X60,'Octobre'!X60,'Novembre'!X60,'Décembre'!X60),"")</f>
        <v/>
      </c>
      <c r="AL55" s="11">
        <f>IF(AND(ISNUMBER(AI55),ISNUMBER(AJ55)),IF(AI55&lt;=AJ55,1,0),0)</f>
        <v/>
      </c>
      <c r="AM55" s="11">
        <f>IF(OR(AA55="",AK55=""),-1,AK55+ROW()/1000000)</f>
        <v/>
      </c>
    </row>
    <row r="56">
      <c r="A56" s="20">
        <f>AA35</f>
        <v/>
      </c>
      <c r="C56" s="21">
        <f>IF(OR(AB35="",MAX(AB35,AC35,AD35,AE35)=0),"",REPT("█",MAX(1,ROUND(AB35/MAX(AB35,AC35,AD35,AE35)*6,0))))</f>
        <v/>
      </c>
      <c r="D56" s="21">
        <f>IF(OR(AC35="",MAX(AB35,AC35,AD35,AE35)=0),"",REPT("█",MAX(1,ROUND(AC35/MAX(AB35,AC35,AD35,AE35)*6,0))))</f>
        <v/>
      </c>
      <c r="E56" s="21">
        <f>IF(OR(AD35="",MAX(AB35,AC35,AD35,AE35)=0),"",REPT("█",MAX(1,ROUND(AD35/MAX(AB35,AC35,AD35,AE35)*6,0))))</f>
        <v/>
      </c>
      <c r="F56" s="21">
        <f>IF(OR(AE35="",MAX(AB35,AC35,AD35,AE35)=0),"",REPT("█",MAX(1,ROUND(AE35/MAX(AB35,AC35,AD35,AE35)*6,0))))</f>
        <v/>
      </c>
      <c r="G56" s="22">
        <f>IF(COUNT(AB35,AC35,AD35,AE35)&lt;2,"",IF(IF(AE35&lt;&gt;"",AE35,IF(AD35&lt;&gt;"",AD35,IF(AC35&lt;&gt;"",AC35,IF(AB35&lt;&gt;"",AB35,""))))&gt;IF(AB35&lt;&gt;"",AB35,IF(AC35&lt;&gt;"",AC35,IF(AD35&lt;&gt;"",AD35,AE35))),"▲",IF(IF(AE35&lt;&gt;"",AE35,IF(AD35&lt;&gt;"",AD35,IF(AC35&lt;&gt;"",AC35,IF(AB35&lt;&gt;"",AB35,""))))&lt;IF(AB35&lt;&gt;"",AB35,IF(AC35&lt;&gt;"",AC35,IF(AD35&lt;&gt;"",AD35,AE35))),"▼","=")))</f>
        <v/>
      </c>
      <c r="H56" s="22">
        <f>AI35</f>
        <v/>
      </c>
      <c r="I56" s="11">
        <f>AJ35</f>
        <v/>
      </c>
      <c r="J56" s="22">
        <f>IF(AL35=1,"À COMMANDER",IF(AA35="","",""))</f>
        <v/>
      </c>
      <c r="AA56" s="11">
        <f>IF(Produits!$A$60="","",Produits!$A$60)</f>
        <v/>
      </c>
      <c r="AB56" s="11">
        <f>IF(ISNUMBER(CHOOSE($Z$3,'Janvier'!E61,'Février'!E61,'Mars'!E61,'Avril'!E61,'Mai'!E61,'Juin'!E61,'Juillet'!E61,'Août'!E61,'Septembre'!E61,'Octobre'!E61,'Novembre'!E61,'Décembre'!E61)),CHOOSE($Z$3,'Janvier'!E61,'Février'!E61,'Mars'!E61,'Avril'!E61,'Mai'!E61,'Juin'!E61,'Juillet'!E61,'Août'!E61,'Septembre'!E61,'Octobre'!E61,'Novembre'!E61,'Décembre'!E61),"")</f>
        <v/>
      </c>
      <c r="AC56" s="11">
        <f>IF(ISNUMBER(CHOOSE($Z$3,'Janvier'!I61,'Février'!I61,'Mars'!I61,'Avril'!I61,'Mai'!I61,'Juin'!I61,'Juillet'!I61,'Août'!I61,'Septembre'!I61,'Octobre'!I61,'Novembre'!I61,'Décembre'!I61)),CHOOSE($Z$3,'Janvier'!I61,'Février'!I61,'Mars'!I61,'Avril'!I61,'Mai'!I61,'Juin'!I61,'Juillet'!I61,'Août'!I61,'Septembre'!I61,'Octobre'!I61,'Novembre'!I61,'Décembre'!I61),"")</f>
        <v/>
      </c>
      <c r="AD56" s="11">
        <f>IF(ISNUMBER(CHOOSE($Z$3,'Janvier'!M61,'Février'!M61,'Mars'!M61,'Avril'!M61,'Mai'!M61,'Juin'!M61,'Juillet'!M61,'Août'!M61,'Septembre'!M61,'Octobre'!M61,'Novembre'!M61,'Décembre'!M61)),CHOOSE($Z$3,'Janvier'!M61,'Février'!M61,'Mars'!M61,'Avril'!M61,'Mai'!M61,'Juin'!M61,'Juillet'!M61,'Août'!M61,'Septembre'!M61,'Octobre'!M61,'Novembre'!M61,'Décembre'!M61),"")</f>
        <v/>
      </c>
      <c r="AE56" s="11">
        <f>IF(ISNUMBER(CHOOSE($Z$3,'Janvier'!Q61,'Février'!Q61,'Mars'!Q61,'Avril'!Q61,'Mai'!Q61,'Juin'!Q61,'Juillet'!Q61,'Août'!Q61,'Septembre'!Q61,'Octobre'!Q61,'Novembre'!Q61,'Décembre'!Q61)),CHOOSE($Z$3,'Janvier'!Q61,'Février'!Q61,'Mars'!Q61,'Avril'!Q61,'Mai'!Q61,'Juin'!Q61,'Juillet'!Q61,'Août'!Q61,'Septembre'!Q61,'Octobre'!Q61,'Novembre'!Q61,'Décembre'!Q61),"")</f>
        <v/>
      </c>
      <c r="AF56" s="11">
        <f>IF(ISNUMBER(CHOOSE($Z$3,'Janvier'!T61,'Février'!T61,'Mars'!T61,'Avril'!T61,'Mai'!T61,'Juin'!T61,'Juillet'!T61,'Août'!T61,'Septembre'!T61,'Octobre'!T61,'Novembre'!T61,'Décembre'!T61)),CHOOSE($Z$3,'Janvier'!T61,'Février'!T61,'Mars'!T61,'Avril'!T61,'Mai'!T61,'Juin'!T61,'Juillet'!T61,'Août'!T61,'Septembre'!T61,'Octobre'!T61,'Novembre'!T61,'Décembre'!T61),"")</f>
        <v/>
      </c>
      <c r="AG56" s="11">
        <f>IF(ISNUMBER(CHOOSE($Z$3,'Janvier'!U61,'Février'!U61,'Mars'!U61,'Avril'!U61,'Mai'!U61,'Juin'!U61,'Juillet'!U61,'Août'!U61,'Septembre'!U61,'Octobre'!U61,'Novembre'!U61,'Décembre'!U61)),CHOOSE($Z$3,'Janvier'!U61,'Février'!U61,'Mars'!U61,'Avril'!U61,'Mai'!U61,'Juin'!U61,'Juillet'!U61,'Août'!U61,'Septembre'!U61,'Octobre'!U61,'Novembre'!U61,'Décembre'!U61),"")</f>
        <v/>
      </c>
      <c r="AH56" s="11">
        <f>IF(ISNUMBER(CHOOSE($Z$3,'Janvier'!V61,'Février'!V61,'Mars'!V61,'Avril'!V61,'Mai'!V61,'Juin'!V61,'Juillet'!V61,'Août'!V61,'Septembre'!V61,'Octobre'!V61,'Novembre'!V61,'Décembre'!V61)),CHOOSE($Z$3,'Janvier'!V61,'Février'!V61,'Mars'!V61,'Avril'!V61,'Mai'!V61,'Juin'!V61,'Juillet'!V61,'Août'!V61,'Septembre'!V61,'Octobre'!V61,'Novembre'!V61,'Décembre'!V61),"")</f>
        <v/>
      </c>
      <c r="AI56" s="11">
        <f>IF(ISNUMBER(CHOOSE($Z$3,'Janvier'!W61,'Février'!W61,'Mars'!W61,'Avril'!W61,'Mai'!W61,'Juin'!W61,'Juillet'!W61,'Août'!W61,'Septembre'!W61,'Octobre'!W61,'Novembre'!W61,'Décembre'!W61)),CHOOSE($Z$3,'Janvier'!W61,'Février'!W61,'Mars'!W61,'Avril'!W61,'Mai'!W61,'Juin'!W61,'Juillet'!W61,'Août'!W61,'Septembre'!W61,'Octobre'!W61,'Novembre'!W61,'Décembre'!W61),"")</f>
        <v/>
      </c>
      <c r="AJ56" s="11">
        <f>IF(Produits!$A$60="","",Produits!$D$60)</f>
        <v/>
      </c>
      <c r="AK56" s="11">
        <f>IF(ISNUMBER(CHOOSE($Z$3,'Janvier'!X61,'Février'!X61,'Mars'!X61,'Avril'!X61,'Mai'!X61,'Juin'!X61,'Juillet'!X61,'Août'!X61,'Septembre'!X61,'Octobre'!X61,'Novembre'!X61,'Décembre'!X61)),CHOOSE($Z$3,'Janvier'!X61,'Février'!X61,'Mars'!X61,'Avril'!X61,'Mai'!X61,'Juin'!X61,'Juillet'!X61,'Août'!X61,'Septembre'!X61,'Octobre'!X61,'Novembre'!X61,'Décembre'!X61),"")</f>
        <v/>
      </c>
      <c r="AL56" s="11">
        <f>IF(AND(ISNUMBER(AI56),ISNUMBER(AJ56)),IF(AI56&lt;=AJ56,1,0),0)</f>
        <v/>
      </c>
      <c r="AM56" s="11">
        <f>IF(OR(AA56="",AK56=""),-1,AK56+ROW()/1000000)</f>
        <v/>
      </c>
    </row>
    <row r="57">
      <c r="A57" s="20">
        <f>AA36</f>
        <v/>
      </c>
      <c r="C57" s="21">
        <f>IF(OR(AB36="",MAX(AB36,AC36,AD36,AE36)=0),"",REPT("█",MAX(1,ROUND(AB36/MAX(AB36,AC36,AD36,AE36)*6,0))))</f>
        <v/>
      </c>
      <c r="D57" s="21">
        <f>IF(OR(AC36="",MAX(AB36,AC36,AD36,AE36)=0),"",REPT("█",MAX(1,ROUND(AC36/MAX(AB36,AC36,AD36,AE36)*6,0))))</f>
        <v/>
      </c>
      <c r="E57" s="21">
        <f>IF(OR(AD36="",MAX(AB36,AC36,AD36,AE36)=0),"",REPT("█",MAX(1,ROUND(AD36/MAX(AB36,AC36,AD36,AE36)*6,0))))</f>
        <v/>
      </c>
      <c r="F57" s="21">
        <f>IF(OR(AE36="",MAX(AB36,AC36,AD36,AE36)=0),"",REPT("█",MAX(1,ROUND(AE36/MAX(AB36,AC36,AD36,AE36)*6,0))))</f>
        <v/>
      </c>
      <c r="G57" s="22">
        <f>IF(COUNT(AB36,AC36,AD36,AE36)&lt;2,"",IF(IF(AE36&lt;&gt;"",AE36,IF(AD36&lt;&gt;"",AD36,IF(AC36&lt;&gt;"",AC36,IF(AB36&lt;&gt;"",AB36,""))))&gt;IF(AB36&lt;&gt;"",AB36,IF(AC36&lt;&gt;"",AC36,IF(AD36&lt;&gt;"",AD36,AE36))),"▲",IF(IF(AE36&lt;&gt;"",AE36,IF(AD36&lt;&gt;"",AD36,IF(AC36&lt;&gt;"",AC36,IF(AB36&lt;&gt;"",AB36,""))))&lt;IF(AB36&lt;&gt;"",AB36,IF(AC36&lt;&gt;"",AC36,IF(AD36&lt;&gt;"",AD36,AE36))),"▼","=")))</f>
        <v/>
      </c>
      <c r="H57" s="22">
        <f>AI36</f>
        <v/>
      </c>
      <c r="I57" s="11">
        <f>AJ36</f>
        <v/>
      </c>
      <c r="J57" s="22">
        <f>IF(AL36=1,"À COMMANDER",IF(AA36="","",""))</f>
        <v/>
      </c>
      <c r="AA57" s="11">
        <f>IF(Produits!$A$61="","",Produits!$A$61)</f>
        <v/>
      </c>
      <c r="AB57" s="11">
        <f>IF(ISNUMBER(CHOOSE($Z$3,'Janvier'!E62,'Février'!E62,'Mars'!E62,'Avril'!E62,'Mai'!E62,'Juin'!E62,'Juillet'!E62,'Août'!E62,'Septembre'!E62,'Octobre'!E62,'Novembre'!E62,'Décembre'!E62)),CHOOSE($Z$3,'Janvier'!E62,'Février'!E62,'Mars'!E62,'Avril'!E62,'Mai'!E62,'Juin'!E62,'Juillet'!E62,'Août'!E62,'Septembre'!E62,'Octobre'!E62,'Novembre'!E62,'Décembre'!E62),"")</f>
        <v/>
      </c>
      <c r="AC57" s="11">
        <f>IF(ISNUMBER(CHOOSE($Z$3,'Janvier'!I62,'Février'!I62,'Mars'!I62,'Avril'!I62,'Mai'!I62,'Juin'!I62,'Juillet'!I62,'Août'!I62,'Septembre'!I62,'Octobre'!I62,'Novembre'!I62,'Décembre'!I62)),CHOOSE($Z$3,'Janvier'!I62,'Février'!I62,'Mars'!I62,'Avril'!I62,'Mai'!I62,'Juin'!I62,'Juillet'!I62,'Août'!I62,'Septembre'!I62,'Octobre'!I62,'Novembre'!I62,'Décembre'!I62),"")</f>
        <v/>
      </c>
      <c r="AD57" s="11">
        <f>IF(ISNUMBER(CHOOSE($Z$3,'Janvier'!M62,'Février'!M62,'Mars'!M62,'Avril'!M62,'Mai'!M62,'Juin'!M62,'Juillet'!M62,'Août'!M62,'Septembre'!M62,'Octobre'!M62,'Novembre'!M62,'Décembre'!M62)),CHOOSE($Z$3,'Janvier'!M62,'Février'!M62,'Mars'!M62,'Avril'!M62,'Mai'!M62,'Juin'!M62,'Juillet'!M62,'Août'!M62,'Septembre'!M62,'Octobre'!M62,'Novembre'!M62,'Décembre'!M62),"")</f>
        <v/>
      </c>
      <c r="AE57" s="11">
        <f>IF(ISNUMBER(CHOOSE($Z$3,'Janvier'!Q62,'Février'!Q62,'Mars'!Q62,'Avril'!Q62,'Mai'!Q62,'Juin'!Q62,'Juillet'!Q62,'Août'!Q62,'Septembre'!Q62,'Octobre'!Q62,'Novembre'!Q62,'Décembre'!Q62)),CHOOSE($Z$3,'Janvier'!Q62,'Février'!Q62,'Mars'!Q62,'Avril'!Q62,'Mai'!Q62,'Juin'!Q62,'Juillet'!Q62,'Août'!Q62,'Septembre'!Q62,'Octobre'!Q62,'Novembre'!Q62,'Décembre'!Q62),"")</f>
        <v/>
      </c>
      <c r="AF57" s="11">
        <f>IF(ISNUMBER(CHOOSE($Z$3,'Janvier'!T62,'Février'!T62,'Mars'!T62,'Avril'!T62,'Mai'!T62,'Juin'!T62,'Juillet'!T62,'Août'!T62,'Septembre'!T62,'Octobre'!T62,'Novembre'!T62,'Décembre'!T62)),CHOOSE($Z$3,'Janvier'!T62,'Février'!T62,'Mars'!T62,'Avril'!T62,'Mai'!T62,'Juin'!T62,'Juillet'!T62,'Août'!T62,'Septembre'!T62,'Octobre'!T62,'Novembre'!T62,'Décembre'!T62),"")</f>
        <v/>
      </c>
      <c r="AG57" s="11">
        <f>IF(ISNUMBER(CHOOSE($Z$3,'Janvier'!U62,'Février'!U62,'Mars'!U62,'Avril'!U62,'Mai'!U62,'Juin'!U62,'Juillet'!U62,'Août'!U62,'Septembre'!U62,'Octobre'!U62,'Novembre'!U62,'Décembre'!U62)),CHOOSE($Z$3,'Janvier'!U62,'Février'!U62,'Mars'!U62,'Avril'!U62,'Mai'!U62,'Juin'!U62,'Juillet'!U62,'Août'!U62,'Septembre'!U62,'Octobre'!U62,'Novembre'!U62,'Décembre'!U62),"")</f>
        <v/>
      </c>
      <c r="AH57" s="11">
        <f>IF(ISNUMBER(CHOOSE($Z$3,'Janvier'!V62,'Février'!V62,'Mars'!V62,'Avril'!V62,'Mai'!V62,'Juin'!V62,'Juillet'!V62,'Août'!V62,'Septembre'!V62,'Octobre'!V62,'Novembre'!V62,'Décembre'!V62)),CHOOSE($Z$3,'Janvier'!V62,'Février'!V62,'Mars'!V62,'Avril'!V62,'Mai'!V62,'Juin'!V62,'Juillet'!V62,'Août'!V62,'Septembre'!V62,'Octobre'!V62,'Novembre'!V62,'Décembre'!V62),"")</f>
        <v/>
      </c>
      <c r="AI57" s="11">
        <f>IF(ISNUMBER(CHOOSE($Z$3,'Janvier'!W62,'Février'!W62,'Mars'!W62,'Avril'!W62,'Mai'!W62,'Juin'!W62,'Juillet'!W62,'Août'!W62,'Septembre'!W62,'Octobre'!W62,'Novembre'!W62,'Décembre'!W62)),CHOOSE($Z$3,'Janvier'!W62,'Février'!W62,'Mars'!W62,'Avril'!W62,'Mai'!W62,'Juin'!W62,'Juillet'!W62,'Août'!W62,'Septembre'!W62,'Octobre'!W62,'Novembre'!W62,'Décembre'!W62),"")</f>
        <v/>
      </c>
      <c r="AJ57" s="11">
        <f>IF(Produits!$A$61="","",Produits!$D$61)</f>
        <v/>
      </c>
      <c r="AK57" s="11">
        <f>IF(ISNUMBER(CHOOSE($Z$3,'Janvier'!X62,'Février'!X62,'Mars'!X62,'Avril'!X62,'Mai'!X62,'Juin'!X62,'Juillet'!X62,'Août'!X62,'Septembre'!X62,'Octobre'!X62,'Novembre'!X62,'Décembre'!X62)),CHOOSE($Z$3,'Janvier'!X62,'Février'!X62,'Mars'!X62,'Avril'!X62,'Mai'!X62,'Juin'!X62,'Juillet'!X62,'Août'!X62,'Septembre'!X62,'Octobre'!X62,'Novembre'!X62,'Décembre'!X62),"")</f>
        <v/>
      </c>
      <c r="AL57" s="11">
        <f>IF(AND(ISNUMBER(AI57),ISNUMBER(AJ57)),IF(AI57&lt;=AJ57,1,0),0)</f>
        <v/>
      </c>
      <c r="AM57" s="11">
        <f>IF(OR(AA57="",AK57=""),-1,AK57+ROW()/1000000)</f>
        <v/>
      </c>
    </row>
    <row r="58">
      <c r="A58" s="20">
        <f>AA37</f>
        <v/>
      </c>
      <c r="C58" s="21">
        <f>IF(OR(AB37="",MAX(AB37,AC37,AD37,AE37)=0),"",REPT("█",MAX(1,ROUND(AB37/MAX(AB37,AC37,AD37,AE37)*6,0))))</f>
        <v/>
      </c>
      <c r="D58" s="21">
        <f>IF(OR(AC37="",MAX(AB37,AC37,AD37,AE37)=0),"",REPT("█",MAX(1,ROUND(AC37/MAX(AB37,AC37,AD37,AE37)*6,0))))</f>
        <v/>
      </c>
      <c r="E58" s="21">
        <f>IF(OR(AD37="",MAX(AB37,AC37,AD37,AE37)=0),"",REPT("█",MAX(1,ROUND(AD37/MAX(AB37,AC37,AD37,AE37)*6,0))))</f>
        <v/>
      </c>
      <c r="F58" s="21">
        <f>IF(OR(AE37="",MAX(AB37,AC37,AD37,AE37)=0),"",REPT("█",MAX(1,ROUND(AE37/MAX(AB37,AC37,AD37,AE37)*6,0))))</f>
        <v/>
      </c>
      <c r="G58" s="22">
        <f>IF(COUNT(AB37,AC37,AD37,AE37)&lt;2,"",IF(IF(AE37&lt;&gt;"",AE37,IF(AD37&lt;&gt;"",AD37,IF(AC37&lt;&gt;"",AC37,IF(AB37&lt;&gt;"",AB37,""))))&gt;IF(AB37&lt;&gt;"",AB37,IF(AC37&lt;&gt;"",AC37,IF(AD37&lt;&gt;"",AD37,AE37))),"▲",IF(IF(AE37&lt;&gt;"",AE37,IF(AD37&lt;&gt;"",AD37,IF(AC37&lt;&gt;"",AC37,IF(AB37&lt;&gt;"",AB37,""))))&lt;IF(AB37&lt;&gt;"",AB37,IF(AC37&lt;&gt;"",AC37,IF(AD37&lt;&gt;"",AD37,AE37))),"▼","=")))</f>
        <v/>
      </c>
      <c r="H58" s="22">
        <f>AI37</f>
        <v/>
      </c>
      <c r="I58" s="11">
        <f>AJ37</f>
        <v/>
      </c>
      <c r="J58" s="22">
        <f>IF(AL37=1,"À COMMANDER",IF(AA37="","",""))</f>
        <v/>
      </c>
      <c r="AA58" s="11">
        <f>IF(Produits!$A$62="","",Produits!$A$62)</f>
        <v/>
      </c>
      <c r="AB58" s="11">
        <f>IF(ISNUMBER(CHOOSE($Z$3,'Janvier'!E63,'Février'!E63,'Mars'!E63,'Avril'!E63,'Mai'!E63,'Juin'!E63,'Juillet'!E63,'Août'!E63,'Septembre'!E63,'Octobre'!E63,'Novembre'!E63,'Décembre'!E63)),CHOOSE($Z$3,'Janvier'!E63,'Février'!E63,'Mars'!E63,'Avril'!E63,'Mai'!E63,'Juin'!E63,'Juillet'!E63,'Août'!E63,'Septembre'!E63,'Octobre'!E63,'Novembre'!E63,'Décembre'!E63),"")</f>
        <v/>
      </c>
      <c r="AC58" s="11">
        <f>IF(ISNUMBER(CHOOSE($Z$3,'Janvier'!I63,'Février'!I63,'Mars'!I63,'Avril'!I63,'Mai'!I63,'Juin'!I63,'Juillet'!I63,'Août'!I63,'Septembre'!I63,'Octobre'!I63,'Novembre'!I63,'Décembre'!I63)),CHOOSE($Z$3,'Janvier'!I63,'Février'!I63,'Mars'!I63,'Avril'!I63,'Mai'!I63,'Juin'!I63,'Juillet'!I63,'Août'!I63,'Septembre'!I63,'Octobre'!I63,'Novembre'!I63,'Décembre'!I63),"")</f>
        <v/>
      </c>
      <c r="AD58" s="11">
        <f>IF(ISNUMBER(CHOOSE($Z$3,'Janvier'!M63,'Février'!M63,'Mars'!M63,'Avril'!M63,'Mai'!M63,'Juin'!M63,'Juillet'!M63,'Août'!M63,'Septembre'!M63,'Octobre'!M63,'Novembre'!M63,'Décembre'!M63)),CHOOSE($Z$3,'Janvier'!M63,'Février'!M63,'Mars'!M63,'Avril'!M63,'Mai'!M63,'Juin'!M63,'Juillet'!M63,'Août'!M63,'Septembre'!M63,'Octobre'!M63,'Novembre'!M63,'Décembre'!M63),"")</f>
        <v/>
      </c>
      <c r="AE58" s="11">
        <f>IF(ISNUMBER(CHOOSE($Z$3,'Janvier'!Q63,'Février'!Q63,'Mars'!Q63,'Avril'!Q63,'Mai'!Q63,'Juin'!Q63,'Juillet'!Q63,'Août'!Q63,'Septembre'!Q63,'Octobre'!Q63,'Novembre'!Q63,'Décembre'!Q63)),CHOOSE($Z$3,'Janvier'!Q63,'Février'!Q63,'Mars'!Q63,'Avril'!Q63,'Mai'!Q63,'Juin'!Q63,'Juillet'!Q63,'Août'!Q63,'Septembre'!Q63,'Octobre'!Q63,'Novembre'!Q63,'Décembre'!Q63),"")</f>
        <v/>
      </c>
      <c r="AF58" s="11">
        <f>IF(ISNUMBER(CHOOSE($Z$3,'Janvier'!T63,'Février'!T63,'Mars'!T63,'Avril'!T63,'Mai'!T63,'Juin'!T63,'Juillet'!T63,'Août'!T63,'Septembre'!T63,'Octobre'!T63,'Novembre'!T63,'Décembre'!T63)),CHOOSE($Z$3,'Janvier'!T63,'Février'!T63,'Mars'!T63,'Avril'!T63,'Mai'!T63,'Juin'!T63,'Juillet'!T63,'Août'!T63,'Septembre'!T63,'Octobre'!T63,'Novembre'!T63,'Décembre'!T63),"")</f>
        <v/>
      </c>
      <c r="AG58" s="11">
        <f>IF(ISNUMBER(CHOOSE($Z$3,'Janvier'!U63,'Février'!U63,'Mars'!U63,'Avril'!U63,'Mai'!U63,'Juin'!U63,'Juillet'!U63,'Août'!U63,'Septembre'!U63,'Octobre'!U63,'Novembre'!U63,'Décembre'!U63)),CHOOSE($Z$3,'Janvier'!U63,'Février'!U63,'Mars'!U63,'Avril'!U63,'Mai'!U63,'Juin'!U63,'Juillet'!U63,'Août'!U63,'Septembre'!U63,'Octobre'!U63,'Novembre'!U63,'Décembre'!U63),"")</f>
        <v/>
      </c>
      <c r="AH58" s="11">
        <f>IF(ISNUMBER(CHOOSE($Z$3,'Janvier'!V63,'Février'!V63,'Mars'!V63,'Avril'!V63,'Mai'!V63,'Juin'!V63,'Juillet'!V63,'Août'!V63,'Septembre'!V63,'Octobre'!V63,'Novembre'!V63,'Décembre'!V63)),CHOOSE($Z$3,'Janvier'!V63,'Février'!V63,'Mars'!V63,'Avril'!V63,'Mai'!V63,'Juin'!V63,'Juillet'!V63,'Août'!V63,'Septembre'!V63,'Octobre'!V63,'Novembre'!V63,'Décembre'!V63),"")</f>
        <v/>
      </c>
      <c r="AI58" s="11">
        <f>IF(ISNUMBER(CHOOSE($Z$3,'Janvier'!W63,'Février'!W63,'Mars'!W63,'Avril'!W63,'Mai'!W63,'Juin'!W63,'Juillet'!W63,'Août'!W63,'Septembre'!W63,'Octobre'!W63,'Novembre'!W63,'Décembre'!W63)),CHOOSE($Z$3,'Janvier'!W63,'Février'!W63,'Mars'!W63,'Avril'!W63,'Mai'!W63,'Juin'!W63,'Juillet'!W63,'Août'!W63,'Septembre'!W63,'Octobre'!W63,'Novembre'!W63,'Décembre'!W63),"")</f>
        <v/>
      </c>
      <c r="AJ58" s="11">
        <f>IF(Produits!$A$62="","",Produits!$D$62)</f>
        <v/>
      </c>
      <c r="AK58" s="11">
        <f>IF(ISNUMBER(CHOOSE($Z$3,'Janvier'!X63,'Février'!X63,'Mars'!X63,'Avril'!X63,'Mai'!X63,'Juin'!X63,'Juillet'!X63,'Août'!X63,'Septembre'!X63,'Octobre'!X63,'Novembre'!X63,'Décembre'!X63)),CHOOSE($Z$3,'Janvier'!X63,'Février'!X63,'Mars'!X63,'Avril'!X63,'Mai'!X63,'Juin'!X63,'Juillet'!X63,'Août'!X63,'Septembre'!X63,'Octobre'!X63,'Novembre'!X63,'Décembre'!X63),"")</f>
        <v/>
      </c>
      <c r="AL58" s="11">
        <f>IF(AND(ISNUMBER(AI58),ISNUMBER(AJ58)),IF(AI58&lt;=AJ58,1,0),0)</f>
        <v/>
      </c>
      <c r="AM58" s="11">
        <f>IF(OR(AA58="",AK58=""),-1,AK58+ROW()/1000000)</f>
        <v/>
      </c>
    </row>
    <row r="59">
      <c r="A59" s="20">
        <f>AA38</f>
        <v/>
      </c>
      <c r="C59" s="21">
        <f>IF(OR(AB38="",MAX(AB38,AC38,AD38,AE38)=0),"",REPT("█",MAX(1,ROUND(AB38/MAX(AB38,AC38,AD38,AE38)*6,0))))</f>
        <v/>
      </c>
      <c r="D59" s="21">
        <f>IF(OR(AC38="",MAX(AB38,AC38,AD38,AE38)=0),"",REPT("█",MAX(1,ROUND(AC38/MAX(AB38,AC38,AD38,AE38)*6,0))))</f>
        <v/>
      </c>
      <c r="E59" s="21">
        <f>IF(OR(AD38="",MAX(AB38,AC38,AD38,AE38)=0),"",REPT("█",MAX(1,ROUND(AD38/MAX(AB38,AC38,AD38,AE38)*6,0))))</f>
        <v/>
      </c>
      <c r="F59" s="21">
        <f>IF(OR(AE38="",MAX(AB38,AC38,AD38,AE38)=0),"",REPT("█",MAX(1,ROUND(AE38/MAX(AB38,AC38,AD38,AE38)*6,0))))</f>
        <v/>
      </c>
      <c r="G59" s="22">
        <f>IF(COUNT(AB38,AC38,AD38,AE38)&lt;2,"",IF(IF(AE38&lt;&gt;"",AE38,IF(AD38&lt;&gt;"",AD38,IF(AC38&lt;&gt;"",AC38,IF(AB38&lt;&gt;"",AB38,""))))&gt;IF(AB38&lt;&gt;"",AB38,IF(AC38&lt;&gt;"",AC38,IF(AD38&lt;&gt;"",AD38,AE38))),"▲",IF(IF(AE38&lt;&gt;"",AE38,IF(AD38&lt;&gt;"",AD38,IF(AC38&lt;&gt;"",AC38,IF(AB38&lt;&gt;"",AB38,""))))&lt;IF(AB38&lt;&gt;"",AB38,IF(AC38&lt;&gt;"",AC38,IF(AD38&lt;&gt;"",AD38,AE38))),"▼","=")))</f>
        <v/>
      </c>
      <c r="H59" s="22">
        <f>AI38</f>
        <v/>
      </c>
      <c r="I59" s="11">
        <f>AJ38</f>
        <v/>
      </c>
      <c r="J59" s="22">
        <f>IF(AL38=1,"À COMMANDER",IF(AA38="","",""))</f>
        <v/>
      </c>
      <c r="AA59" s="11">
        <f>IF(Produits!$A$63="","",Produits!$A$63)</f>
        <v/>
      </c>
      <c r="AB59" s="11">
        <f>IF(ISNUMBER(CHOOSE($Z$3,'Janvier'!E64,'Février'!E64,'Mars'!E64,'Avril'!E64,'Mai'!E64,'Juin'!E64,'Juillet'!E64,'Août'!E64,'Septembre'!E64,'Octobre'!E64,'Novembre'!E64,'Décembre'!E64)),CHOOSE($Z$3,'Janvier'!E64,'Février'!E64,'Mars'!E64,'Avril'!E64,'Mai'!E64,'Juin'!E64,'Juillet'!E64,'Août'!E64,'Septembre'!E64,'Octobre'!E64,'Novembre'!E64,'Décembre'!E64),"")</f>
        <v/>
      </c>
      <c r="AC59" s="11">
        <f>IF(ISNUMBER(CHOOSE($Z$3,'Janvier'!I64,'Février'!I64,'Mars'!I64,'Avril'!I64,'Mai'!I64,'Juin'!I64,'Juillet'!I64,'Août'!I64,'Septembre'!I64,'Octobre'!I64,'Novembre'!I64,'Décembre'!I64)),CHOOSE($Z$3,'Janvier'!I64,'Février'!I64,'Mars'!I64,'Avril'!I64,'Mai'!I64,'Juin'!I64,'Juillet'!I64,'Août'!I64,'Septembre'!I64,'Octobre'!I64,'Novembre'!I64,'Décembre'!I64),"")</f>
        <v/>
      </c>
      <c r="AD59" s="11">
        <f>IF(ISNUMBER(CHOOSE($Z$3,'Janvier'!M64,'Février'!M64,'Mars'!M64,'Avril'!M64,'Mai'!M64,'Juin'!M64,'Juillet'!M64,'Août'!M64,'Septembre'!M64,'Octobre'!M64,'Novembre'!M64,'Décembre'!M64)),CHOOSE($Z$3,'Janvier'!M64,'Février'!M64,'Mars'!M64,'Avril'!M64,'Mai'!M64,'Juin'!M64,'Juillet'!M64,'Août'!M64,'Septembre'!M64,'Octobre'!M64,'Novembre'!M64,'Décembre'!M64),"")</f>
        <v/>
      </c>
      <c r="AE59" s="11">
        <f>IF(ISNUMBER(CHOOSE($Z$3,'Janvier'!Q64,'Février'!Q64,'Mars'!Q64,'Avril'!Q64,'Mai'!Q64,'Juin'!Q64,'Juillet'!Q64,'Août'!Q64,'Septembre'!Q64,'Octobre'!Q64,'Novembre'!Q64,'Décembre'!Q64)),CHOOSE($Z$3,'Janvier'!Q64,'Février'!Q64,'Mars'!Q64,'Avril'!Q64,'Mai'!Q64,'Juin'!Q64,'Juillet'!Q64,'Août'!Q64,'Septembre'!Q64,'Octobre'!Q64,'Novembre'!Q64,'Décembre'!Q64),"")</f>
        <v/>
      </c>
      <c r="AF59" s="11">
        <f>IF(ISNUMBER(CHOOSE($Z$3,'Janvier'!T64,'Février'!T64,'Mars'!T64,'Avril'!T64,'Mai'!T64,'Juin'!T64,'Juillet'!T64,'Août'!T64,'Septembre'!T64,'Octobre'!T64,'Novembre'!T64,'Décembre'!T64)),CHOOSE($Z$3,'Janvier'!T64,'Février'!T64,'Mars'!T64,'Avril'!T64,'Mai'!T64,'Juin'!T64,'Juillet'!T64,'Août'!T64,'Septembre'!T64,'Octobre'!T64,'Novembre'!T64,'Décembre'!T64),"")</f>
        <v/>
      </c>
      <c r="AG59" s="11">
        <f>IF(ISNUMBER(CHOOSE($Z$3,'Janvier'!U64,'Février'!U64,'Mars'!U64,'Avril'!U64,'Mai'!U64,'Juin'!U64,'Juillet'!U64,'Août'!U64,'Septembre'!U64,'Octobre'!U64,'Novembre'!U64,'Décembre'!U64)),CHOOSE($Z$3,'Janvier'!U64,'Février'!U64,'Mars'!U64,'Avril'!U64,'Mai'!U64,'Juin'!U64,'Juillet'!U64,'Août'!U64,'Septembre'!U64,'Octobre'!U64,'Novembre'!U64,'Décembre'!U64),"")</f>
        <v/>
      </c>
      <c r="AH59" s="11">
        <f>IF(ISNUMBER(CHOOSE($Z$3,'Janvier'!V64,'Février'!V64,'Mars'!V64,'Avril'!V64,'Mai'!V64,'Juin'!V64,'Juillet'!V64,'Août'!V64,'Septembre'!V64,'Octobre'!V64,'Novembre'!V64,'Décembre'!V64)),CHOOSE($Z$3,'Janvier'!V64,'Février'!V64,'Mars'!V64,'Avril'!V64,'Mai'!V64,'Juin'!V64,'Juillet'!V64,'Août'!V64,'Septembre'!V64,'Octobre'!V64,'Novembre'!V64,'Décembre'!V64),"")</f>
        <v/>
      </c>
      <c r="AI59" s="11">
        <f>IF(ISNUMBER(CHOOSE($Z$3,'Janvier'!W64,'Février'!W64,'Mars'!W64,'Avril'!W64,'Mai'!W64,'Juin'!W64,'Juillet'!W64,'Août'!W64,'Septembre'!W64,'Octobre'!W64,'Novembre'!W64,'Décembre'!W64)),CHOOSE($Z$3,'Janvier'!W64,'Février'!W64,'Mars'!W64,'Avril'!W64,'Mai'!W64,'Juin'!W64,'Juillet'!W64,'Août'!W64,'Septembre'!W64,'Octobre'!W64,'Novembre'!W64,'Décembre'!W64),"")</f>
        <v/>
      </c>
      <c r="AJ59" s="11">
        <f>IF(Produits!$A$63="","",Produits!$D$63)</f>
        <v/>
      </c>
      <c r="AK59" s="11">
        <f>IF(ISNUMBER(CHOOSE($Z$3,'Janvier'!X64,'Février'!X64,'Mars'!X64,'Avril'!X64,'Mai'!X64,'Juin'!X64,'Juillet'!X64,'Août'!X64,'Septembre'!X64,'Octobre'!X64,'Novembre'!X64,'Décembre'!X64)),CHOOSE($Z$3,'Janvier'!X64,'Février'!X64,'Mars'!X64,'Avril'!X64,'Mai'!X64,'Juin'!X64,'Juillet'!X64,'Août'!X64,'Septembre'!X64,'Octobre'!X64,'Novembre'!X64,'Décembre'!X64),"")</f>
        <v/>
      </c>
      <c r="AL59" s="11">
        <f>IF(AND(ISNUMBER(AI59),ISNUMBER(AJ59)),IF(AI59&lt;=AJ59,1,0),0)</f>
        <v/>
      </c>
      <c r="AM59" s="11">
        <f>IF(OR(AA59="",AK59=""),-1,AK59+ROW()/1000000)</f>
        <v/>
      </c>
    </row>
    <row r="60">
      <c r="A60" s="20">
        <f>AA39</f>
        <v/>
      </c>
      <c r="C60" s="21">
        <f>IF(OR(AB39="",MAX(AB39,AC39,AD39,AE39)=0),"",REPT("█",MAX(1,ROUND(AB39/MAX(AB39,AC39,AD39,AE39)*6,0))))</f>
        <v/>
      </c>
      <c r="D60" s="21">
        <f>IF(OR(AC39="",MAX(AB39,AC39,AD39,AE39)=0),"",REPT("█",MAX(1,ROUND(AC39/MAX(AB39,AC39,AD39,AE39)*6,0))))</f>
        <v/>
      </c>
      <c r="E60" s="21">
        <f>IF(OR(AD39="",MAX(AB39,AC39,AD39,AE39)=0),"",REPT("█",MAX(1,ROUND(AD39/MAX(AB39,AC39,AD39,AE39)*6,0))))</f>
        <v/>
      </c>
      <c r="F60" s="21">
        <f>IF(OR(AE39="",MAX(AB39,AC39,AD39,AE39)=0),"",REPT("█",MAX(1,ROUND(AE39/MAX(AB39,AC39,AD39,AE39)*6,0))))</f>
        <v/>
      </c>
      <c r="G60" s="22">
        <f>IF(COUNT(AB39,AC39,AD39,AE39)&lt;2,"",IF(IF(AE39&lt;&gt;"",AE39,IF(AD39&lt;&gt;"",AD39,IF(AC39&lt;&gt;"",AC39,IF(AB39&lt;&gt;"",AB39,""))))&gt;IF(AB39&lt;&gt;"",AB39,IF(AC39&lt;&gt;"",AC39,IF(AD39&lt;&gt;"",AD39,AE39))),"▲",IF(IF(AE39&lt;&gt;"",AE39,IF(AD39&lt;&gt;"",AD39,IF(AC39&lt;&gt;"",AC39,IF(AB39&lt;&gt;"",AB39,""))))&lt;IF(AB39&lt;&gt;"",AB39,IF(AC39&lt;&gt;"",AC39,IF(AD39&lt;&gt;"",AD39,AE39))),"▼","=")))</f>
        <v/>
      </c>
      <c r="H60" s="22">
        <f>AI39</f>
        <v/>
      </c>
      <c r="I60" s="11">
        <f>AJ39</f>
        <v/>
      </c>
      <c r="J60" s="22">
        <f>IF(AL39=1,"À COMMANDER",IF(AA39="","",""))</f>
        <v/>
      </c>
      <c r="AA60" s="11">
        <f>IF(Produits!$A$64="","",Produits!$A$64)</f>
        <v/>
      </c>
      <c r="AB60" s="11">
        <f>IF(ISNUMBER(CHOOSE($Z$3,'Janvier'!E65,'Février'!E65,'Mars'!E65,'Avril'!E65,'Mai'!E65,'Juin'!E65,'Juillet'!E65,'Août'!E65,'Septembre'!E65,'Octobre'!E65,'Novembre'!E65,'Décembre'!E65)),CHOOSE($Z$3,'Janvier'!E65,'Février'!E65,'Mars'!E65,'Avril'!E65,'Mai'!E65,'Juin'!E65,'Juillet'!E65,'Août'!E65,'Septembre'!E65,'Octobre'!E65,'Novembre'!E65,'Décembre'!E65),"")</f>
        <v/>
      </c>
      <c r="AC60" s="11">
        <f>IF(ISNUMBER(CHOOSE($Z$3,'Janvier'!I65,'Février'!I65,'Mars'!I65,'Avril'!I65,'Mai'!I65,'Juin'!I65,'Juillet'!I65,'Août'!I65,'Septembre'!I65,'Octobre'!I65,'Novembre'!I65,'Décembre'!I65)),CHOOSE($Z$3,'Janvier'!I65,'Février'!I65,'Mars'!I65,'Avril'!I65,'Mai'!I65,'Juin'!I65,'Juillet'!I65,'Août'!I65,'Septembre'!I65,'Octobre'!I65,'Novembre'!I65,'Décembre'!I65),"")</f>
        <v/>
      </c>
      <c r="AD60" s="11">
        <f>IF(ISNUMBER(CHOOSE($Z$3,'Janvier'!M65,'Février'!M65,'Mars'!M65,'Avril'!M65,'Mai'!M65,'Juin'!M65,'Juillet'!M65,'Août'!M65,'Septembre'!M65,'Octobre'!M65,'Novembre'!M65,'Décembre'!M65)),CHOOSE($Z$3,'Janvier'!M65,'Février'!M65,'Mars'!M65,'Avril'!M65,'Mai'!M65,'Juin'!M65,'Juillet'!M65,'Août'!M65,'Septembre'!M65,'Octobre'!M65,'Novembre'!M65,'Décembre'!M65),"")</f>
        <v/>
      </c>
      <c r="AE60" s="11">
        <f>IF(ISNUMBER(CHOOSE($Z$3,'Janvier'!Q65,'Février'!Q65,'Mars'!Q65,'Avril'!Q65,'Mai'!Q65,'Juin'!Q65,'Juillet'!Q65,'Août'!Q65,'Septembre'!Q65,'Octobre'!Q65,'Novembre'!Q65,'Décembre'!Q65)),CHOOSE($Z$3,'Janvier'!Q65,'Février'!Q65,'Mars'!Q65,'Avril'!Q65,'Mai'!Q65,'Juin'!Q65,'Juillet'!Q65,'Août'!Q65,'Septembre'!Q65,'Octobre'!Q65,'Novembre'!Q65,'Décembre'!Q65),"")</f>
        <v/>
      </c>
      <c r="AF60" s="11">
        <f>IF(ISNUMBER(CHOOSE($Z$3,'Janvier'!T65,'Février'!T65,'Mars'!T65,'Avril'!T65,'Mai'!T65,'Juin'!T65,'Juillet'!T65,'Août'!T65,'Septembre'!T65,'Octobre'!T65,'Novembre'!T65,'Décembre'!T65)),CHOOSE($Z$3,'Janvier'!T65,'Février'!T65,'Mars'!T65,'Avril'!T65,'Mai'!T65,'Juin'!T65,'Juillet'!T65,'Août'!T65,'Septembre'!T65,'Octobre'!T65,'Novembre'!T65,'Décembre'!T65),"")</f>
        <v/>
      </c>
      <c r="AG60" s="11">
        <f>IF(ISNUMBER(CHOOSE($Z$3,'Janvier'!U65,'Février'!U65,'Mars'!U65,'Avril'!U65,'Mai'!U65,'Juin'!U65,'Juillet'!U65,'Août'!U65,'Septembre'!U65,'Octobre'!U65,'Novembre'!U65,'Décembre'!U65)),CHOOSE($Z$3,'Janvier'!U65,'Février'!U65,'Mars'!U65,'Avril'!U65,'Mai'!U65,'Juin'!U65,'Juillet'!U65,'Août'!U65,'Septembre'!U65,'Octobre'!U65,'Novembre'!U65,'Décembre'!U65),"")</f>
        <v/>
      </c>
      <c r="AH60" s="11">
        <f>IF(ISNUMBER(CHOOSE($Z$3,'Janvier'!V65,'Février'!V65,'Mars'!V65,'Avril'!V65,'Mai'!V65,'Juin'!V65,'Juillet'!V65,'Août'!V65,'Septembre'!V65,'Octobre'!V65,'Novembre'!V65,'Décembre'!V65)),CHOOSE($Z$3,'Janvier'!V65,'Février'!V65,'Mars'!V65,'Avril'!V65,'Mai'!V65,'Juin'!V65,'Juillet'!V65,'Août'!V65,'Septembre'!V65,'Octobre'!V65,'Novembre'!V65,'Décembre'!V65),"")</f>
        <v/>
      </c>
      <c r="AI60" s="11">
        <f>IF(ISNUMBER(CHOOSE($Z$3,'Janvier'!W65,'Février'!W65,'Mars'!W65,'Avril'!W65,'Mai'!W65,'Juin'!W65,'Juillet'!W65,'Août'!W65,'Septembre'!W65,'Octobre'!W65,'Novembre'!W65,'Décembre'!W65)),CHOOSE($Z$3,'Janvier'!W65,'Février'!W65,'Mars'!W65,'Avril'!W65,'Mai'!W65,'Juin'!W65,'Juillet'!W65,'Août'!W65,'Septembre'!W65,'Octobre'!W65,'Novembre'!W65,'Décembre'!W65),"")</f>
        <v/>
      </c>
      <c r="AJ60" s="11">
        <f>IF(Produits!$A$64="","",Produits!$D$64)</f>
        <v/>
      </c>
      <c r="AK60" s="11">
        <f>IF(ISNUMBER(CHOOSE($Z$3,'Janvier'!X65,'Février'!X65,'Mars'!X65,'Avril'!X65,'Mai'!X65,'Juin'!X65,'Juillet'!X65,'Août'!X65,'Septembre'!X65,'Octobre'!X65,'Novembre'!X65,'Décembre'!X65)),CHOOSE($Z$3,'Janvier'!X65,'Février'!X65,'Mars'!X65,'Avril'!X65,'Mai'!X65,'Juin'!X65,'Juillet'!X65,'Août'!X65,'Septembre'!X65,'Octobre'!X65,'Novembre'!X65,'Décembre'!X65),"")</f>
        <v/>
      </c>
      <c r="AL60" s="11">
        <f>IF(AND(ISNUMBER(AI60),ISNUMBER(AJ60)),IF(AI60&lt;=AJ60,1,0),0)</f>
        <v/>
      </c>
      <c r="AM60" s="11">
        <f>IF(OR(AA60="",AK60=""),-1,AK60+ROW()/1000000)</f>
        <v/>
      </c>
    </row>
    <row r="61">
      <c r="A61" s="20">
        <f>AA40</f>
        <v/>
      </c>
      <c r="C61" s="21">
        <f>IF(OR(AB40="",MAX(AB40,AC40,AD40,AE40)=0),"",REPT("█",MAX(1,ROUND(AB40/MAX(AB40,AC40,AD40,AE40)*6,0))))</f>
        <v/>
      </c>
      <c r="D61" s="21">
        <f>IF(OR(AC40="",MAX(AB40,AC40,AD40,AE40)=0),"",REPT("█",MAX(1,ROUND(AC40/MAX(AB40,AC40,AD40,AE40)*6,0))))</f>
        <v/>
      </c>
      <c r="E61" s="21">
        <f>IF(OR(AD40="",MAX(AB40,AC40,AD40,AE40)=0),"",REPT("█",MAX(1,ROUND(AD40/MAX(AB40,AC40,AD40,AE40)*6,0))))</f>
        <v/>
      </c>
      <c r="F61" s="21">
        <f>IF(OR(AE40="",MAX(AB40,AC40,AD40,AE40)=0),"",REPT("█",MAX(1,ROUND(AE40/MAX(AB40,AC40,AD40,AE40)*6,0))))</f>
        <v/>
      </c>
      <c r="G61" s="22">
        <f>IF(COUNT(AB40,AC40,AD40,AE40)&lt;2,"",IF(IF(AE40&lt;&gt;"",AE40,IF(AD40&lt;&gt;"",AD40,IF(AC40&lt;&gt;"",AC40,IF(AB40&lt;&gt;"",AB40,""))))&gt;IF(AB40&lt;&gt;"",AB40,IF(AC40&lt;&gt;"",AC40,IF(AD40&lt;&gt;"",AD40,AE40))),"▲",IF(IF(AE40&lt;&gt;"",AE40,IF(AD40&lt;&gt;"",AD40,IF(AC40&lt;&gt;"",AC40,IF(AB40&lt;&gt;"",AB40,""))))&lt;IF(AB40&lt;&gt;"",AB40,IF(AC40&lt;&gt;"",AC40,IF(AD40&lt;&gt;"",AD40,AE40))),"▼","=")))</f>
        <v/>
      </c>
      <c r="H61" s="22">
        <f>AI40</f>
        <v/>
      </c>
      <c r="I61" s="11">
        <f>AJ40</f>
        <v/>
      </c>
      <c r="J61" s="22">
        <f>IF(AL40=1,"À COMMANDER",IF(AA40="","",""))</f>
        <v/>
      </c>
      <c r="AA61" s="11">
        <f>IF(Produits!$A$65="","",Produits!$A$65)</f>
        <v/>
      </c>
      <c r="AB61" s="11">
        <f>IF(ISNUMBER(CHOOSE($Z$3,'Janvier'!E66,'Février'!E66,'Mars'!E66,'Avril'!E66,'Mai'!E66,'Juin'!E66,'Juillet'!E66,'Août'!E66,'Septembre'!E66,'Octobre'!E66,'Novembre'!E66,'Décembre'!E66)),CHOOSE($Z$3,'Janvier'!E66,'Février'!E66,'Mars'!E66,'Avril'!E66,'Mai'!E66,'Juin'!E66,'Juillet'!E66,'Août'!E66,'Septembre'!E66,'Octobre'!E66,'Novembre'!E66,'Décembre'!E66),"")</f>
        <v/>
      </c>
      <c r="AC61" s="11">
        <f>IF(ISNUMBER(CHOOSE($Z$3,'Janvier'!I66,'Février'!I66,'Mars'!I66,'Avril'!I66,'Mai'!I66,'Juin'!I66,'Juillet'!I66,'Août'!I66,'Septembre'!I66,'Octobre'!I66,'Novembre'!I66,'Décembre'!I66)),CHOOSE($Z$3,'Janvier'!I66,'Février'!I66,'Mars'!I66,'Avril'!I66,'Mai'!I66,'Juin'!I66,'Juillet'!I66,'Août'!I66,'Septembre'!I66,'Octobre'!I66,'Novembre'!I66,'Décembre'!I66),"")</f>
        <v/>
      </c>
      <c r="AD61" s="11">
        <f>IF(ISNUMBER(CHOOSE($Z$3,'Janvier'!M66,'Février'!M66,'Mars'!M66,'Avril'!M66,'Mai'!M66,'Juin'!M66,'Juillet'!M66,'Août'!M66,'Septembre'!M66,'Octobre'!M66,'Novembre'!M66,'Décembre'!M66)),CHOOSE($Z$3,'Janvier'!M66,'Février'!M66,'Mars'!M66,'Avril'!M66,'Mai'!M66,'Juin'!M66,'Juillet'!M66,'Août'!M66,'Septembre'!M66,'Octobre'!M66,'Novembre'!M66,'Décembre'!M66),"")</f>
        <v/>
      </c>
      <c r="AE61" s="11">
        <f>IF(ISNUMBER(CHOOSE($Z$3,'Janvier'!Q66,'Février'!Q66,'Mars'!Q66,'Avril'!Q66,'Mai'!Q66,'Juin'!Q66,'Juillet'!Q66,'Août'!Q66,'Septembre'!Q66,'Octobre'!Q66,'Novembre'!Q66,'Décembre'!Q66)),CHOOSE($Z$3,'Janvier'!Q66,'Février'!Q66,'Mars'!Q66,'Avril'!Q66,'Mai'!Q66,'Juin'!Q66,'Juillet'!Q66,'Août'!Q66,'Septembre'!Q66,'Octobre'!Q66,'Novembre'!Q66,'Décembre'!Q66),"")</f>
        <v/>
      </c>
      <c r="AF61" s="11">
        <f>IF(ISNUMBER(CHOOSE($Z$3,'Janvier'!T66,'Février'!T66,'Mars'!T66,'Avril'!T66,'Mai'!T66,'Juin'!T66,'Juillet'!T66,'Août'!T66,'Septembre'!T66,'Octobre'!T66,'Novembre'!T66,'Décembre'!T66)),CHOOSE($Z$3,'Janvier'!T66,'Février'!T66,'Mars'!T66,'Avril'!T66,'Mai'!T66,'Juin'!T66,'Juillet'!T66,'Août'!T66,'Septembre'!T66,'Octobre'!T66,'Novembre'!T66,'Décembre'!T66),"")</f>
        <v/>
      </c>
      <c r="AG61" s="11">
        <f>IF(ISNUMBER(CHOOSE($Z$3,'Janvier'!U66,'Février'!U66,'Mars'!U66,'Avril'!U66,'Mai'!U66,'Juin'!U66,'Juillet'!U66,'Août'!U66,'Septembre'!U66,'Octobre'!U66,'Novembre'!U66,'Décembre'!U66)),CHOOSE($Z$3,'Janvier'!U66,'Février'!U66,'Mars'!U66,'Avril'!U66,'Mai'!U66,'Juin'!U66,'Juillet'!U66,'Août'!U66,'Septembre'!U66,'Octobre'!U66,'Novembre'!U66,'Décembre'!U66),"")</f>
        <v/>
      </c>
      <c r="AH61" s="11">
        <f>IF(ISNUMBER(CHOOSE($Z$3,'Janvier'!V66,'Février'!V66,'Mars'!V66,'Avril'!V66,'Mai'!V66,'Juin'!V66,'Juillet'!V66,'Août'!V66,'Septembre'!V66,'Octobre'!V66,'Novembre'!V66,'Décembre'!V66)),CHOOSE($Z$3,'Janvier'!V66,'Février'!V66,'Mars'!V66,'Avril'!V66,'Mai'!V66,'Juin'!V66,'Juillet'!V66,'Août'!V66,'Septembre'!V66,'Octobre'!V66,'Novembre'!V66,'Décembre'!V66),"")</f>
        <v/>
      </c>
      <c r="AI61" s="11">
        <f>IF(ISNUMBER(CHOOSE($Z$3,'Janvier'!W66,'Février'!W66,'Mars'!W66,'Avril'!W66,'Mai'!W66,'Juin'!W66,'Juillet'!W66,'Août'!W66,'Septembre'!W66,'Octobre'!W66,'Novembre'!W66,'Décembre'!W66)),CHOOSE($Z$3,'Janvier'!W66,'Février'!W66,'Mars'!W66,'Avril'!W66,'Mai'!W66,'Juin'!W66,'Juillet'!W66,'Août'!W66,'Septembre'!W66,'Octobre'!W66,'Novembre'!W66,'Décembre'!W66),"")</f>
        <v/>
      </c>
      <c r="AJ61" s="11">
        <f>IF(Produits!$A$65="","",Produits!$D$65)</f>
        <v/>
      </c>
      <c r="AK61" s="11">
        <f>IF(ISNUMBER(CHOOSE($Z$3,'Janvier'!X66,'Février'!X66,'Mars'!X66,'Avril'!X66,'Mai'!X66,'Juin'!X66,'Juillet'!X66,'Août'!X66,'Septembre'!X66,'Octobre'!X66,'Novembre'!X66,'Décembre'!X66)),CHOOSE($Z$3,'Janvier'!X66,'Février'!X66,'Mars'!X66,'Avril'!X66,'Mai'!X66,'Juin'!X66,'Juillet'!X66,'Août'!X66,'Septembre'!X66,'Octobre'!X66,'Novembre'!X66,'Décembre'!X66),"")</f>
        <v/>
      </c>
      <c r="AL61" s="11">
        <f>IF(AND(ISNUMBER(AI61),ISNUMBER(AJ61)),IF(AI61&lt;=AJ61,1,0),0)</f>
        <v/>
      </c>
      <c r="AM61" s="11">
        <f>IF(OR(AA61="",AK61=""),-1,AK61+ROW()/1000000)</f>
        <v/>
      </c>
    </row>
    <row r="62">
      <c r="A62" s="20">
        <f>AA41</f>
        <v/>
      </c>
      <c r="C62" s="21">
        <f>IF(OR(AB41="",MAX(AB41,AC41,AD41,AE41)=0),"",REPT("█",MAX(1,ROUND(AB41/MAX(AB41,AC41,AD41,AE41)*6,0))))</f>
        <v/>
      </c>
      <c r="D62" s="21">
        <f>IF(OR(AC41="",MAX(AB41,AC41,AD41,AE41)=0),"",REPT("█",MAX(1,ROUND(AC41/MAX(AB41,AC41,AD41,AE41)*6,0))))</f>
        <v/>
      </c>
      <c r="E62" s="21">
        <f>IF(OR(AD41="",MAX(AB41,AC41,AD41,AE41)=0),"",REPT("█",MAX(1,ROUND(AD41/MAX(AB41,AC41,AD41,AE41)*6,0))))</f>
        <v/>
      </c>
      <c r="F62" s="21">
        <f>IF(OR(AE41="",MAX(AB41,AC41,AD41,AE41)=0),"",REPT("█",MAX(1,ROUND(AE41/MAX(AB41,AC41,AD41,AE41)*6,0))))</f>
        <v/>
      </c>
      <c r="G62" s="22">
        <f>IF(COUNT(AB41,AC41,AD41,AE41)&lt;2,"",IF(IF(AE41&lt;&gt;"",AE41,IF(AD41&lt;&gt;"",AD41,IF(AC41&lt;&gt;"",AC41,IF(AB41&lt;&gt;"",AB41,""))))&gt;IF(AB41&lt;&gt;"",AB41,IF(AC41&lt;&gt;"",AC41,IF(AD41&lt;&gt;"",AD41,AE41))),"▲",IF(IF(AE41&lt;&gt;"",AE41,IF(AD41&lt;&gt;"",AD41,IF(AC41&lt;&gt;"",AC41,IF(AB41&lt;&gt;"",AB41,""))))&lt;IF(AB41&lt;&gt;"",AB41,IF(AC41&lt;&gt;"",AC41,IF(AD41&lt;&gt;"",AD41,AE41))),"▼","=")))</f>
        <v/>
      </c>
      <c r="H62" s="22">
        <f>AI41</f>
        <v/>
      </c>
      <c r="I62" s="11">
        <f>AJ41</f>
        <v/>
      </c>
      <c r="J62" s="22">
        <f>IF(AL41=1,"À COMMANDER",IF(AA41="","",""))</f>
        <v/>
      </c>
      <c r="AA62" s="11">
        <f>IF(Produits!$A$66="","",Produits!$A$66)</f>
        <v/>
      </c>
      <c r="AB62" s="11">
        <f>IF(ISNUMBER(CHOOSE($Z$3,'Janvier'!E67,'Février'!E67,'Mars'!E67,'Avril'!E67,'Mai'!E67,'Juin'!E67,'Juillet'!E67,'Août'!E67,'Septembre'!E67,'Octobre'!E67,'Novembre'!E67,'Décembre'!E67)),CHOOSE($Z$3,'Janvier'!E67,'Février'!E67,'Mars'!E67,'Avril'!E67,'Mai'!E67,'Juin'!E67,'Juillet'!E67,'Août'!E67,'Septembre'!E67,'Octobre'!E67,'Novembre'!E67,'Décembre'!E67),"")</f>
        <v/>
      </c>
      <c r="AC62" s="11">
        <f>IF(ISNUMBER(CHOOSE($Z$3,'Janvier'!I67,'Février'!I67,'Mars'!I67,'Avril'!I67,'Mai'!I67,'Juin'!I67,'Juillet'!I67,'Août'!I67,'Septembre'!I67,'Octobre'!I67,'Novembre'!I67,'Décembre'!I67)),CHOOSE($Z$3,'Janvier'!I67,'Février'!I67,'Mars'!I67,'Avril'!I67,'Mai'!I67,'Juin'!I67,'Juillet'!I67,'Août'!I67,'Septembre'!I67,'Octobre'!I67,'Novembre'!I67,'Décembre'!I67),"")</f>
        <v/>
      </c>
      <c r="AD62" s="11">
        <f>IF(ISNUMBER(CHOOSE($Z$3,'Janvier'!M67,'Février'!M67,'Mars'!M67,'Avril'!M67,'Mai'!M67,'Juin'!M67,'Juillet'!M67,'Août'!M67,'Septembre'!M67,'Octobre'!M67,'Novembre'!M67,'Décembre'!M67)),CHOOSE($Z$3,'Janvier'!M67,'Février'!M67,'Mars'!M67,'Avril'!M67,'Mai'!M67,'Juin'!M67,'Juillet'!M67,'Août'!M67,'Septembre'!M67,'Octobre'!M67,'Novembre'!M67,'Décembre'!M67),"")</f>
        <v/>
      </c>
      <c r="AE62" s="11">
        <f>IF(ISNUMBER(CHOOSE($Z$3,'Janvier'!Q67,'Février'!Q67,'Mars'!Q67,'Avril'!Q67,'Mai'!Q67,'Juin'!Q67,'Juillet'!Q67,'Août'!Q67,'Septembre'!Q67,'Octobre'!Q67,'Novembre'!Q67,'Décembre'!Q67)),CHOOSE($Z$3,'Janvier'!Q67,'Février'!Q67,'Mars'!Q67,'Avril'!Q67,'Mai'!Q67,'Juin'!Q67,'Juillet'!Q67,'Août'!Q67,'Septembre'!Q67,'Octobre'!Q67,'Novembre'!Q67,'Décembre'!Q67),"")</f>
        <v/>
      </c>
      <c r="AF62" s="11">
        <f>IF(ISNUMBER(CHOOSE($Z$3,'Janvier'!T67,'Février'!T67,'Mars'!T67,'Avril'!T67,'Mai'!T67,'Juin'!T67,'Juillet'!T67,'Août'!T67,'Septembre'!T67,'Octobre'!T67,'Novembre'!T67,'Décembre'!T67)),CHOOSE($Z$3,'Janvier'!T67,'Février'!T67,'Mars'!T67,'Avril'!T67,'Mai'!T67,'Juin'!T67,'Juillet'!T67,'Août'!T67,'Septembre'!T67,'Octobre'!T67,'Novembre'!T67,'Décembre'!T67),"")</f>
        <v/>
      </c>
      <c r="AG62" s="11">
        <f>IF(ISNUMBER(CHOOSE($Z$3,'Janvier'!U67,'Février'!U67,'Mars'!U67,'Avril'!U67,'Mai'!U67,'Juin'!U67,'Juillet'!U67,'Août'!U67,'Septembre'!U67,'Octobre'!U67,'Novembre'!U67,'Décembre'!U67)),CHOOSE($Z$3,'Janvier'!U67,'Février'!U67,'Mars'!U67,'Avril'!U67,'Mai'!U67,'Juin'!U67,'Juillet'!U67,'Août'!U67,'Septembre'!U67,'Octobre'!U67,'Novembre'!U67,'Décembre'!U67),"")</f>
        <v/>
      </c>
      <c r="AH62" s="11">
        <f>IF(ISNUMBER(CHOOSE($Z$3,'Janvier'!V67,'Février'!V67,'Mars'!V67,'Avril'!V67,'Mai'!V67,'Juin'!V67,'Juillet'!V67,'Août'!V67,'Septembre'!V67,'Octobre'!V67,'Novembre'!V67,'Décembre'!V67)),CHOOSE($Z$3,'Janvier'!V67,'Février'!V67,'Mars'!V67,'Avril'!V67,'Mai'!V67,'Juin'!V67,'Juillet'!V67,'Août'!V67,'Septembre'!V67,'Octobre'!V67,'Novembre'!V67,'Décembre'!V67),"")</f>
        <v/>
      </c>
      <c r="AI62" s="11">
        <f>IF(ISNUMBER(CHOOSE($Z$3,'Janvier'!W67,'Février'!W67,'Mars'!W67,'Avril'!W67,'Mai'!W67,'Juin'!W67,'Juillet'!W67,'Août'!W67,'Septembre'!W67,'Octobre'!W67,'Novembre'!W67,'Décembre'!W67)),CHOOSE($Z$3,'Janvier'!W67,'Février'!W67,'Mars'!W67,'Avril'!W67,'Mai'!W67,'Juin'!W67,'Juillet'!W67,'Août'!W67,'Septembre'!W67,'Octobre'!W67,'Novembre'!W67,'Décembre'!W67),"")</f>
        <v/>
      </c>
      <c r="AJ62" s="11">
        <f>IF(Produits!$A$66="","",Produits!$D$66)</f>
        <v/>
      </c>
      <c r="AK62" s="11">
        <f>IF(ISNUMBER(CHOOSE($Z$3,'Janvier'!X67,'Février'!X67,'Mars'!X67,'Avril'!X67,'Mai'!X67,'Juin'!X67,'Juillet'!X67,'Août'!X67,'Septembre'!X67,'Octobre'!X67,'Novembre'!X67,'Décembre'!X67)),CHOOSE($Z$3,'Janvier'!X67,'Février'!X67,'Mars'!X67,'Avril'!X67,'Mai'!X67,'Juin'!X67,'Juillet'!X67,'Août'!X67,'Septembre'!X67,'Octobre'!X67,'Novembre'!X67,'Décembre'!X67),"")</f>
        <v/>
      </c>
      <c r="AL62" s="11">
        <f>IF(AND(ISNUMBER(AI62),ISNUMBER(AJ62)),IF(AI62&lt;=AJ62,1,0),0)</f>
        <v/>
      </c>
      <c r="AM62" s="11">
        <f>IF(OR(AA62="",AK62=""),-1,AK62+ROW()/1000000)</f>
        <v/>
      </c>
    </row>
    <row r="63">
      <c r="A63" s="20">
        <f>AA42</f>
        <v/>
      </c>
      <c r="C63" s="21">
        <f>IF(OR(AB42="",MAX(AB42,AC42,AD42,AE42)=0),"",REPT("█",MAX(1,ROUND(AB42/MAX(AB42,AC42,AD42,AE42)*6,0))))</f>
        <v/>
      </c>
      <c r="D63" s="21">
        <f>IF(OR(AC42="",MAX(AB42,AC42,AD42,AE42)=0),"",REPT("█",MAX(1,ROUND(AC42/MAX(AB42,AC42,AD42,AE42)*6,0))))</f>
        <v/>
      </c>
      <c r="E63" s="21">
        <f>IF(OR(AD42="",MAX(AB42,AC42,AD42,AE42)=0),"",REPT("█",MAX(1,ROUND(AD42/MAX(AB42,AC42,AD42,AE42)*6,0))))</f>
        <v/>
      </c>
      <c r="F63" s="21">
        <f>IF(OR(AE42="",MAX(AB42,AC42,AD42,AE42)=0),"",REPT("█",MAX(1,ROUND(AE42/MAX(AB42,AC42,AD42,AE42)*6,0))))</f>
        <v/>
      </c>
      <c r="G63" s="22">
        <f>IF(COUNT(AB42,AC42,AD42,AE42)&lt;2,"",IF(IF(AE42&lt;&gt;"",AE42,IF(AD42&lt;&gt;"",AD42,IF(AC42&lt;&gt;"",AC42,IF(AB42&lt;&gt;"",AB42,""))))&gt;IF(AB42&lt;&gt;"",AB42,IF(AC42&lt;&gt;"",AC42,IF(AD42&lt;&gt;"",AD42,AE42))),"▲",IF(IF(AE42&lt;&gt;"",AE42,IF(AD42&lt;&gt;"",AD42,IF(AC42&lt;&gt;"",AC42,IF(AB42&lt;&gt;"",AB42,""))))&lt;IF(AB42&lt;&gt;"",AB42,IF(AC42&lt;&gt;"",AC42,IF(AD42&lt;&gt;"",AD42,AE42))),"▼","=")))</f>
        <v/>
      </c>
      <c r="H63" s="22">
        <f>AI42</f>
        <v/>
      </c>
      <c r="I63" s="11">
        <f>AJ42</f>
        <v/>
      </c>
      <c r="J63" s="22">
        <f>IF(AL42=1,"À COMMANDER",IF(AA42="","",""))</f>
        <v/>
      </c>
      <c r="AA63" s="11">
        <f>IF(Produits!$A$67="","",Produits!$A$67)</f>
        <v/>
      </c>
      <c r="AB63" s="11">
        <f>IF(ISNUMBER(CHOOSE($Z$3,'Janvier'!E68,'Février'!E68,'Mars'!E68,'Avril'!E68,'Mai'!E68,'Juin'!E68,'Juillet'!E68,'Août'!E68,'Septembre'!E68,'Octobre'!E68,'Novembre'!E68,'Décembre'!E68)),CHOOSE($Z$3,'Janvier'!E68,'Février'!E68,'Mars'!E68,'Avril'!E68,'Mai'!E68,'Juin'!E68,'Juillet'!E68,'Août'!E68,'Septembre'!E68,'Octobre'!E68,'Novembre'!E68,'Décembre'!E68),"")</f>
        <v/>
      </c>
      <c r="AC63" s="11">
        <f>IF(ISNUMBER(CHOOSE($Z$3,'Janvier'!I68,'Février'!I68,'Mars'!I68,'Avril'!I68,'Mai'!I68,'Juin'!I68,'Juillet'!I68,'Août'!I68,'Septembre'!I68,'Octobre'!I68,'Novembre'!I68,'Décembre'!I68)),CHOOSE($Z$3,'Janvier'!I68,'Février'!I68,'Mars'!I68,'Avril'!I68,'Mai'!I68,'Juin'!I68,'Juillet'!I68,'Août'!I68,'Septembre'!I68,'Octobre'!I68,'Novembre'!I68,'Décembre'!I68),"")</f>
        <v/>
      </c>
      <c r="AD63" s="11">
        <f>IF(ISNUMBER(CHOOSE($Z$3,'Janvier'!M68,'Février'!M68,'Mars'!M68,'Avril'!M68,'Mai'!M68,'Juin'!M68,'Juillet'!M68,'Août'!M68,'Septembre'!M68,'Octobre'!M68,'Novembre'!M68,'Décembre'!M68)),CHOOSE($Z$3,'Janvier'!M68,'Février'!M68,'Mars'!M68,'Avril'!M68,'Mai'!M68,'Juin'!M68,'Juillet'!M68,'Août'!M68,'Septembre'!M68,'Octobre'!M68,'Novembre'!M68,'Décembre'!M68),"")</f>
        <v/>
      </c>
      <c r="AE63" s="11">
        <f>IF(ISNUMBER(CHOOSE($Z$3,'Janvier'!Q68,'Février'!Q68,'Mars'!Q68,'Avril'!Q68,'Mai'!Q68,'Juin'!Q68,'Juillet'!Q68,'Août'!Q68,'Septembre'!Q68,'Octobre'!Q68,'Novembre'!Q68,'Décembre'!Q68)),CHOOSE($Z$3,'Janvier'!Q68,'Février'!Q68,'Mars'!Q68,'Avril'!Q68,'Mai'!Q68,'Juin'!Q68,'Juillet'!Q68,'Août'!Q68,'Septembre'!Q68,'Octobre'!Q68,'Novembre'!Q68,'Décembre'!Q68),"")</f>
        <v/>
      </c>
      <c r="AF63" s="11">
        <f>IF(ISNUMBER(CHOOSE($Z$3,'Janvier'!T68,'Février'!T68,'Mars'!T68,'Avril'!T68,'Mai'!T68,'Juin'!T68,'Juillet'!T68,'Août'!T68,'Septembre'!T68,'Octobre'!T68,'Novembre'!T68,'Décembre'!T68)),CHOOSE($Z$3,'Janvier'!T68,'Février'!T68,'Mars'!T68,'Avril'!T68,'Mai'!T68,'Juin'!T68,'Juillet'!T68,'Août'!T68,'Septembre'!T68,'Octobre'!T68,'Novembre'!T68,'Décembre'!T68),"")</f>
        <v/>
      </c>
      <c r="AG63" s="11">
        <f>IF(ISNUMBER(CHOOSE($Z$3,'Janvier'!U68,'Février'!U68,'Mars'!U68,'Avril'!U68,'Mai'!U68,'Juin'!U68,'Juillet'!U68,'Août'!U68,'Septembre'!U68,'Octobre'!U68,'Novembre'!U68,'Décembre'!U68)),CHOOSE($Z$3,'Janvier'!U68,'Février'!U68,'Mars'!U68,'Avril'!U68,'Mai'!U68,'Juin'!U68,'Juillet'!U68,'Août'!U68,'Septembre'!U68,'Octobre'!U68,'Novembre'!U68,'Décembre'!U68),"")</f>
        <v/>
      </c>
      <c r="AH63" s="11">
        <f>IF(ISNUMBER(CHOOSE($Z$3,'Janvier'!V68,'Février'!V68,'Mars'!V68,'Avril'!V68,'Mai'!V68,'Juin'!V68,'Juillet'!V68,'Août'!V68,'Septembre'!V68,'Octobre'!V68,'Novembre'!V68,'Décembre'!V68)),CHOOSE($Z$3,'Janvier'!V68,'Février'!V68,'Mars'!V68,'Avril'!V68,'Mai'!V68,'Juin'!V68,'Juillet'!V68,'Août'!V68,'Septembre'!V68,'Octobre'!V68,'Novembre'!V68,'Décembre'!V68),"")</f>
        <v/>
      </c>
      <c r="AI63" s="11">
        <f>IF(ISNUMBER(CHOOSE($Z$3,'Janvier'!W68,'Février'!W68,'Mars'!W68,'Avril'!W68,'Mai'!W68,'Juin'!W68,'Juillet'!W68,'Août'!W68,'Septembre'!W68,'Octobre'!W68,'Novembre'!W68,'Décembre'!W68)),CHOOSE($Z$3,'Janvier'!W68,'Février'!W68,'Mars'!W68,'Avril'!W68,'Mai'!W68,'Juin'!W68,'Juillet'!W68,'Août'!W68,'Septembre'!W68,'Octobre'!W68,'Novembre'!W68,'Décembre'!W68),"")</f>
        <v/>
      </c>
      <c r="AJ63" s="11">
        <f>IF(Produits!$A$67="","",Produits!$D$67)</f>
        <v/>
      </c>
      <c r="AK63" s="11">
        <f>IF(ISNUMBER(CHOOSE($Z$3,'Janvier'!X68,'Février'!X68,'Mars'!X68,'Avril'!X68,'Mai'!X68,'Juin'!X68,'Juillet'!X68,'Août'!X68,'Septembre'!X68,'Octobre'!X68,'Novembre'!X68,'Décembre'!X68)),CHOOSE($Z$3,'Janvier'!X68,'Février'!X68,'Mars'!X68,'Avril'!X68,'Mai'!X68,'Juin'!X68,'Juillet'!X68,'Août'!X68,'Septembre'!X68,'Octobre'!X68,'Novembre'!X68,'Décembre'!X68),"")</f>
        <v/>
      </c>
      <c r="AL63" s="11">
        <f>IF(AND(ISNUMBER(AI63),ISNUMBER(AJ63)),IF(AI63&lt;=AJ63,1,0),0)</f>
        <v/>
      </c>
      <c r="AM63" s="11">
        <f>IF(OR(AA63="",AK63=""),-1,AK63+ROW()/1000000)</f>
        <v/>
      </c>
    </row>
    <row r="64">
      <c r="A64" s="20">
        <f>AA43</f>
        <v/>
      </c>
      <c r="C64" s="21">
        <f>IF(OR(AB43="",MAX(AB43,AC43,AD43,AE43)=0),"",REPT("█",MAX(1,ROUND(AB43/MAX(AB43,AC43,AD43,AE43)*6,0))))</f>
        <v/>
      </c>
      <c r="D64" s="21">
        <f>IF(OR(AC43="",MAX(AB43,AC43,AD43,AE43)=0),"",REPT("█",MAX(1,ROUND(AC43/MAX(AB43,AC43,AD43,AE43)*6,0))))</f>
        <v/>
      </c>
      <c r="E64" s="21">
        <f>IF(OR(AD43="",MAX(AB43,AC43,AD43,AE43)=0),"",REPT("█",MAX(1,ROUND(AD43/MAX(AB43,AC43,AD43,AE43)*6,0))))</f>
        <v/>
      </c>
      <c r="F64" s="21">
        <f>IF(OR(AE43="",MAX(AB43,AC43,AD43,AE43)=0),"",REPT("█",MAX(1,ROUND(AE43/MAX(AB43,AC43,AD43,AE43)*6,0))))</f>
        <v/>
      </c>
      <c r="G64" s="22">
        <f>IF(COUNT(AB43,AC43,AD43,AE43)&lt;2,"",IF(IF(AE43&lt;&gt;"",AE43,IF(AD43&lt;&gt;"",AD43,IF(AC43&lt;&gt;"",AC43,IF(AB43&lt;&gt;"",AB43,""))))&gt;IF(AB43&lt;&gt;"",AB43,IF(AC43&lt;&gt;"",AC43,IF(AD43&lt;&gt;"",AD43,AE43))),"▲",IF(IF(AE43&lt;&gt;"",AE43,IF(AD43&lt;&gt;"",AD43,IF(AC43&lt;&gt;"",AC43,IF(AB43&lt;&gt;"",AB43,""))))&lt;IF(AB43&lt;&gt;"",AB43,IF(AC43&lt;&gt;"",AC43,IF(AD43&lt;&gt;"",AD43,AE43))),"▼","=")))</f>
        <v/>
      </c>
      <c r="H64" s="22">
        <f>AI43</f>
        <v/>
      </c>
      <c r="I64" s="11">
        <f>AJ43</f>
        <v/>
      </c>
      <c r="J64" s="22">
        <f>IF(AL43=1,"À COMMANDER",IF(AA43="","",""))</f>
        <v/>
      </c>
      <c r="AA64" s="11">
        <f>IF(Produits!$A$68="","",Produits!$A$68)</f>
        <v/>
      </c>
      <c r="AB64" s="11">
        <f>IF(ISNUMBER(CHOOSE($Z$3,'Janvier'!E69,'Février'!E69,'Mars'!E69,'Avril'!E69,'Mai'!E69,'Juin'!E69,'Juillet'!E69,'Août'!E69,'Septembre'!E69,'Octobre'!E69,'Novembre'!E69,'Décembre'!E69)),CHOOSE($Z$3,'Janvier'!E69,'Février'!E69,'Mars'!E69,'Avril'!E69,'Mai'!E69,'Juin'!E69,'Juillet'!E69,'Août'!E69,'Septembre'!E69,'Octobre'!E69,'Novembre'!E69,'Décembre'!E69),"")</f>
        <v/>
      </c>
      <c r="AC64" s="11">
        <f>IF(ISNUMBER(CHOOSE($Z$3,'Janvier'!I69,'Février'!I69,'Mars'!I69,'Avril'!I69,'Mai'!I69,'Juin'!I69,'Juillet'!I69,'Août'!I69,'Septembre'!I69,'Octobre'!I69,'Novembre'!I69,'Décembre'!I69)),CHOOSE($Z$3,'Janvier'!I69,'Février'!I69,'Mars'!I69,'Avril'!I69,'Mai'!I69,'Juin'!I69,'Juillet'!I69,'Août'!I69,'Septembre'!I69,'Octobre'!I69,'Novembre'!I69,'Décembre'!I69),"")</f>
        <v/>
      </c>
      <c r="AD64" s="11">
        <f>IF(ISNUMBER(CHOOSE($Z$3,'Janvier'!M69,'Février'!M69,'Mars'!M69,'Avril'!M69,'Mai'!M69,'Juin'!M69,'Juillet'!M69,'Août'!M69,'Septembre'!M69,'Octobre'!M69,'Novembre'!M69,'Décembre'!M69)),CHOOSE($Z$3,'Janvier'!M69,'Février'!M69,'Mars'!M69,'Avril'!M69,'Mai'!M69,'Juin'!M69,'Juillet'!M69,'Août'!M69,'Septembre'!M69,'Octobre'!M69,'Novembre'!M69,'Décembre'!M69),"")</f>
        <v/>
      </c>
      <c r="AE64" s="11">
        <f>IF(ISNUMBER(CHOOSE($Z$3,'Janvier'!Q69,'Février'!Q69,'Mars'!Q69,'Avril'!Q69,'Mai'!Q69,'Juin'!Q69,'Juillet'!Q69,'Août'!Q69,'Septembre'!Q69,'Octobre'!Q69,'Novembre'!Q69,'Décembre'!Q69)),CHOOSE($Z$3,'Janvier'!Q69,'Février'!Q69,'Mars'!Q69,'Avril'!Q69,'Mai'!Q69,'Juin'!Q69,'Juillet'!Q69,'Août'!Q69,'Septembre'!Q69,'Octobre'!Q69,'Novembre'!Q69,'Décembre'!Q69),"")</f>
        <v/>
      </c>
      <c r="AF64" s="11">
        <f>IF(ISNUMBER(CHOOSE($Z$3,'Janvier'!T69,'Février'!T69,'Mars'!T69,'Avril'!T69,'Mai'!T69,'Juin'!T69,'Juillet'!T69,'Août'!T69,'Septembre'!T69,'Octobre'!T69,'Novembre'!T69,'Décembre'!T69)),CHOOSE($Z$3,'Janvier'!T69,'Février'!T69,'Mars'!T69,'Avril'!T69,'Mai'!T69,'Juin'!T69,'Juillet'!T69,'Août'!T69,'Septembre'!T69,'Octobre'!T69,'Novembre'!T69,'Décembre'!T69),"")</f>
        <v/>
      </c>
      <c r="AG64" s="11">
        <f>IF(ISNUMBER(CHOOSE($Z$3,'Janvier'!U69,'Février'!U69,'Mars'!U69,'Avril'!U69,'Mai'!U69,'Juin'!U69,'Juillet'!U69,'Août'!U69,'Septembre'!U69,'Octobre'!U69,'Novembre'!U69,'Décembre'!U69)),CHOOSE($Z$3,'Janvier'!U69,'Février'!U69,'Mars'!U69,'Avril'!U69,'Mai'!U69,'Juin'!U69,'Juillet'!U69,'Août'!U69,'Septembre'!U69,'Octobre'!U69,'Novembre'!U69,'Décembre'!U69),"")</f>
        <v/>
      </c>
      <c r="AH64" s="11">
        <f>IF(ISNUMBER(CHOOSE($Z$3,'Janvier'!V69,'Février'!V69,'Mars'!V69,'Avril'!V69,'Mai'!V69,'Juin'!V69,'Juillet'!V69,'Août'!V69,'Septembre'!V69,'Octobre'!V69,'Novembre'!V69,'Décembre'!V69)),CHOOSE($Z$3,'Janvier'!V69,'Février'!V69,'Mars'!V69,'Avril'!V69,'Mai'!V69,'Juin'!V69,'Juillet'!V69,'Août'!V69,'Septembre'!V69,'Octobre'!V69,'Novembre'!V69,'Décembre'!V69),"")</f>
        <v/>
      </c>
      <c r="AI64" s="11">
        <f>IF(ISNUMBER(CHOOSE($Z$3,'Janvier'!W69,'Février'!W69,'Mars'!W69,'Avril'!W69,'Mai'!W69,'Juin'!W69,'Juillet'!W69,'Août'!W69,'Septembre'!W69,'Octobre'!W69,'Novembre'!W69,'Décembre'!W69)),CHOOSE($Z$3,'Janvier'!W69,'Février'!W69,'Mars'!W69,'Avril'!W69,'Mai'!W69,'Juin'!W69,'Juillet'!W69,'Août'!W69,'Septembre'!W69,'Octobre'!W69,'Novembre'!W69,'Décembre'!W69),"")</f>
        <v/>
      </c>
      <c r="AJ64" s="11">
        <f>IF(Produits!$A$68="","",Produits!$D$68)</f>
        <v/>
      </c>
      <c r="AK64" s="11">
        <f>IF(ISNUMBER(CHOOSE($Z$3,'Janvier'!X69,'Février'!X69,'Mars'!X69,'Avril'!X69,'Mai'!X69,'Juin'!X69,'Juillet'!X69,'Août'!X69,'Septembre'!X69,'Octobre'!X69,'Novembre'!X69,'Décembre'!X69)),CHOOSE($Z$3,'Janvier'!X69,'Février'!X69,'Mars'!X69,'Avril'!X69,'Mai'!X69,'Juin'!X69,'Juillet'!X69,'Août'!X69,'Septembre'!X69,'Octobre'!X69,'Novembre'!X69,'Décembre'!X69),"")</f>
        <v/>
      </c>
      <c r="AL64" s="11">
        <f>IF(AND(ISNUMBER(AI64),ISNUMBER(AJ64)),IF(AI64&lt;=AJ64,1,0),0)</f>
        <v/>
      </c>
      <c r="AM64" s="11">
        <f>IF(OR(AA64="",AK64=""),-1,AK64+ROW()/1000000)</f>
        <v/>
      </c>
    </row>
    <row r="65">
      <c r="A65" s="20">
        <f>AA44</f>
        <v/>
      </c>
      <c r="C65" s="21">
        <f>IF(OR(AB44="",MAX(AB44,AC44,AD44,AE44)=0),"",REPT("█",MAX(1,ROUND(AB44/MAX(AB44,AC44,AD44,AE44)*6,0))))</f>
        <v/>
      </c>
      <c r="D65" s="21">
        <f>IF(OR(AC44="",MAX(AB44,AC44,AD44,AE44)=0),"",REPT("█",MAX(1,ROUND(AC44/MAX(AB44,AC44,AD44,AE44)*6,0))))</f>
        <v/>
      </c>
      <c r="E65" s="21">
        <f>IF(OR(AD44="",MAX(AB44,AC44,AD44,AE44)=0),"",REPT("█",MAX(1,ROUND(AD44/MAX(AB44,AC44,AD44,AE44)*6,0))))</f>
        <v/>
      </c>
      <c r="F65" s="21">
        <f>IF(OR(AE44="",MAX(AB44,AC44,AD44,AE44)=0),"",REPT("█",MAX(1,ROUND(AE44/MAX(AB44,AC44,AD44,AE44)*6,0))))</f>
        <v/>
      </c>
      <c r="G65" s="22">
        <f>IF(COUNT(AB44,AC44,AD44,AE44)&lt;2,"",IF(IF(AE44&lt;&gt;"",AE44,IF(AD44&lt;&gt;"",AD44,IF(AC44&lt;&gt;"",AC44,IF(AB44&lt;&gt;"",AB44,""))))&gt;IF(AB44&lt;&gt;"",AB44,IF(AC44&lt;&gt;"",AC44,IF(AD44&lt;&gt;"",AD44,AE44))),"▲",IF(IF(AE44&lt;&gt;"",AE44,IF(AD44&lt;&gt;"",AD44,IF(AC44&lt;&gt;"",AC44,IF(AB44&lt;&gt;"",AB44,""))))&lt;IF(AB44&lt;&gt;"",AB44,IF(AC44&lt;&gt;"",AC44,IF(AD44&lt;&gt;"",AD44,AE44))),"▼","=")))</f>
        <v/>
      </c>
      <c r="H65" s="22">
        <f>AI44</f>
        <v/>
      </c>
      <c r="I65" s="11">
        <f>AJ44</f>
        <v/>
      </c>
      <c r="J65" s="22">
        <f>IF(AL44=1,"À COMMANDER",IF(AA44="","",""))</f>
        <v/>
      </c>
    </row>
    <row r="66">
      <c r="A66" s="20">
        <f>AA45</f>
        <v/>
      </c>
      <c r="C66" s="21">
        <f>IF(OR(AB45="",MAX(AB45,AC45,AD45,AE45)=0),"",REPT("█",MAX(1,ROUND(AB45/MAX(AB45,AC45,AD45,AE45)*6,0))))</f>
        <v/>
      </c>
      <c r="D66" s="21">
        <f>IF(OR(AC45="",MAX(AB45,AC45,AD45,AE45)=0),"",REPT("█",MAX(1,ROUND(AC45/MAX(AB45,AC45,AD45,AE45)*6,0))))</f>
        <v/>
      </c>
      <c r="E66" s="21">
        <f>IF(OR(AD45="",MAX(AB45,AC45,AD45,AE45)=0),"",REPT("█",MAX(1,ROUND(AD45/MAX(AB45,AC45,AD45,AE45)*6,0))))</f>
        <v/>
      </c>
      <c r="F66" s="21">
        <f>IF(OR(AE45="",MAX(AB45,AC45,AD45,AE45)=0),"",REPT("█",MAX(1,ROUND(AE45/MAX(AB45,AC45,AD45,AE45)*6,0))))</f>
        <v/>
      </c>
      <c r="G66" s="22">
        <f>IF(COUNT(AB45,AC45,AD45,AE45)&lt;2,"",IF(IF(AE45&lt;&gt;"",AE45,IF(AD45&lt;&gt;"",AD45,IF(AC45&lt;&gt;"",AC45,IF(AB45&lt;&gt;"",AB45,""))))&gt;IF(AB45&lt;&gt;"",AB45,IF(AC45&lt;&gt;"",AC45,IF(AD45&lt;&gt;"",AD45,AE45))),"▲",IF(IF(AE45&lt;&gt;"",AE45,IF(AD45&lt;&gt;"",AD45,IF(AC45&lt;&gt;"",AC45,IF(AB45&lt;&gt;"",AB45,""))))&lt;IF(AB45&lt;&gt;"",AB45,IF(AC45&lt;&gt;"",AC45,IF(AD45&lt;&gt;"",AD45,AE45))),"▼","=")))</f>
        <v/>
      </c>
      <c r="H66" s="22">
        <f>AI45</f>
        <v/>
      </c>
      <c r="I66" s="11">
        <f>AJ45</f>
        <v/>
      </c>
      <c r="J66" s="22">
        <f>IF(AL45=1,"À COMMANDER",IF(AA45="","",""))</f>
        <v/>
      </c>
    </row>
    <row r="67">
      <c r="A67" s="20">
        <f>AA46</f>
        <v/>
      </c>
      <c r="C67" s="21">
        <f>IF(OR(AB46="",MAX(AB46,AC46,AD46,AE46)=0),"",REPT("█",MAX(1,ROUND(AB46/MAX(AB46,AC46,AD46,AE46)*6,0))))</f>
        <v/>
      </c>
      <c r="D67" s="21">
        <f>IF(OR(AC46="",MAX(AB46,AC46,AD46,AE46)=0),"",REPT("█",MAX(1,ROUND(AC46/MAX(AB46,AC46,AD46,AE46)*6,0))))</f>
        <v/>
      </c>
      <c r="E67" s="21">
        <f>IF(OR(AD46="",MAX(AB46,AC46,AD46,AE46)=0),"",REPT("█",MAX(1,ROUND(AD46/MAX(AB46,AC46,AD46,AE46)*6,0))))</f>
        <v/>
      </c>
      <c r="F67" s="21">
        <f>IF(OR(AE46="",MAX(AB46,AC46,AD46,AE46)=0),"",REPT("█",MAX(1,ROUND(AE46/MAX(AB46,AC46,AD46,AE46)*6,0))))</f>
        <v/>
      </c>
      <c r="G67" s="22">
        <f>IF(COUNT(AB46,AC46,AD46,AE46)&lt;2,"",IF(IF(AE46&lt;&gt;"",AE46,IF(AD46&lt;&gt;"",AD46,IF(AC46&lt;&gt;"",AC46,IF(AB46&lt;&gt;"",AB46,""))))&gt;IF(AB46&lt;&gt;"",AB46,IF(AC46&lt;&gt;"",AC46,IF(AD46&lt;&gt;"",AD46,AE46))),"▲",IF(IF(AE46&lt;&gt;"",AE46,IF(AD46&lt;&gt;"",AD46,IF(AC46&lt;&gt;"",AC46,IF(AB46&lt;&gt;"",AB46,""))))&lt;IF(AB46&lt;&gt;"",AB46,IF(AC46&lt;&gt;"",AC46,IF(AD46&lt;&gt;"",AD46,AE46))),"▼","=")))</f>
        <v/>
      </c>
      <c r="H67" s="22">
        <f>AI46</f>
        <v/>
      </c>
      <c r="I67" s="11">
        <f>AJ46</f>
        <v/>
      </c>
      <c r="J67" s="22">
        <f>IF(AL46=1,"À COMMANDER",IF(AA46="","",""))</f>
        <v/>
      </c>
    </row>
    <row r="68">
      <c r="A68" s="20">
        <f>AA47</f>
        <v/>
      </c>
      <c r="C68" s="21">
        <f>IF(OR(AB47="",MAX(AB47,AC47,AD47,AE47)=0),"",REPT("█",MAX(1,ROUND(AB47/MAX(AB47,AC47,AD47,AE47)*6,0))))</f>
        <v/>
      </c>
      <c r="D68" s="21">
        <f>IF(OR(AC47="",MAX(AB47,AC47,AD47,AE47)=0),"",REPT("█",MAX(1,ROUND(AC47/MAX(AB47,AC47,AD47,AE47)*6,0))))</f>
        <v/>
      </c>
      <c r="E68" s="21">
        <f>IF(OR(AD47="",MAX(AB47,AC47,AD47,AE47)=0),"",REPT("█",MAX(1,ROUND(AD47/MAX(AB47,AC47,AD47,AE47)*6,0))))</f>
        <v/>
      </c>
      <c r="F68" s="21">
        <f>IF(OR(AE47="",MAX(AB47,AC47,AD47,AE47)=0),"",REPT("█",MAX(1,ROUND(AE47/MAX(AB47,AC47,AD47,AE47)*6,0))))</f>
        <v/>
      </c>
      <c r="G68" s="22">
        <f>IF(COUNT(AB47,AC47,AD47,AE47)&lt;2,"",IF(IF(AE47&lt;&gt;"",AE47,IF(AD47&lt;&gt;"",AD47,IF(AC47&lt;&gt;"",AC47,IF(AB47&lt;&gt;"",AB47,""))))&gt;IF(AB47&lt;&gt;"",AB47,IF(AC47&lt;&gt;"",AC47,IF(AD47&lt;&gt;"",AD47,AE47))),"▲",IF(IF(AE47&lt;&gt;"",AE47,IF(AD47&lt;&gt;"",AD47,IF(AC47&lt;&gt;"",AC47,IF(AB47&lt;&gt;"",AB47,""))))&lt;IF(AB47&lt;&gt;"",AB47,IF(AC47&lt;&gt;"",AC47,IF(AD47&lt;&gt;"",AD47,AE47))),"▼","=")))</f>
        <v/>
      </c>
      <c r="H68" s="22">
        <f>AI47</f>
        <v/>
      </c>
      <c r="I68" s="11">
        <f>AJ47</f>
        <v/>
      </c>
      <c r="J68" s="22">
        <f>IF(AL47=1,"À COMMANDER",IF(AA47="","",""))</f>
        <v/>
      </c>
    </row>
    <row r="69">
      <c r="A69" s="20">
        <f>AA48</f>
        <v/>
      </c>
      <c r="C69" s="21">
        <f>IF(OR(AB48="",MAX(AB48,AC48,AD48,AE48)=0),"",REPT("█",MAX(1,ROUND(AB48/MAX(AB48,AC48,AD48,AE48)*6,0))))</f>
        <v/>
      </c>
      <c r="D69" s="21">
        <f>IF(OR(AC48="",MAX(AB48,AC48,AD48,AE48)=0),"",REPT("█",MAX(1,ROUND(AC48/MAX(AB48,AC48,AD48,AE48)*6,0))))</f>
        <v/>
      </c>
      <c r="E69" s="21">
        <f>IF(OR(AD48="",MAX(AB48,AC48,AD48,AE48)=0),"",REPT("█",MAX(1,ROUND(AD48/MAX(AB48,AC48,AD48,AE48)*6,0))))</f>
        <v/>
      </c>
      <c r="F69" s="21">
        <f>IF(OR(AE48="",MAX(AB48,AC48,AD48,AE48)=0),"",REPT("█",MAX(1,ROUND(AE48/MAX(AB48,AC48,AD48,AE48)*6,0))))</f>
        <v/>
      </c>
      <c r="G69" s="22">
        <f>IF(COUNT(AB48,AC48,AD48,AE48)&lt;2,"",IF(IF(AE48&lt;&gt;"",AE48,IF(AD48&lt;&gt;"",AD48,IF(AC48&lt;&gt;"",AC48,IF(AB48&lt;&gt;"",AB48,""))))&gt;IF(AB48&lt;&gt;"",AB48,IF(AC48&lt;&gt;"",AC48,IF(AD48&lt;&gt;"",AD48,AE48))),"▲",IF(IF(AE48&lt;&gt;"",AE48,IF(AD48&lt;&gt;"",AD48,IF(AC48&lt;&gt;"",AC48,IF(AB48&lt;&gt;"",AB48,""))))&lt;IF(AB48&lt;&gt;"",AB48,IF(AC48&lt;&gt;"",AC48,IF(AD48&lt;&gt;"",AD48,AE48))),"▼","=")))</f>
        <v/>
      </c>
      <c r="H69" s="22">
        <f>AI48</f>
        <v/>
      </c>
      <c r="I69" s="11">
        <f>AJ48</f>
        <v/>
      </c>
      <c r="J69" s="22">
        <f>IF(AL48=1,"À COMMANDER",IF(AA48="","",""))</f>
        <v/>
      </c>
    </row>
    <row r="70">
      <c r="A70" s="20">
        <f>AA49</f>
        <v/>
      </c>
      <c r="C70" s="21">
        <f>IF(OR(AB49="",MAX(AB49,AC49,AD49,AE49)=0),"",REPT("█",MAX(1,ROUND(AB49/MAX(AB49,AC49,AD49,AE49)*6,0))))</f>
        <v/>
      </c>
      <c r="D70" s="21">
        <f>IF(OR(AC49="",MAX(AB49,AC49,AD49,AE49)=0),"",REPT("█",MAX(1,ROUND(AC49/MAX(AB49,AC49,AD49,AE49)*6,0))))</f>
        <v/>
      </c>
      <c r="E70" s="21">
        <f>IF(OR(AD49="",MAX(AB49,AC49,AD49,AE49)=0),"",REPT("█",MAX(1,ROUND(AD49/MAX(AB49,AC49,AD49,AE49)*6,0))))</f>
        <v/>
      </c>
      <c r="F70" s="21">
        <f>IF(OR(AE49="",MAX(AB49,AC49,AD49,AE49)=0),"",REPT("█",MAX(1,ROUND(AE49/MAX(AB49,AC49,AD49,AE49)*6,0))))</f>
        <v/>
      </c>
      <c r="G70" s="22">
        <f>IF(COUNT(AB49,AC49,AD49,AE49)&lt;2,"",IF(IF(AE49&lt;&gt;"",AE49,IF(AD49&lt;&gt;"",AD49,IF(AC49&lt;&gt;"",AC49,IF(AB49&lt;&gt;"",AB49,""))))&gt;IF(AB49&lt;&gt;"",AB49,IF(AC49&lt;&gt;"",AC49,IF(AD49&lt;&gt;"",AD49,AE49))),"▲",IF(IF(AE49&lt;&gt;"",AE49,IF(AD49&lt;&gt;"",AD49,IF(AC49&lt;&gt;"",AC49,IF(AB49&lt;&gt;"",AB49,""))))&lt;IF(AB49&lt;&gt;"",AB49,IF(AC49&lt;&gt;"",AC49,IF(AD49&lt;&gt;"",AD49,AE49))),"▼","=")))</f>
        <v/>
      </c>
      <c r="H70" s="22">
        <f>AI49</f>
        <v/>
      </c>
      <c r="I70" s="11">
        <f>AJ49</f>
        <v/>
      </c>
      <c r="J70" s="22">
        <f>IF(AL49=1,"À COMMANDER",IF(AA49="","",""))</f>
        <v/>
      </c>
    </row>
    <row r="71">
      <c r="A71" s="20">
        <f>AA50</f>
        <v/>
      </c>
      <c r="C71" s="21">
        <f>IF(OR(AB50="",MAX(AB50,AC50,AD50,AE50)=0),"",REPT("█",MAX(1,ROUND(AB50/MAX(AB50,AC50,AD50,AE50)*6,0))))</f>
        <v/>
      </c>
      <c r="D71" s="21">
        <f>IF(OR(AC50="",MAX(AB50,AC50,AD50,AE50)=0),"",REPT("█",MAX(1,ROUND(AC50/MAX(AB50,AC50,AD50,AE50)*6,0))))</f>
        <v/>
      </c>
      <c r="E71" s="21">
        <f>IF(OR(AD50="",MAX(AB50,AC50,AD50,AE50)=0),"",REPT("█",MAX(1,ROUND(AD50/MAX(AB50,AC50,AD50,AE50)*6,0))))</f>
        <v/>
      </c>
      <c r="F71" s="21">
        <f>IF(OR(AE50="",MAX(AB50,AC50,AD50,AE50)=0),"",REPT("█",MAX(1,ROUND(AE50/MAX(AB50,AC50,AD50,AE50)*6,0))))</f>
        <v/>
      </c>
      <c r="G71" s="22">
        <f>IF(COUNT(AB50,AC50,AD50,AE50)&lt;2,"",IF(IF(AE50&lt;&gt;"",AE50,IF(AD50&lt;&gt;"",AD50,IF(AC50&lt;&gt;"",AC50,IF(AB50&lt;&gt;"",AB50,""))))&gt;IF(AB50&lt;&gt;"",AB50,IF(AC50&lt;&gt;"",AC50,IF(AD50&lt;&gt;"",AD50,AE50))),"▲",IF(IF(AE50&lt;&gt;"",AE50,IF(AD50&lt;&gt;"",AD50,IF(AC50&lt;&gt;"",AC50,IF(AB50&lt;&gt;"",AB50,""))))&lt;IF(AB50&lt;&gt;"",AB50,IF(AC50&lt;&gt;"",AC50,IF(AD50&lt;&gt;"",AD50,AE50))),"▼","=")))</f>
        <v/>
      </c>
      <c r="H71" s="22">
        <f>AI50</f>
        <v/>
      </c>
      <c r="I71" s="11">
        <f>AJ50</f>
        <v/>
      </c>
      <c r="J71" s="22">
        <f>IF(AL50=1,"À COMMANDER",IF(AA50="","",""))</f>
        <v/>
      </c>
    </row>
    <row r="72">
      <c r="A72" s="20">
        <f>AA51</f>
        <v/>
      </c>
      <c r="C72" s="21">
        <f>IF(OR(AB51="",MAX(AB51,AC51,AD51,AE51)=0),"",REPT("█",MAX(1,ROUND(AB51/MAX(AB51,AC51,AD51,AE51)*6,0))))</f>
        <v/>
      </c>
      <c r="D72" s="21">
        <f>IF(OR(AC51="",MAX(AB51,AC51,AD51,AE51)=0),"",REPT("█",MAX(1,ROUND(AC51/MAX(AB51,AC51,AD51,AE51)*6,0))))</f>
        <v/>
      </c>
      <c r="E72" s="21">
        <f>IF(OR(AD51="",MAX(AB51,AC51,AD51,AE51)=0),"",REPT("█",MAX(1,ROUND(AD51/MAX(AB51,AC51,AD51,AE51)*6,0))))</f>
        <v/>
      </c>
      <c r="F72" s="21">
        <f>IF(OR(AE51="",MAX(AB51,AC51,AD51,AE51)=0),"",REPT("█",MAX(1,ROUND(AE51/MAX(AB51,AC51,AD51,AE51)*6,0))))</f>
        <v/>
      </c>
      <c r="G72" s="22">
        <f>IF(COUNT(AB51,AC51,AD51,AE51)&lt;2,"",IF(IF(AE51&lt;&gt;"",AE51,IF(AD51&lt;&gt;"",AD51,IF(AC51&lt;&gt;"",AC51,IF(AB51&lt;&gt;"",AB51,""))))&gt;IF(AB51&lt;&gt;"",AB51,IF(AC51&lt;&gt;"",AC51,IF(AD51&lt;&gt;"",AD51,AE51))),"▲",IF(IF(AE51&lt;&gt;"",AE51,IF(AD51&lt;&gt;"",AD51,IF(AC51&lt;&gt;"",AC51,IF(AB51&lt;&gt;"",AB51,""))))&lt;IF(AB51&lt;&gt;"",AB51,IF(AC51&lt;&gt;"",AC51,IF(AD51&lt;&gt;"",AD51,AE51))),"▼","=")))</f>
        <v/>
      </c>
      <c r="H72" s="22">
        <f>AI51</f>
        <v/>
      </c>
      <c r="I72" s="11">
        <f>AJ51</f>
        <v/>
      </c>
      <c r="J72" s="22">
        <f>IF(AL51=1,"À COMMANDER",IF(AA51="","",""))</f>
        <v/>
      </c>
    </row>
    <row r="73">
      <c r="A73" s="20">
        <f>AA52</f>
        <v/>
      </c>
      <c r="C73" s="21">
        <f>IF(OR(AB52="",MAX(AB52,AC52,AD52,AE52)=0),"",REPT("█",MAX(1,ROUND(AB52/MAX(AB52,AC52,AD52,AE52)*6,0))))</f>
        <v/>
      </c>
      <c r="D73" s="21">
        <f>IF(OR(AC52="",MAX(AB52,AC52,AD52,AE52)=0),"",REPT("█",MAX(1,ROUND(AC52/MAX(AB52,AC52,AD52,AE52)*6,0))))</f>
        <v/>
      </c>
      <c r="E73" s="21">
        <f>IF(OR(AD52="",MAX(AB52,AC52,AD52,AE52)=0),"",REPT("█",MAX(1,ROUND(AD52/MAX(AB52,AC52,AD52,AE52)*6,0))))</f>
        <v/>
      </c>
      <c r="F73" s="21">
        <f>IF(OR(AE52="",MAX(AB52,AC52,AD52,AE52)=0),"",REPT("█",MAX(1,ROUND(AE52/MAX(AB52,AC52,AD52,AE52)*6,0))))</f>
        <v/>
      </c>
      <c r="G73" s="22">
        <f>IF(COUNT(AB52,AC52,AD52,AE52)&lt;2,"",IF(IF(AE52&lt;&gt;"",AE52,IF(AD52&lt;&gt;"",AD52,IF(AC52&lt;&gt;"",AC52,IF(AB52&lt;&gt;"",AB52,""))))&gt;IF(AB52&lt;&gt;"",AB52,IF(AC52&lt;&gt;"",AC52,IF(AD52&lt;&gt;"",AD52,AE52))),"▲",IF(IF(AE52&lt;&gt;"",AE52,IF(AD52&lt;&gt;"",AD52,IF(AC52&lt;&gt;"",AC52,IF(AB52&lt;&gt;"",AB52,""))))&lt;IF(AB52&lt;&gt;"",AB52,IF(AC52&lt;&gt;"",AC52,IF(AD52&lt;&gt;"",AD52,AE52))),"▼","=")))</f>
        <v/>
      </c>
      <c r="H73" s="22">
        <f>AI52</f>
        <v/>
      </c>
      <c r="I73" s="11">
        <f>AJ52</f>
        <v/>
      </c>
      <c r="J73" s="22">
        <f>IF(AL52=1,"À COMMANDER",IF(AA52="","",""))</f>
        <v/>
      </c>
    </row>
    <row r="74">
      <c r="A74" s="20">
        <f>AA53</f>
        <v/>
      </c>
      <c r="C74" s="21">
        <f>IF(OR(AB53="",MAX(AB53,AC53,AD53,AE53)=0),"",REPT("█",MAX(1,ROUND(AB53/MAX(AB53,AC53,AD53,AE53)*6,0))))</f>
        <v/>
      </c>
      <c r="D74" s="21">
        <f>IF(OR(AC53="",MAX(AB53,AC53,AD53,AE53)=0),"",REPT("█",MAX(1,ROUND(AC53/MAX(AB53,AC53,AD53,AE53)*6,0))))</f>
        <v/>
      </c>
      <c r="E74" s="21">
        <f>IF(OR(AD53="",MAX(AB53,AC53,AD53,AE53)=0),"",REPT("█",MAX(1,ROUND(AD53/MAX(AB53,AC53,AD53,AE53)*6,0))))</f>
        <v/>
      </c>
      <c r="F74" s="21">
        <f>IF(OR(AE53="",MAX(AB53,AC53,AD53,AE53)=0),"",REPT("█",MAX(1,ROUND(AE53/MAX(AB53,AC53,AD53,AE53)*6,0))))</f>
        <v/>
      </c>
      <c r="G74" s="22">
        <f>IF(COUNT(AB53,AC53,AD53,AE53)&lt;2,"",IF(IF(AE53&lt;&gt;"",AE53,IF(AD53&lt;&gt;"",AD53,IF(AC53&lt;&gt;"",AC53,IF(AB53&lt;&gt;"",AB53,""))))&gt;IF(AB53&lt;&gt;"",AB53,IF(AC53&lt;&gt;"",AC53,IF(AD53&lt;&gt;"",AD53,AE53))),"▲",IF(IF(AE53&lt;&gt;"",AE53,IF(AD53&lt;&gt;"",AD53,IF(AC53&lt;&gt;"",AC53,IF(AB53&lt;&gt;"",AB53,""))))&lt;IF(AB53&lt;&gt;"",AB53,IF(AC53&lt;&gt;"",AC53,IF(AD53&lt;&gt;"",AD53,AE53))),"▼","=")))</f>
        <v/>
      </c>
      <c r="H74" s="22">
        <f>AI53</f>
        <v/>
      </c>
      <c r="I74" s="11">
        <f>AJ53</f>
        <v/>
      </c>
      <c r="J74" s="22">
        <f>IF(AL53=1,"À COMMANDER",IF(AA53="","",""))</f>
        <v/>
      </c>
    </row>
    <row r="75">
      <c r="A75" s="20">
        <f>AA54</f>
        <v/>
      </c>
      <c r="C75" s="21">
        <f>IF(OR(AB54="",MAX(AB54,AC54,AD54,AE54)=0),"",REPT("█",MAX(1,ROUND(AB54/MAX(AB54,AC54,AD54,AE54)*6,0))))</f>
        <v/>
      </c>
      <c r="D75" s="21">
        <f>IF(OR(AC54="",MAX(AB54,AC54,AD54,AE54)=0),"",REPT("█",MAX(1,ROUND(AC54/MAX(AB54,AC54,AD54,AE54)*6,0))))</f>
        <v/>
      </c>
      <c r="E75" s="21">
        <f>IF(OR(AD54="",MAX(AB54,AC54,AD54,AE54)=0),"",REPT("█",MAX(1,ROUND(AD54/MAX(AB54,AC54,AD54,AE54)*6,0))))</f>
        <v/>
      </c>
      <c r="F75" s="21">
        <f>IF(OR(AE54="",MAX(AB54,AC54,AD54,AE54)=0),"",REPT("█",MAX(1,ROUND(AE54/MAX(AB54,AC54,AD54,AE54)*6,0))))</f>
        <v/>
      </c>
      <c r="G75" s="22">
        <f>IF(COUNT(AB54,AC54,AD54,AE54)&lt;2,"",IF(IF(AE54&lt;&gt;"",AE54,IF(AD54&lt;&gt;"",AD54,IF(AC54&lt;&gt;"",AC54,IF(AB54&lt;&gt;"",AB54,""))))&gt;IF(AB54&lt;&gt;"",AB54,IF(AC54&lt;&gt;"",AC54,IF(AD54&lt;&gt;"",AD54,AE54))),"▲",IF(IF(AE54&lt;&gt;"",AE54,IF(AD54&lt;&gt;"",AD54,IF(AC54&lt;&gt;"",AC54,IF(AB54&lt;&gt;"",AB54,""))))&lt;IF(AB54&lt;&gt;"",AB54,IF(AC54&lt;&gt;"",AC54,IF(AD54&lt;&gt;"",AD54,AE54))),"▼","=")))</f>
        <v/>
      </c>
      <c r="H75" s="22">
        <f>AI54</f>
        <v/>
      </c>
      <c r="I75" s="11">
        <f>AJ54</f>
        <v/>
      </c>
      <c r="J75" s="22">
        <f>IF(AL54=1,"À COMMANDER",IF(AA54="","",""))</f>
        <v/>
      </c>
    </row>
    <row r="76">
      <c r="A76" s="20">
        <f>AA55</f>
        <v/>
      </c>
      <c r="C76" s="21">
        <f>IF(OR(AB55="",MAX(AB55,AC55,AD55,AE55)=0),"",REPT("█",MAX(1,ROUND(AB55/MAX(AB55,AC55,AD55,AE55)*6,0))))</f>
        <v/>
      </c>
      <c r="D76" s="21">
        <f>IF(OR(AC55="",MAX(AB55,AC55,AD55,AE55)=0),"",REPT("█",MAX(1,ROUND(AC55/MAX(AB55,AC55,AD55,AE55)*6,0))))</f>
        <v/>
      </c>
      <c r="E76" s="21">
        <f>IF(OR(AD55="",MAX(AB55,AC55,AD55,AE55)=0),"",REPT("█",MAX(1,ROUND(AD55/MAX(AB55,AC55,AD55,AE55)*6,0))))</f>
        <v/>
      </c>
      <c r="F76" s="21">
        <f>IF(OR(AE55="",MAX(AB55,AC55,AD55,AE55)=0),"",REPT("█",MAX(1,ROUND(AE55/MAX(AB55,AC55,AD55,AE55)*6,0))))</f>
        <v/>
      </c>
      <c r="G76" s="22">
        <f>IF(COUNT(AB55,AC55,AD55,AE55)&lt;2,"",IF(IF(AE55&lt;&gt;"",AE55,IF(AD55&lt;&gt;"",AD55,IF(AC55&lt;&gt;"",AC55,IF(AB55&lt;&gt;"",AB55,""))))&gt;IF(AB55&lt;&gt;"",AB55,IF(AC55&lt;&gt;"",AC55,IF(AD55&lt;&gt;"",AD55,AE55))),"▲",IF(IF(AE55&lt;&gt;"",AE55,IF(AD55&lt;&gt;"",AD55,IF(AC55&lt;&gt;"",AC55,IF(AB55&lt;&gt;"",AB55,""))))&lt;IF(AB55&lt;&gt;"",AB55,IF(AC55&lt;&gt;"",AC55,IF(AD55&lt;&gt;"",AD55,AE55))),"▼","=")))</f>
        <v/>
      </c>
      <c r="H76" s="22">
        <f>AI55</f>
        <v/>
      </c>
      <c r="I76" s="11">
        <f>AJ55</f>
        <v/>
      </c>
      <c r="J76" s="22">
        <f>IF(AL55=1,"À COMMANDER",IF(AA55="","",""))</f>
        <v/>
      </c>
    </row>
    <row r="77">
      <c r="A77" s="20">
        <f>AA56</f>
        <v/>
      </c>
      <c r="C77" s="21">
        <f>IF(OR(AB56="",MAX(AB56,AC56,AD56,AE56)=0),"",REPT("█",MAX(1,ROUND(AB56/MAX(AB56,AC56,AD56,AE56)*6,0))))</f>
        <v/>
      </c>
      <c r="D77" s="21">
        <f>IF(OR(AC56="",MAX(AB56,AC56,AD56,AE56)=0),"",REPT("█",MAX(1,ROUND(AC56/MAX(AB56,AC56,AD56,AE56)*6,0))))</f>
        <v/>
      </c>
      <c r="E77" s="21">
        <f>IF(OR(AD56="",MAX(AB56,AC56,AD56,AE56)=0),"",REPT("█",MAX(1,ROUND(AD56/MAX(AB56,AC56,AD56,AE56)*6,0))))</f>
        <v/>
      </c>
      <c r="F77" s="21">
        <f>IF(OR(AE56="",MAX(AB56,AC56,AD56,AE56)=0),"",REPT("█",MAX(1,ROUND(AE56/MAX(AB56,AC56,AD56,AE56)*6,0))))</f>
        <v/>
      </c>
      <c r="G77" s="22">
        <f>IF(COUNT(AB56,AC56,AD56,AE56)&lt;2,"",IF(IF(AE56&lt;&gt;"",AE56,IF(AD56&lt;&gt;"",AD56,IF(AC56&lt;&gt;"",AC56,IF(AB56&lt;&gt;"",AB56,""))))&gt;IF(AB56&lt;&gt;"",AB56,IF(AC56&lt;&gt;"",AC56,IF(AD56&lt;&gt;"",AD56,AE56))),"▲",IF(IF(AE56&lt;&gt;"",AE56,IF(AD56&lt;&gt;"",AD56,IF(AC56&lt;&gt;"",AC56,IF(AB56&lt;&gt;"",AB56,""))))&lt;IF(AB56&lt;&gt;"",AB56,IF(AC56&lt;&gt;"",AC56,IF(AD56&lt;&gt;"",AD56,AE56))),"▼","=")))</f>
        <v/>
      </c>
      <c r="H77" s="22">
        <f>AI56</f>
        <v/>
      </c>
      <c r="I77" s="11">
        <f>AJ56</f>
        <v/>
      </c>
      <c r="J77" s="22">
        <f>IF(AL56=1,"À COMMANDER",IF(AA56="","",""))</f>
        <v/>
      </c>
    </row>
    <row r="78">
      <c r="A78" s="20">
        <f>AA57</f>
        <v/>
      </c>
      <c r="C78" s="21">
        <f>IF(OR(AB57="",MAX(AB57,AC57,AD57,AE57)=0),"",REPT("█",MAX(1,ROUND(AB57/MAX(AB57,AC57,AD57,AE57)*6,0))))</f>
        <v/>
      </c>
      <c r="D78" s="21">
        <f>IF(OR(AC57="",MAX(AB57,AC57,AD57,AE57)=0),"",REPT("█",MAX(1,ROUND(AC57/MAX(AB57,AC57,AD57,AE57)*6,0))))</f>
        <v/>
      </c>
      <c r="E78" s="21">
        <f>IF(OR(AD57="",MAX(AB57,AC57,AD57,AE57)=0),"",REPT("█",MAX(1,ROUND(AD57/MAX(AB57,AC57,AD57,AE57)*6,0))))</f>
        <v/>
      </c>
      <c r="F78" s="21">
        <f>IF(OR(AE57="",MAX(AB57,AC57,AD57,AE57)=0),"",REPT("█",MAX(1,ROUND(AE57/MAX(AB57,AC57,AD57,AE57)*6,0))))</f>
        <v/>
      </c>
      <c r="G78" s="22">
        <f>IF(COUNT(AB57,AC57,AD57,AE57)&lt;2,"",IF(IF(AE57&lt;&gt;"",AE57,IF(AD57&lt;&gt;"",AD57,IF(AC57&lt;&gt;"",AC57,IF(AB57&lt;&gt;"",AB57,""))))&gt;IF(AB57&lt;&gt;"",AB57,IF(AC57&lt;&gt;"",AC57,IF(AD57&lt;&gt;"",AD57,AE57))),"▲",IF(IF(AE57&lt;&gt;"",AE57,IF(AD57&lt;&gt;"",AD57,IF(AC57&lt;&gt;"",AC57,IF(AB57&lt;&gt;"",AB57,""))))&lt;IF(AB57&lt;&gt;"",AB57,IF(AC57&lt;&gt;"",AC57,IF(AD57&lt;&gt;"",AD57,AE57))),"▼","=")))</f>
        <v/>
      </c>
      <c r="H78" s="22">
        <f>AI57</f>
        <v/>
      </c>
      <c r="I78" s="11">
        <f>AJ57</f>
        <v/>
      </c>
      <c r="J78" s="22">
        <f>IF(AL57=1,"À COMMANDER",IF(AA57="","",""))</f>
        <v/>
      </c>
    </row>
    <row r="79">
      <c r="A79" s="20">
        <f>AA58</f>
        <v/>
      </c>
      <c r="C79" s="21">
        <f>IF(OR(AB58="",MAX(AB58,AC58,AD58,AE58)=0),"",REPT("█",MAX(1,ROUND(AB58/MAX(AB58,AC58,AD58,AE58)*6,0))))</f>
        <v/>
      </c>
      <c r="D79" s="21">
        <f>IF(OR(AC58="",MAX(AB58,AC58,AD58,AE58)=0),"",REPT("█",MAX(1,ROUND(AC58/MAX(AB58,AC58,AD58,AE58)*6,0))))</f>
        <v/>
      </c>
      <c r="E79" s="21">
        <f>IF(OR(AD58="",MAX(AB58,AC58,AD58,AE58)=0),"",REPT("█",MAX(1,ROUND(AD58/MAX(AB58,AC58,AD58,AE58)*6,0))))</f>
        <v/>
      </c>
      <c r="F79" s="21">
        <f>IF(OR(AE58="",MAX(AB58,AC58,AD58,AE58)=0),"",REPT("█",MAX(1,ROUND(AE58/MAX(AB58,AC58,AD58,AE58)*6,0))))</f>
        <v/>
      </c>
      <c r="G79" s="22">
        <f>IF(COUNT(AB58,AC58,AD58,AE58)&lt;2,"",IF(IF(AE58&lt;&gt;"",AE58,IF(AD58&lt;&gt;"",AD58,IF(AC58&lt;&gt;"",AC58,IF(AB58&lt;&gt;"",AB58,""))))&gt;IF(AB58&lt;&gt;"",AB58,IF(AC58&lt;&gt;"",AC58,IF(AD58&lt;&gt;"",AD58,AE58))),"▲",IF(IF(AE58&lt;&gt;"",AE58,IF(AD58&lt;&gt;"",AD58,IF(AC58&lt;&gt;"",AC58,IF(AB58&lt;&gt;"",AB58,""))))&lt;IF(AB58&lt;&gt;"",AB58,IF(AC58&lt;&gt;"",AC58,IF(AD58&lt;&gt;"",AD58,AE58))),"▼","=")))</f>
        <v/>
      </c>
      <c r="H79" s="22">
        <f>AI58</f>
        <v/>
      </c>
      <c r="I79" s="11">
        <f>AJ58</f>
        <v/>
      </c>
      <c r="J79" s="22">
        <f>IF(AL58=1,"À COMMANDER",IF(AA58="","",""))</f>
        <v/>
      </c>
    </row>
    <row r="80">
      <c r="A80" s="20">
        <f>AA59</f>
        <v/>
      </c>
      <c r="C80" s="21">
        <f>IF(OR(AB59="",MAX(AB59,AC59,AD59,AE59)=0),"",REPT("█",MAX(1,ROUND(AB59/MAX(AB59,AC59,AD59,AE59)*6,0))))</f>
        <v/>
      </c>
      <c r="D80" s="21">
        <f>IF(OR(AC59="",MAX(AB59,AC59,AD59,AE59)=0),"",REPT("█",MAX(1,ROUND(AC59/MAX(AB59,AC59,AD59,AE59)*6,0))))</f>
        <v/>
      </c>
      <c r="E80" s="21">
        <f>IF(OR(AD59="",MAX(AB59,AC59,AD59,AE59)=0),"",REPT("█",MAX(1,ROUND(AD59/MAX(AB59,AC59,AD59,AE59)*6,0))))</f>
        <v/>
      </c>
      <c r="F80" s="21">
        <f>IF(OR(AE59="",MAX(AB59,AC59,AD59,AE59)=0),"",REPT("█",MAX(1,ROUND(AE59/MAX(AB59,AC59,AD59,AE59)*6,0))))</f>
        <v/>
      </c>
      <c r="G80" s="22">
        <f>IF(COUNT(AB59,AC59,AD59,AE59)&lt;2,"",IF(IF(AE59&lt;&gt;"",AE59,IF(AD59&lt;&gt;"",AD59,IF(AC59&lt;&gt;"",AC59,IF(AB59&lt;&gt;"",AB59,""))))&gt;IF(AB59&lt;&gt;"",AB59,IF(AC59&lt;&gt;"",AC59,IF(AD59&lt;&gt;"",AD59,AE59))),"▲",IF(IF(AE59&lt;&gt;"",AE59,IF(AD59&lt;&gt;"",AD59,IF(AC59&lt;&gt;"",AC59,IF(AB59&lt;&gt;"",AB59,""))))&lt;IF(AB59&lt;&gt;"",AB59,IF(AC59&lt;&gt;"",AC59,IF(AD59&lt;&gt;"",AD59,AE59))),"▼","=")))</f>
        <v/>
      </c>
      <c r="H80" s="22">
        <f>AI59</f>
        <v/>
      </c>
      <c r="I80" s="11">
        <f>AJ59</f>
        <v/>
      </c>
      <c r="J80" s="22">
        <f>IF(AL59=1,"À COMMANDER",IF(AA59="","",""))</f>
        <v/>
      </c>
    </row>
    <row r="81">
      <c r="A81" s="20">
        <f>AA60</f>
        <v/>
      </c>
      <c r="C81" s="21">
        <f>IF(OR(AB60="",MAX(AB60,AC60,AD60,AE60)=0),"",REPT("█",MAX(1,ROUND(AB60/MAX(AB60,AC60,AD60,AE60)*6,0))))</f>
        <v/>
      </c>
      <c r="D81" s="21">
        <f>IF(OR(AC60="",MAX(AB60,AC60,AD60,AE60)=0),"",REPT("█",MAX(1,ROUND(AC60/MAX(AB60,AC60,AD60,AE60)*6,0))))</f>
        <v/>
      </c>
      <c r="E81" s="21">
        <f>IF(OR(AD60="",MAX(AB60,AC60,AD60,AE60)=0),"",REPT("█",MAX(1,ROUND(AD60/MAX(AB60,AC60,AD60,AE60)*6,0))))</f>
        <v/>
      </c>
      <c r="F81" s="21">
        <f>IF(OR(AE60="",MAX(AB60,AC60,AD60,AE60)=0),"",REPT("█",MAX(1,ROUND(AE60/MAX(AB60,AC60,AD60,AE60)*6,0))))</f>
        <v/>
      </c>
      <c r="G81" s="22">
        <f>IF(COUNT(AB60,AC60,AD60,AE60)&lt;2,"",IF(IF(AE60&lt;&gt;"",AE60,IF(AD60&lt;&gt;"",AD60,IF(AC60&lt;&gt;"",AC60,IF(AB60&lt;&gt;"",AB60,""))))&gt;IF(AB60&lt;&gt;"",AB60,IF(AC60&lt;&gt;"",AC60,IF(AD60&lt;&gt;"",AD60,AE60))),"▲",IF(IF(AE60&lt;&gt;"",AE60,IF(AD60&lt;&gt;"",AD60,IF(AC60&lt;&gt;"",AC60,IF(AB60&lt;&gt;"",AB60,""))))&lt;IF(AB60&lt;&gt;"",AB60,IF(AC60&lt;&gt;"",AC60,IF(AD60&lt;&gt;"",AD60,AE60))),"▼","=")))</f>
        <v/>
      </c>
      <c r="H81" s="22">
        <f>AI60</f>
        <v/>
      </c>
      <c r="I81" s="11">
        <f>AJ60</f>
        <v/>
      </c>
      <c r="J81" s="22">
        <f>IF(AL60=1,"À COMMANDER",IF(AA60="","",""))</f>
        <v/>
      </c>
    </row>
    <row r="82">
      <c r="A82" s="20">
        <f>AA61</f>
        <v/>
      </c>
      <c r="C82" s="21">
        <f>IF(OR(AB61="",MAX(AB61,AC61,AD61,AE61)=0),"",REPT("█",MAX(1,ROUND(AB61/MAX(AB61,AC61,AD61,AE61)*6,0))))</f>
        <v/>
      </c>
      <c r="D82" s="21">
        <f>IF(OR(AC61="",MAX(AB61,AC61,AD61,AE61)=0),"",REPT("█",MAX(1,ROUND(AC61/MAX(AB61,AC61,AD61,AE61)*6,0))))</f>
        <v/>
      </c>
      <c r="E82" s="21">
        <f>IF(OR(AD61="",MAX(AB61,AC61,AD61,AE61)=0),"",REPT("█",MAX(1,ROUND(AD61/MAX(AB61,AC61,AD61,AE61)*6,0))))</f>
        <v/>
      </c>
      <c r="F82" s="21">
        <f>IF(OR(AE61="",MAX(AB61,AC61,AD61,AE61)=0),"",REPT("█",MAX(1,ROUND(AE61/MAX(AB61,AC61,AD61,AE61)*6,0))))</f>
        <v/>
      </c>
      <c r="G82" s="22">
        <f>IF(COUNT(AB61,AC61,AD61,AE61)&lt;2,"",IF(IF(AE61&lt;&gt;"",AE61,IF(AD61&lt;&gt;"",AD61,IF(AC61&lt;&gt;"",AC61,IF(AB61&lt;&gt;"",AB61,""))))&gt;IF(AB61&lt;&gt;"",AB61,IF(AC61&lt;&gt;"",AC61,IF(AD61&lt;&gt;"",AD61,AE61))),"▲",IF(IF(AE61&lt;&gt;"",AE61,IF(AD61&lt;&gt;"",AD61,IF(AC61&lt;&gt;"",AC61,IF(AB61&lt;&gt;"",AB61,""))))&lt;IF(AB61&lt;&gt;"",AB61,IF(AC61&lt;&gt;"",AC61,IF(AD61&lt;&gt;"",AD61,AE61))),"▼","=")))</f>
        <v/>
      </c>
      <c r="H82" s="22">
        <f>AI61</f>
        <v/>
      </c>
      <c r="I82" s="11">
        <f>AJ61</f>
        <v/>
      </c>
      <c r="J82" s="22">
        <f>IF(AL61=1,"À COMMANDER",IF(AA61="","",""))</f>
        <v/>
      </c>
    </row>
    <row r="83">
      <c r="A83" s="20">
        <f>AA62</f>
        <v/>
      </c>
      <c r="C83" s="21">
        <f>IF(OR(AB62="",MAX(AB62,AC62,AD62,AE62)=0),"",REPT("█",MAX(1,ROUND(AB62/MAX(AB62,AC62,AD62,AE62)*6,0))))</f>
        <v/>
      </c>
      <c r="D83" s="21">
        <f>IF(OR(AC62="",MAX(AB62,AC62,AD62,AE62)=0),"",REPT("█",MAX(1,ROUND(AC62/MAX(AB62,AC62,AD62,AE62)*6,0))))</f>
        <v/>
      </c>
      <c r="E83" s="21">
        <f>IF(OR(AD62="",MAX(AB62,AC62,AD62,AE62)=0),"",REPT("█",MAX(1,ROUND(AD62/MAX(AB62,AC62,AD62,AE62)*6,0))))</f>
        <v/>
      </c>
      <c r="F83" s="21">
        <f>IF(OR(AE62="",MAX(AB62,AC62,AD62,AE62)=0),"",REPT("█",MAX(1,ROUND(AE62/MAX(AB62,AC62,AD62,AE62)*6,0))))</f>
        <v/>
      </c>
      <c r="G83" s="22">
        <f>IF(COUNT(AB62,AC62,AD62,AE62)&lt;2,"",IF(IF(AE62&lt;&gt;"",AE62,IF(AD62&lt;&gt;"",AD62,IF(AC62&lt;&gt;"",AC62,IF(AB62&lt;&gt;"",AB62,""))))&gt;IF(AB62&lt;&gt;"",AB62,IF(AC62&lt;&gt;"",AC62,IF(AD62&lt;&gt;"",AD62,AE62))),"▲",IF(IF(AE62&lt;&gt;"",AE62,IF(AD62&lt;&gt;"",AD62,IF(AC62&lt;&gt;"",AC62,IF(AB62&lt;&gt;"",AB62,""))))&lt;IF(AB62&lt;&gt;"",AB62,IF(AC62&lt;&gt;"",AC62,IF(AD62&lt;&gt;"",AD62,AE62))),"▼","=")))</f>
        <v/>
      </c>
      <c r="H83" s="22">
        <f>AI62</f>
        <v/>
      </c>
      <c r="I83" s="11">
        <f>AJ62</f>
        <v/>
      </c>
      <c r="J83" s="22">
        <f>IF(AL62=1,"À COMMANDER",IF(AA62="","",""))</f>
        <v/>
      </c>
    </row>
    <row r="84">
      <c r="A84" s="20">
        <f>AA63</f>
        <v/>
      </c>
      <c r="C84" s="21">
        <f>IF(OR(AB63="",MAX(AB63,AC63,AD63,AE63)=0),"",REPT("█",MAX(1,ROUND(AB63/MAX(AB63,AC63,AD63,AE63)*6,0))))</f>
        <v/>
      </c>
      <c r="D84" s="21">
        <f>IF(OR(AC63="",MAX(AB63,AC63,AD63,AE63)=0),"",REPT("█",MAX(1,ROUND(AC63/MAX(AB63,AC63,AD63,AE63)*6,0))))</f>
        <v/>
      </c>
      <c r="E84" s="21">
        <f>IF(OR(AD63="",MAX(AB63,AC63,AD63,AE63)=0),"",REPT("█",MAX(1,ROUND(AD63/MAX(AB63,AC63,AD63,AE63)*6,0))))</f>
        <v/>
      </c>
      <c r="F84" s="21">
        <f>IF(OR(AE63="",MAX(AB63,AC63,AD63,AE63)=0),"",REPT("█",MAX(1,ROUND(AE63/MAX(AB63,AC63,AD63,AE63)*6,0))))</f>
        <v/>
      </c>
      <c r="G84" s="22">
        <f>IF(COUNT(AB63,AC63,AD63,AE63)&lt;2,"",IF(IF(AE63&lt;&gt;"",AE63,IF(AD63&lt;&gt;"",AD63,IF(AC63&lt;&gt;"",AC63,IF(AB63&lt;&gt;"",AB63,""))))&gt;IF(AB63&lt;&gt;"",AB63,IF(AC63&lt;&gt;"",AC63,IF(AD63&lt;&gt;"",AD63,AE63))),"▲",IF(IF(AE63&lt;&gt;"",AE63,IF(AD63&lt;&gt;"",AD63,IF(AC63&lt;&gt;"",AC63,IF(AB63&lt;&gt;"",AB63,""))))&lt;IF(AB63&lt;&gt;"",AB63,IF(AC63&lt;&gt;"",AC63,IF(AD63&lt;&gt;"",AD63,AE63))),"▼","=")))</f>
        <v/>
      </c>
      <c r="H84" s="22">
        <f>AI63</f>
        <v/>
      </c>
      <c r="I84" s="11">
        <f>AJ63</f>
        <v/>
      </c>
      <c r="J84" s="22">
        <f>IF(AL63=1,"À COMMANDER",IF(AA63="","",""))</f>
        <v/>
      </c>
    </row>
    <row r="85">
      <c r="A85" s="20">
        <f>AA64</f>
        <v/>
      </c>
      <c r="C85" s="21">
        <f>IF(OR(AB64="",MAX(AB64,AC64,AD64,AE64)=0),"",REPT("█",MAX(1,ROUND(AB64/MAX(AB64,AC64,AD64,AE64)*6,0))))</f>
        <v/>
      </c>
      <c r="D85" s="21">
        <f>IF(OR(AC64="",MAX(AB64,AC64,AD64,AE64)=0),"",REPT("█",MAX(1,ROUND(AC64/MAX(AB64,AC64,AD64,AE64)*6,0))))</f>
        <v/>
      </c>
      <c r="E85" s="21">
        <f>IF(OR(AD64="",MAX(AB64,AC64,AD64,AE64)=0),"",REPT("█",MAX(1,ROUND(AD64/MAX(AB64,AC64,AD64,AE64)*6,0))))</f>
        <v/>
      </c>
      <c r="F85" s="21">
        <f>IF(OR(AE64="",MAX(AB64,AC64,AD64,AE64)=0),"",REPT("█",MAX(1,ROUND(AE64/MAX(AB64,AC64,AD64,AE64)*6,0))))</f>
        <v/>
      </c>
      <c r="G85" s="22">
        <f>IF(COUNT(AB64,AC64,AD64,AE64)&lt;2,"",IF(IF(AE64&lt;&gt;"",AE64,IF(AD64&lt;&gt;"",AD64,IF(AC64&lt;&gt;"",AC64,IF(AB64&lt;&gt;"",AB64,""))))&gt;IF(AB64&lt;&gt;"",AB64,IF(AC64&lt;&gt;"",AC64,IF(AD64&lt;&gt;"",AD64,AE64))),"▲",IF(IF(AE64&lt;&gt;"",AE64,IF(AD64&lt;&gt;"",AD64,IF(AC64&lt;&gt;"",AC64,IF(AB64&lt;&gt;"",AB64,""))))&lt;IF(AB64&lt;&gt;"",AB64,IF(AC64&lt;&gt;"",AC64,IF(AD64&lt;&gt;"",AD64,AE64))),"▼","=")))</f>
        <v/>
      </c>
      <c r="H85" s="22">
        <f>AI64</f>
        <v/>
      </c>
      <c r="I85" s="11">
        <f>AJ64</f>
        <v/>
      </c>
      <c r="J85" s="22">
        <f>IF(AL64=1,"À COMMANDER",IF(AA64="","",""))</f>
        <v/>
      </c>
    </row>
  </sheetData>
  <mergeCells count="141">
    <mergeCell ref="J82:K82"/>
    <mergeCell ref="A64:B64"/>
    <mergeCell ref="A73:B73"/>
    <mergeCell ref="A51:B51"/>
    <mergeCell ref="J28:K28"/>
    <mergeCell ref="J59:K59"/>
    <mergeCell ref="A70:B70"/>
    <mergeCell ref="J60:K60"/>
    <mergeCell ref="B12:C12"/>
    <mergeCell ref="B21:C21"/>
    <mergeCell ref="A54:B54"/>
    <mergeCell ref="J68:K68"/>
    <mergeCell ref="A41:B41"/>
    <mergeCell ref="J53:K53"/>
    <mergeCell ref="B14:C14"/>
    <mergeCell ref="J45:K45"/>
    <mergeCell ref="A74:B74"/>
    <mergeCell ref="A56:B56"/>
    <mergeCell ref="A27:B27"/>
    <mergeCell ref="B13:C13"/>
    <mergeCell ref="A76:B76"/>
    <mergeCell ref="A33:B33"/>
    <mergeCell ref="A85:B85"/>
    <mergeCell ref="A42:B42"/>
    <mergeCell ref="J31:K31"/>
    <mergeCell ref="A53:B53"/>
    <mergeCell ref="A35:B35"/>
    <mergeCell ref="A62:B62"/>
    <mergeCell ref="A68:B68"/>
    <mergeCell ref="J62:K62"/>
    <mergeCell ref="A28:B28"/>
    <mergeCell ref="A6:B7"/>
    <mergeCell ref="J71:K71"/>
    <mergeCell ref="J58:K58"/>
    <mergeCell ref="A39:B39"/>
    <mergeCell ref="A48:B48"/>
    <mergeCell ref="J64:K64"/>
    <mergeCell ref="A30:B30"/>
    <mergeCell ref="B16:C16"/>
    <mergeCell ref="J73:K73"/>
    <mergeCell ref="E6:F7"/>
    <mergeCell ref="A59:B59"/>
    <mergeCell ref="G6:H7"/>
    <mergeCell ref="C5:D5"/>
    <mergeCell ref="A45:B45"/>
    <mergeCell ref="E5:F5"/>
    <mergeCell ref="J57:K57"/>
    <mergeCell ref="B18:C18"/>
    <mergeCell ref="A79:B79"/>
    <mergeCell ref="A61:B61"/>
    <mergeCell ref="J77:K77"/>
    <mergeCell ref="J34:K34"/>
    <mergeCell ref="B11:C11"/>
    <mergeCell ref="A37:B37"/>
    <mergeCell ref="A46:B46"/>
    <mergeCell ref="J49:K49"/>
    <mergeCell ref="J27:K27"/>
    <mergeCell ref="J83:K83"/>
    <mergeCell ref="J36:K36"/>
    <mergeCell ref="A26:B26"/>
    <mergeCell ref="J85:K85"/>
    <mergeCell ref="A71:B71"/>
    <mergeCell ref="J75:K75"/>
    <mergeCell ref="B15:C15"/>
    <mergeCell ref="A52:B52"/>
    <mergeCell ref="J46:K46"/>
    <mergeCell ref="A63:B63"/>
    <mergeCell ref="J51:K51"/>
    <mergeCell ref="J61:K61"/>
    <mergeCell ref="J48:K48"/>
    <mergeCell ref="A34:B34"/>
    <mergeCell ref="A77:B77"/>
    <mergeCell ref="A83:B83"/>
    <mergeCell ref="J29:K29"/>
    <mergeCell ref="J81:K81"/>
    <mergeCell ref="J38:K38"/>
    <mergeCell ref="A49:B49"/>
    <mergeCell ref="A36:B36"/>
    <mergeCell ref="J40:K40"/>
    <mergeCell ref="A69:B69"/>
    <mergeCell ref="A78:B78"/>
    <mergeCell ref="A65:B65"/>
    <mergeCell ref="A75:B75"/>
    <mergeCell ref="J65:K65"/>
    <mergeCell ref="A80:B80"/>
    <mergeCell ref="B17:C17"/>
    <mergeCell ref="J74:K74"/>
    <mergeCell ref="J26:K26"/>
    <mergeCell ref="A55:B55"/>
    <mergeCell ref="J35:K35"/>
    <mergeCell ref="C6:D7"/>
    <mergeCell ref="A57:B57"/>
    <mergeCell ref="B19:C19"/>
    <mergeCell ref="A5:B5"/>
    <mergeCell ref="J25:K25"/>
    <mergeCell ref="A32:B32"/>
    <mergeCell ref="J66:K66"/>
    <mergeCell ref="A38:B38"/>
    <mergeCell ref="J50:K50"/>
    <mergeCell ref="A43:B43"/>
    <mergeCell ref="B20:C20"/>
    <mergeCell ref="J42:K42"/>
    <mergeCell ref="A40:B40"/>
    <mergeCell ref="A67:B67"/>
    <mergeCell ref="J52:K52"/>
    <mergeCell ref="J39:K39"/>
    <mergeCell ref="J44:K44"/>
    <mergeCell ref="J67:K67"/>
    <mergeCell ref="A82:B82"/>
    <mergeCell ref="A60:B60"/>
    <mergeCell ref="J72:K72"/>
    <mergeCell ref="J37:K37"/>
    <mergeCell ref="J69:K69"/>
    <mergeCell ref="J84:K84"/>
    <mergeCell ref="J78:K78"/>
    <mergeCell ref="J30:K30"/>
    <mergeCell ref="A25:B25"/>
    <mergeCell ref="A84:B84"/>
    <mergeCell ref="J80:K80"/>
    <mergeCell ref="A66:B66"/>
    <mergeCell ref="J55:K55"/>
    <mergeCell ref="A50:B50"/>
    <mergeCell ref="J70:K70"/>
    <mergeCell ref="J79:K79"/>
    <mergeCell ref="J54:K54"/>
    <mergeCell ref="J32:K32"/>
    <mergeCell ref="A47:B47"/>
    <mergeCell ref="J63:K63"/>
    <mergeCell ref="G5:H5"/>
    <mergeCell ref="J41:K41"/>
    <mergeCell ref="J47:K47"/>
    <mergeCell ref="J56:K56"/>
    <mergeCell ref="J43:K43"/>
    <mergeCell ref="A29:B29"/>
    <mergeCell ref="A72:B72"/>
    <mergeCell ref="A81:B81"/>
    <mergeCell ref="J76:K76"/>
    <mergeCell ref="J33:K33"/>
    <mergeCell ref="A44:B44"/>
    <mergeCell ref="A31:B31"/>
    <mergeCell ref="A58:B58"/>
  </mergeCells>
  <conditionalFormatting sqref="C6">
    <cfRule type="expression" priority="1" dxfId="0">
      <formula>C6&gt;0</formula>
    </cfRule>
  </conditionalFormatting>
  <conditionalFormatting sqref="E6">
    <cfRule type="expression" priority="2" dxfId="1">
      <formula>E6&gt;0</formula>
    </cfRule>
  </conditionalFormatting>
  <conditionalFormatting sqref="G26:G85">
    <cfRule type="expression" priority="3" dxfId="2">
      <formula>G26="▼"</formula>
    </cfRule>
    <cfRule type="expression" priority="4" dxfId="3">
      <formula>G26="▲"</formula>
    </cfRule>
  </conditionalFormatting>
  <conditionalFormatting sqref="J26:J85">
    <cfRule type="expression" priority="5" dxfId="1">
      <formula>J26="À COMMANDER"</formula>
    </cfRule>
  </conditionalFormatting>
  <dataValidations count="1">
    <dataValidation sqref="B3" showDropDown="0" showInputMessage="0" showErrorMessage="0" allowBlank="0" type="list">
      <formula1>"Janvier,Février,Mars,Avril,Mai,Juin,Juillet,Août,Septembre,Octobre,Novembre,Décembre"</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68"/>
  <sheetViews>
    <sheetView showGridLines="0" workbookViewId="0">
      <pane ySplit="4" topLeftCell="A5" activePane="bottomLeft" state="frozen"/>
      <selection pane="bottomLeft" activeCell="A1" sqref="A1"/>
    </sheetView>
  </sheetViews>
  <sheetFormatPr baseColWidth="8" defaultRowHeight="15"/>
  <cols>
    <col width="26" customWidth="1" min="1" max="1"/>
    <col width="21" customWidth="1" min="2" max="2"/>
    <col width="9" customWidth="1" min="3" max="3"/>
    <col width="15" customWidth="1" min="4" max="4"/>
    <col width="16" customWidth="1" min="5" max="5"/>
    <col hidden="1" width="13" customWidth="1" min="7" max="7"/>
    <col hidden="1" width="13" customWidth="1" min="8" max="8"/>
  </cols>
  <sheetData>
    <row r="1" ht="26" customHeight="1">
      <c r="A1" s="1" t="inlineStr">
        <is>
          <t>Mes produits</t>
        </is>
      </c>
    </row>
    <row r="2">
      <c r="A2" s="2" t="inlineStr">
        <is>
          <t>Une ligne par produit, dans sa zone de rangement. Tout le fichier se remplit à partir d'ici.</t>
        </is>
      </c>
    </row>
    <row r="3">
      <c r="A3" s="2" t="inlineStr">
        <is>
          <t>Prix unitaire : à écrire une seule fois, le tableau de bord le réutilise chaque mois. À changer seulement si le fournisseur change son tarif.</t>
        </is>
      </c>
    </row>
    <row r="4">
      <c r="A4" s="15" t="inlineStr">
        <is>
          <t>Produit</t>
        </is>
      </c>
      <c r="B4" s="15" t="inlineStr">
        <is>
          <t>Fournisseur habituel</t>
        </is>
      </c>
      <c r="C4" s="15" t="inlineStr">
        <is>
          <t>Unité</t>
        </is>
      </c>
      <c r="D4" s="15" t="inlineStr">
        <is>
          <t>Stock minimum</t>
        </is>
      </c>
      <c r="E4" s="15" t="inlineStr">
        <is>
          <t>Prix unitaire (€)</t>
        </is>
      </c>
      <c r="G4" s="8" t="inlineStr">
        <is>
          <t>Liste</t>
        </is>
      </c>
      <c r="H4" s="8" t="inlineStr">
        <is>
          <t>Unité</t>
        </is>
      </c>
    </row>
    <row r="5" ht="20" customHeight="1">
      <c r="A5" s="23" t="inlineStr">
        <is>
          <t>RÉSERVE SÈCHE</t>
        </is>
      </c>
      <c r="B5" s="10" t="n"/>
      <c r="C5" s="10" t="n"/>
      <c r="D5" s="10" t="n"/>
      <c r="E5" s="10" t="n"/>
      <c r="G5" s="24">
        <f>IF(A6="","",A6)</f>
        <v/>
      </c>
      <c r="H5" s="24">
        <f>IF(A6="","",C6)</f>
        <v/>
      </c>
    </row>
    <row r="6">
      <c r="A6" s="25" t="inlineStr">
        <is>
          <t>Farine T55</t>
        </is>
      </c>
      <c r="B6" s="25" t="inlineStr">
        <is>
          <t>Promo Cash</t>
        </is>
      </c>
      <c r="C6" s="26" t="inlineStr">
        <is>
          <t>kg</t>
        </is>
      </c>
      <c r="D6" s="26" t="n">
        <v>5</v>
      </c>
      <c r="E6" s="27" t="n">
        <v>0.9</v>
      </c>
      <c r="G6" s="24">
        <f>IF(A7="","",A7)</f>
        <v/>
      </c>
      <c r="H6" s="24">
        <f>IF(A7="","",C7)</f>
        <v/>
      </c>
    </row>
    <row r="7">
      <c r="A7" s="25" t="inlineStr">
        <is>
          <t>Farine T45</t>
        </is>
      </c>
      <c r="B7" s="25" t="inlineStr">
        <is>
          <t>Promo Cash</t>
        </is>
      </c>
      <c r="C7" s="26" t="inlineStr">
        <is>
          <t>kg</t>
        </is>
      </c>
      <c r="D7" s="26" t="n">
        <v>3</v>
      </c>
      <c r="E7" s="27" t="n">
        <v>1.1</v>
      </c>
      <c r="G7" s="24">
        <f>IF(A8="","",A8)</f>
        <v/>
      </c>
      <c r="H7" s="24">
        <f>IF(A8="","",C8)</f>
        <v/>
      </c>
    </row>
    <row r="8">
      <c r="A8" s="25" t="inlineStr">
        <is>
          <t>Sucre semoule</t>
        </is>
      </c>
      <c r="B8" s="25" t="inlineStr">
        <is>
          <t>Promo Cash</t>
        </is>
      </c>
      <c r="C8" s="26" t="inlineStr">
        <is>
          <t>kg</t>
        </is>
      </c>
      <c r="D8" s="26" t="n">
        <v>5</v>
      </c>
      <c r="E8" s="27" t="n">
        <v>1.2</v>
      </c>
      <c r="G8" s="24">
        <f>IF(A9="","",A9)</f>
        <v/>
      </c>
      <c r="H8" s="24">
        <f>IF(A9="","",C9)</f>
        <v/>
      </c>
    </row>
    <row r="9">
      <c r="A9" s="25" t="inlineStr">
        <is>
          <t>Sucre roux</t>
        </is>
      </c>
      <c r="B9" s="25" t="inlineStr">
        <is>
          <t>Promo Cash</t>
        </is>
      </c>
      <c r="C9" s="26" t="inlineStr">
        <is>
          <t>kg</t>
        </is>
      </c>
      <c r="D9" s="26" t="n">
        <v>2</v>
      </c>
      <c r="E9" s="27" t="n">
        <v>1.8</v>
      </c>
      <c r="G9" s="24">
        <f>IF(A10="","",A10)</f>
        <v/>
      </c>
      <c r="H9" s="24">
        <f>IF(A10="","",C10)</f>
        <v/>
      </c>
    </row>
    <row r="10">
      <c r="A10" s="25" t="inlineStr">
        <is>
          <t>Cannelle</t>
        </is>
      </c>
      <c r="B10" s="25" t="inlineStr">
        <is>
          <t>Promo Cash</t>
        </is>
      </c>
      <c r="C10" s="26" t="inlineStr">
        <is>
          <t>kg</t>
        </is>
      </c>
      <c r="D10" s="26" t="n">
        <v>0.2</v>
      </c>
      <c r="E10" s="27" t="n">
        <v>12</v>
      </c>
      <c r="G10" s="24">
        <f>IF(A11="","",A11)</f>
        <v/>
      </c>
      <c r="H10" s="24">
        <f>IF(A11="","",C11)</f>
        <v/>
      </c>
    </row>
    <row r="11">
      <c r="A11" s="25" t="inlineStr">
        <is>
          <t>Vanille liquide</t>
        </is>
      </c>
      <c r="B11" s="25" t="inlineStr">
        <is>
          <t>A et M</t>
        </is>
      </c>
      <c r="C11" s="26" t="inlineStr">
        <is>
          <t>L</t>
        </is>
      </c>
      <c r="D11" s="26" t="n">
        <v>0.5</v>
      </c>
      <c r="E11" s="27" t="n">
        <v>25</v>
      </c>
      <c r="G11" s="24">
        <f>IF(A12="","",A12)</f>
        <v/>
      </c>
      <c r="H11" s="24">
        <f>IF(A12="","",C12)</f>
        <v/>
      </c>
    </row>
    <row r="12">
      <c r="A12" s="25" t="inlineStr">
        <is>
          <t>Sel</t>
        </is>
      </c>
      <c r="B12" s="25" t="inlineStr">
        <is>
          <t>Promo Cash</t>
        </is>
      </c>
      <c r="C12" s="26" t="inlineStr">
        <is>
          <t>kg</t>
        </is>
      </c>
      <c r="D12" s="26" t="n">
        <v>1</v>
      </c>
      <c r="E12" s="27" t="n">
        <v>0.8</v>
      </c>
      <c r="G12" s="24">
        <f>IF(A13="","",A13)</f>
        <v/>
      </c>
      <c r="H12" s="24">
        <f>IF(A13="","",C13)</f>
        <v/>
      </c>
    </row>
    <row r="13">
      <c r="A13" s="25" t="inlineStr">
        <is>
          <t>Maïzena</t>
        </is>
      </c>
      <c r="B13" s="25" t="inlineStr">
        <is>
          <t>Promo Cash</t>
        </is>
      </c>
      <c r="C13" s="26" t="inlineStr">
        <is>
          <t>kg</t>
        </is>
      </c>
      <c r="D13" s="26" t="n">
        <v>1</v>
      </c>
      <c r="E13" s="27" t="n">
        <v>2.5</v>
      </c>
      <c r="G13" s="24">
        <f>IF(A14="","",A14)</f>
        <v/>
      </c>
      <c r="H13" s="24">
        <f>IF(A14="","",C14)</f>
        <v/>
      </c>
    </row>
    <row r="14">
      <c r="A14" s="25" t="inlineStr">
        <is>
          <t>Kinder Bueno</t>
        </is>
      </c>
      <c r="B14" s="25" t="inlineStr">
        <is>
          <t>Promo Cash</t>
        </is>
      </c>
      <c r="C14" s="26" t="inlineStr">
        <is>
          <t>paquet</t>
        </is>
      </c>
      <c r="D14" s="26" t="n">
        <v>2</v>
      </c>
      <c r="E14" s="27" t="n">
        <v>4</v>
      </c>
      <c r="G14" s="24">
        <f>IF(A15="","",A15)</f>
        <v/>
      </c>
      <c r="H14" s="24">
        <f>IF(A15="","",C15)</f>
        <v/>
      </c>
    </row>
    <row r="15">
      <c r="A15" s="25" t="inlineStr">
        <is>
          <t>Pistache</t>
        </is>
      </c>
      <c r="B15" s="25" t="inlineStr">
        <is>
          <t>A et M</t>
        </is>
      </c>
      <c r="C15" s="26" t="inlineStr">
        <is>
          <t>kg</t>
        </is>
      </c>
      <c r="D15" s="26" t="n">
        <v>1</v>
      </c>
      <c r="E15" s="27" t="n">
        <v>28</v>
      </c>
      <c r="G15" s="24">
        <f>IF(A16="","",A16)</f>
        <v/>
      </c>
      <c r="H15" s="24">
        <f>IF(A16="","",C16)</f>
        <v/>
      </c>
    </row>
    <row r="16">
      <c r="A16" s="25" t="inlineStr">
        <is>
          <t>Nutella</t>
        </is>
      </c>
      <c r="B16" s="25" t="inlineStr">
        <is>
          <t>A et M</t>
        </is>
      </c>
      <c r="C16" s="26" t="inlineStr">
        <is>
          <t>kg</t>
        </is>
      </c>
      <c r="D16" s="26" t="n">
        <v>2</v>
      </c>
      <c r="E16" s="27" t="n">
        <v>6</v>
      </c>
      <c r="G16" s="24">
        <f>IF(A17="","",A17)</f>
        <v/>
      </c>
      <c r="H16" s="24">
        <f>IF(A17="","",C17)</f>
        <v/>
      </c>
    </row>
    <row r="17">
      <c r="A17" s="25" t="inlineStr">
        <is>
          <t>Pâte de pistache</t>
        </is>
      </c>
      <c r="B17" s="25" t="inlineStr">
        <is>
          <t>A et M</t>
        </is>
      </c>
      <c r="C17" s="26" t="inlineStr">
        <is>
          <t>kg</t>
        </is>
      </c>
      <c r="D17" s="26" t="n">
        <v>0.5</v>
      </c>
      <c r="E17" s="27" t="n">
        <v>35</v>
      </c>
      <c r="G17" s="24">
        <f>IF(A18="","",A18)</f>
        <v/>
      </c>
      <c r="H17" s="24">
        <f>IF(A18="","",C18)</f>
        <v/>
      </c>
    </row>
    <row r="18">
      <c r="A18" s="28" t="n"/>
      <c r="B18" s="28" t="n"/>
      <c r="C18" s="29" t="n"/>
      <c r="D18" s="29" t="n"/>
      <c r="E18" s="30" t="n"/>
      <c r="G18" s="24">
        <f>IF(A19="","",A19)</f>
        <v/>
      </c>
      <c r="H18" s="24">
        <f>IF(A19="","",C19)</f>
        <v/>
      </c>
    </row>
    <row r="19">
      <c r="A19" s="28" t="n"/>
      <c r="B19" s="28" t="n"/>
      <c r="C19" s="29" t="n"/>
      <c r="D19" s="29" t="n"/>
      <c r="E19" s="30" t="n"/>
      <c r="G19" s="24">
        <f>IF(A20="","",A20)</f>
        <v/>
      </c>
      <c r="H19" s="24">
        <f>IF(A20="","",C20)</f>
        <v/>
      </c>
    </row>
    <row r="20">
      <c r="A20" s="28" t="n"/>
      <c r="B20" s="28" t="n"/>
      <c r="C20" s="29" t="n"/>
      <c r="D20" s="29" t="n"/>
      <c r="E20" s="30" t="n"/>
      <c r="G20" s="24">
        <f>IF(A22="","",A22)</f>
        <v/>
      </c>
      <c r="H20" s="24">
        <f>IF(A22="","",C22)</f>
        <v/>
      </c>
    </row>
    <row r="21" ht="20" customHeight="1">
      <c r="A21" s="23" t="inlineStr">
        <is>
          <t>CHAMBRE FROIDE POSITIVE</t>
        </is>
      </c>
      <c r="B21" s="10" t="n"/>
      <c r="C21" s="10" t="n"/>
      <c r="D21" s="10" t="n"/>
      <c r="E21" s="10" t="n"/>
      <c r="G21" s="24">
        <f>IF(A23="","",A23)</f>
        <v/>
      </c>
      <c r="H21" s="24">
        <f>IF(A23="","",C23)</f>
        <v/>
      </c>
    </row>
    <row r="22">
      <c r="A22" s="25" t="inlineStr">
        <is>
          <t>Crème liquide 35%</t>
        </is>
      </c>
      <c r="B22" s="25" t="inlineStr">
        <is>
          <t>A et M</t>
        </is>
      </c>
      <c r="C22" s="26" t="inlineStr">
        <is>
          <t>L</t>
        </is>
      </c>
      <c r="D22" s="26" t="n">
        <v>6</v>
      </c>
      <c r="E22" s="27" t="n">
        <v>4.2</v>
      </c>
      <c r="G22" s="24">
        <f>IF(A24="","",A24)</f>
        <v/>
      </c>
      <c r="H22" s="24">
        <f>IF(A24="","",C24)</f>
        <v/>
      </c>
    </row>
    <row r="23">
      <c r="A23" s="25" t="inlineStr">
        <is>
          <t>Beurre doux</t>
        </is>
      </c>
      <c r="B23" s="25" t="inlineStr">
        <is>
          <t>Promo Cash</t>
        </is>
      </c>
      <c r="C23" s="26" t="inlineStr">
        <is>
          <t>kg</t>
        </is>
      </c>
      <c r="D23" s="26" t="n">
        <v>4</v>
      </c>
      <c r="E23" s="27" t="n">
        <v>8.5</v>
      </c>
      <c r="G23" s="24">
        <f>IF(A25="","",A25)</f>
        <v/>
      </c>
      <c r="H23" s="24">
        <f>IF(A25="","",C25)</f>
        <v/>
      </c>
    </row>
    <row r="24">
      <c r="A24" s="25" t="inlineStr">
        <is>
          <t>Oeufs</t>
        </is>
      </c>
      <c r="B24" s="25" t="inlineStr">
        <is>
          <t>Auchan</t>
        </is>
      </c>
      <c r="C24" s="26" t="inlineStr">
        <is>
          <t>pièce</t>
        </is>
      </c>
      <c r="D24" s="26" t="n">
        <v>60</v>
      </c>
      <c r="E24" s="27" t="n">
        <v>0.25</v>
      </c>
      <c r="G24" s="24">
        <f>IF(A26="","",A26)</f>
        <v/>
      </c>
      <c r="H24" s="24">
        <f>IF(A26="","",C26)</f>
        <v/>
      </c>
    </row>
    <row r="25">
      <c r="A25" s="25" t="inlineStr">
        <is>
          <t>Lait entier</t>
        </is>
      </c>
      <c r="B25" s="25" t="inlineStr">
        <is>
          <t>Promo Cash</t>
        </is>
      </c>
      <c r="C25" s="26" t="inlineStr">
        <is>
          <t>L</t>
        </is>
      </c>
      <c r="D25" s="26" t="n">
        <v>5</v>
      </c>
      <c r="E25" s="27" t="n">
        <v>1.1</v>
      </c>
      <c r="G25" s="24">
        <f>IF(A27="","",A27)</f>
        <v/>
      </c>
      <c r="H25" s="24">
        <f>IF(A27="","",C27)</f>
        <v/>
      </c>
    </row>
    <row r="26">
      <c r="A26" s="28" t="n"/>
      <c r="B26" s="28" t="n"/>
      <c r="C26" s="29" t="n"/>
      <c r="D26" s="29" t="n"/>
      <c r="E26" s="30" t="n"/>
      <c r="G26" s="24">
        <f>IF(A28="","",A28)</f>
        <v/>
      </c>
      <c r="H26" s="24">
        <f>IF(A28="","",C28)</f>
        <v/>
      </c>
    </row>
    <row r="27">
      <c r="A27" s="28" t="n"/>
      <c r="B27" s="28" t="n"/>
      <c r="C27" s="29" t="n"/>
      <c r="D27" s="29" t="n"/>
      <c r="E27" s="30" t="n"/>
      <c r="G27" s="24">
        <f>IF(A29="","",A29)</f>
        <v/>
      </c>
      <c r="H27" s="24">
        <f>IF(A29="","",C29)</f>
        <v/>
      </c>
    </row>
    <row r="28">
      <c r="A28" s="28" t="n"/>
      <c r="B28" s="28" t="n"/>
      <c r="C28" s="29" t="n"/>
      <c r="D28" s="29" t="n"/>
      <c r="E28" s="30" t="n"/>
      <c r="G28" s="24">
        <f>IF(A30="","",A30)</f>
        <v/>
      </c>
      <c r="H28" s="24">
        <f>IF(A30="","",C30)</f>
        <v/>
      </c>
    </row>
    <row r="29">
      <c r="A29" s="28" t="n"/>
      <c r="B29" s="28" t="n"/>
      <c r="C29" s="29" t="n"/>
      <c r="D29" s="29" t="n"/>
      <c r="E29" s="30" t="n"/>
      <c r="G29" s="24">
        <f>IF(A31="","",A31)</f>
        <v/>
      </c>
      <c r="H29" s="24">
        <f>IF(A31="","",C31)</f>
        <v/>
      </c>
    </row>
    <row r="30">
      <c r="A30" s="28" t="n"/>
      <c r="B30" s="28" t="n"/>
      <c r="C30" s="29" t="n"/>
      <c r="D30" s="29" t="n"/>
      <c r="E30" s="30" t="n"/>
      <c r="G30" s="24">
        <f>IF(A32="","",A32)</f>
        <v/>
      </c>
      <c r="H30" s="24">
        <f>IF(A32="","",C32)</f>
        <v/>
      </c>
    </row>
    <row r="31">
      <c r="A31" s="28" t="n"/>
      <c r="B31" s="28" t="n"/>
      <c r="C31" s="29" t="n"/>
      <c r="D31" s="29" t="n"/>
      <c r="E31" s="30" t="n"/>
      <c r="G31" s="24">
        <f>IF(A33="","",A33)</f>
        <v/>
      </c>
      <c r="H31" s="24">
        <f>IF(A33="","",C33)</f>
        <v/>
      </c>
    </row>
    <row r="32">
      <c r="A32" s="28" t="n"/>
      <c r="B32" s="28" t="n"/>
      <c r="C32" s="29" t="n"/>
      <c r="D32" s="29" t="n"/>
      <c r="E32" s="30" t="n"/>
      <c r="G32" s="24">
        <f>IF(A34="","",A34)</f>
        <v/>
      </c>
      <c r="H32" s="24">
        <f>IF(A34="","",C34)</f>
        <v/>
      </c>
    </row>
    <row r="33">
      <c r="A33" s="28" t="n"/>
      <c r="B33" s="28" t="n"/>
      <c r="C33" s="29" t="n"/>
      <c r="D33" s="29" t="n"/>
      <c r="E33" s="30" t="n"/>
      <c r="G33" s="24">
        <f>IF(A35="","",A35)</f>
        <v/>
      </c>
      <c r="H33" s="24">
        <f>IF(A35="","",C35)</f>
        <v/>
      </c>
    </row>
    <row r="34">
      <c r="A34" s="28" t="n"/>
      <c r="B34" s="28" t="n"/>
      <c r="C34" s="29" t="n"/>
      <c r="D34" s="29" t="n"/>
      <c r="E34" s="30" t="n"/>
      <c r="G34" s="24">
        <f>IF(A36="","",A36)</f>
        <v/>
      </c>
      <c r="H34" s="24">
        <f>IF(A36="","",C36)</f>
        <v/>
      </c>
    </row>
    <row r="35">
      <c r="A35" s="28" t="n"/>
      <c r="B35" s="28" t="n"/>
      <c r="C35" s="29" t="n"/>
      <c r="D35" s="29" t="n"/>
      <c r="E35" s="30" t="n"/>
      <c r="G35" s="24">
        <f>IF(A38="","",A38)</f>
        <v/>
      </c>
      <c r="H35" s="24">
        <f>IF(A38="","",C38)</f>
        <v/>
      </c>
    </row>
    <row r="36">
      <c r="A36" s="28" t="n"/>
      <c r="B36" s="28" t="n"/>
      <c r="C36" s="29" t="n"/>
      <c r="D36" s="29" t="n"/>
      <c r="E36" s="30" t="n"/>
      <c r="G36" s="24">
        <f>IF(A39="","",A39)</f>
        <v/>
      </c>
      <c r="H36" s="24">
        <f>IF(A39="","",C39)</f>
        <v/>
      </c>
    </row>
    <row r="37" ht="20" customHeight="1">
      <c r="A37" s="23" t="inlineStr">
        <is>
          <t>CHAMBRE FROIDE NÉGATIVE</t>
        </is>
      </c>
      <c r="B37" s="10" t="n"/>
      <c r="C37" s="10" t="n"/>
      <c r="D37" s="10" t="n"/>
      <c r="E37" s="10" t="n"/>
      <c r="G37" s="24">
        <f>IF(A40="","",A40)</f>
        <v/>
      </c>
      <c r="H37" s="24">
        <f>IF(A40="","",C40)</f>
        <v/>
      </c>
    </row>
    <row r="38">
      <c r="A38" s="25" t="inlineStr">
        <is>
          <t>Pâte feuilletée surgelée</t>
        </is>
      </c>
      <c r="B38" s="25" t="inlineStr">
        <is>
          <t>Promo Cash</t>
        </is>
      </c>
      <c r="C38" s="26" t="inlineStr">
        <is>
          <t>kg</t>
        </is>
      </c>
      <c r="D38" s="26" t="n">
        <v>2</v>
      </c>
      <c r="E38" s="27" t="n">
        <v>5</v>
      </c>
      <c r="G38" s="24">
        <f>IF(A41="","",A41)</f>
        <v/>
      </c>
      <c r="H38" s="24">
        <f>IF(A41="","",C41)</f>
        <v/>
      </c>
    </row>
    <row r="39">
      <c r="A39" s="25" t="inlineStr">
        <is>
          <t>Framboises surgelées</t>
        </is>
      </c>
      <c r="B39" s="25" t="inlineStr">
        <is>
          <t>Promo Cash</t>
        </is>
      </c>
      <c r="C39" s="26" t="inlineStr">
        <is>
          <t>kg</t>
        </is>
      </c>
      <c r="D39" s="26" t="n">
        <v>1</v>
      </c>
      <c r="E39" s="27" t="n">
        <v>9</v>
      </c>
      <c r="G39" s="24">
        <f>IF(A42="","",A42)</f>
        <v/>
      </c>
      <c r="H39" s="24">
        <f>IF(A42="","",C42)</f>
        <v/>
      </c>
    </row>
    <row r="40">
      <c r="A40" s="28" t="n"/>
      <c r="B40" s="28" t="n"/>
      <c r="C40" s="29" t="n"/>
      <c r="D40" s="29" t="n"/>
      <c r="E40" s="30" t="n"/>
      <c r="G40" s="24">
        <f>IF(A43="","",A43)</f>
        <v/>
      </c>
      <c r="H40" s="24">
        <f>IF(A43="","",C43)</f>
        <v/>
      </c>
    </row>
    <row r="41">
      <c r="A41" s="28" t="n"/>
      <c r="B41" s="28" t="n"/>
      <c r="C41" s="29" t="n"/>
      <c r="D41" s="29" t="n"/>
      <c r="E41" s="30" t="n"/>
      <c r="G41" s="24">
        <f>IF(A44="","",A44)</f>
        <v/>
      </c>
      <c r="H41" s="24">
        <f>IF(A44="","",C44)</f>
        <v/>
      </c>
    </row>
    <row r="42">
      <c r="A42" s="28" t="n"/>
      <c r="B42" s="28" t="n"/>
      <c r="C42" s="29" t="n"/>
      <c r="D42" s="29" t="n"/>
      <c r="E42" s="30" t="n"/>
      <c r="G42" s="24">
        <f>IF(A45="","",A45)</f>
        <v/>
      </c>
      <c r="H42" s="24">
        <f>IF(A45="","",C45)</f>
        <v/>
      </c>
    </row>
    <row r="43">
      <c r="A43" s="28" t="n"/>
      <c r="B43" s="28" t="n"/>
      <c r="C43" s="29" t="n"/>
      <c r="D43" s="29" t="n"/>
      <c r="E43" s="30" t="n"/>
      <c r="G43" s="24">
        <f>IF(A46="","",A46)</f>
        <v/>
      </c>
      <c r="H43" s="24">
        <f>IF(A46="","",C46)</f>
        <v/>
      </c>
    </row>
    <row r="44">
      <c r="A44" s="28" t="n"/>
      <c r="B44" s="28" t="n"/>
      <c r="C44" s="29" t="n"/>
      <c r="D44" s="29" t="n"/>
      <c r="E44" s="30" t="n"/>
      <c r="G44" s="24">
        <f>IF(A47="","",A47)</f>
        <v/>
      </c>
      <c r="H44" s="24">
        <f>IF(A47="","",C47)</f>
        <v/>
      </c>
    </row>
    <row r="45">
      <c r="A45" s="28" t="n"/>
      <c r="B45" s="28" t="n"/>
      <c r="C45" s="29" t="n"/>
      <c r="D45" s="29" t="n"/>
      <c r="E45" s="30" t="n"/>
      <c r="G45" s="24">
        <f>IF(A48="","",A48)</f>
        <v/>
      </c>
      <c r="H45" s="24">
        <f>IF(A48="","",C48)</f>
        <v/>
      </c>
    </row>
    <row r="46">
      <c r="A46" s="28" t="n"/>
      <c r="B46" s="28" t="n"/>
      <c r="C46" s="29" t="n"/>
      <c r="D46" s="29" t="n"/>
      <c r="E46" s="30" t="n"/>
      <c r="G46" s="24">
        <f>IF(A49="","",A49)</f>
        <v/>
      </c>
      <c r="H46" s="24">
        <f>IF(A49="","",C49)</f>
        <v/>
      </c>
    </row>
    <row r="47">
      <c r="A47" s="28" t="n"/>
      <c r="B47" s="28" t="n"/>
      <c r="C47" s="29" t="n"/>
      <c r="D47" s="29" t="n"/>
      <c r="E47" s="30" t="n"/>
      <c r="G47" s="24">
        <f>IF(A50="","",A50)</f>
        <v/>
      </c>
      <c r="H47" s="24">
        <f>IF(A50="","",C50)</f>
        <v/>
      </c>
    </row>
    <row r="48">
      <c r="A48" s="28" t="n"/>
      <c r="B48" s="28" t="n"/>
      <c r="C48" s="29" t="n"/>
      <c r="D48" s="29" t="n"/>
      <c r="E48" s="30" t="n"/>
      <c r="G48" s="24">
        <f>IF(A51="","",A51)</f>
        <v/>
      </c>
      <c r="H48" s="24">
        <f>IF(A51="","",C51)</f>
        <v/>
      </c>
    </row>
    <row r="49">
      <c r="A49" s="28" t="n"/>
      <c r="B49" s="28" t="n"/>
      <c r="C49" s="29" t="n"/>
      <c r="D49" s="29" t="n"/>
      <c r="E49" s="30" t="n"/>
      <c r="G49" s="24">
        <f>IF(A52="","",A52)</f>
        <v/>
      </c>
      <c r="H49" s="24">
        <f>IF(A52="","",C52)</f>
        <v/>
      </c>
    </row>
    <row r="50">
      <c r="A50" s="28" t="n"/>
      <c r="B50" s="28" t="n"/>
      <c r="C50" s="29" t="n"/>
      <c r="D50" s="29" t="n"/>
      <c r="E50" s="30" t="n"/>
      <c r="G50" s="24">
        <f>IF(A54="","",A54)</f>
        <v/>
      </c>
      <c r="H50" s="24">
        <f>IF(A54="","",C54)</f>
        <v/>
      </c>
    </row>
    <row r="51">
      <c r="A51" s="28" t="n"/>
      <c r="B51" s="28" t="n"/>
      <c r="C51" s="29" t="n"/>
      <c r="D51" s="29" t="n"/>
      <c r="E51" s="30" t="n"/>
      <c r="G51" s="24">
        <f>IF(A55="","",A55)</f>
        <v/>
      </c>
      <c r="H51" s="24">
        <f>IF(A55="","",C55)</f>
        <v/>
      </c>
    </row>
    <row r="52">
      <c r="A52" s="28" t="n"/>
      <c r="B52" s="28" t="n"/>
      <c r="C52" s="29" t="n"/>
      <c r="D52" s="29" t="n"/>
      <c r="E52" s="30" t="n"/>
      <c r="G52" s="24">
        <f>IF(A56="","",A56)</f>
        <v/>
      </c>
      <c r="H52" s="24">
        <f>IF(A56="","",C56)</f>
        <v/>
      </c>
    </row>
    <row r="53" ht="20" customHeight="1">
      <c r="A53" s="23" t="inlineStr">
        <is>
          <t>MÉNAGER</t>
        </is>
      </c>
      <c r="B53" s="10" t="n"/>
      <c r="C53" s="10" t="n"/>
      <c r="D53" s="10" t="n"/>
      <c r="E53" s="10" t="n"/>
      <c r="G53" s="24">
        <f>IF(A57="","",A57)</f>
        <v/>
      </c>
      <c r="H53" s="24">
        <f>IF(A57="","",C57)</f>
        <v/>
      </c>
    </row>
    <row r="54">
      <c r="A54" s="25" t="inlineStr">
        <is>
          <t>Sacs poubelle</t>
        </is>
      </c>
      <c r="B54" s="25" t="inlineStr">
        <is>
          <t>Promo Cash</t>
        </is>
      </c>
      <c r="C54" s="26" t="inlineStr">
        <is>
          <t>rouleau</t>
        </is>
      </c>
      <c r="D54" s="26" t="n">
        <v>2</v>
      </c>
      <c r="E54" s="27" t="n">
        <v>3</v>
      </c>
      <c r="G54" s="24">
        <f>IF(A58="","",A58)</f>
        <v/>
      </c>
      <c r="H54" s="24">
        <f>IF(A58="","",C58)</f>
        <v/>
      </c>
    </row>
    <row r="55">
      <c r="A55" s="25" t="inlineStr">
        <is>
          <t>Liquide vaisselle</t>
        </is>
      </c>
      <c r="B55" s="25" t="inlineStr">
        <is>
          <t>Promo Cash</t>
        </is>
      </c>
      <c r="C55" s="26" t="inlineStr">
        <is>
          <t>L</t>
        </is>
      </c>
      <c r="D55" s="26" t="n">
        <v>1</v>
      </c>
      <c r="E55" s="27" t="n">
        <v>2.5</v>
      </c>
      <c r="G55" s="24">
        <f>IF(A59="","",A59)</f>
        <v/>
      </c>
      <c r="H55" s="24">
        <f>IF(A59="","",C59)</f>
        <v/>
      </c>
    </row>
    <row r="56">
      <c r="A56" s="25" t="inlineStr">
        <is>
          <t>Papier cuisson</t>
        </is>
      </c>
      <c r="B56" s="25" t="inlineStr">
        <is>
          <t>Promo Cash</t>
        </is>
      </c>
      <c r="C56" s="26" t="inlineStr">
        <is>
          <t>rouleau</t>
        </is>
      </c>
      <c r="D56" s="26" t="n">
        <v>2</v>
      </c>
      <c r="E56" s="27" t="n">
        <v>4</v>
      </c>
      <c r="G56" s="24">
        <f>IF(A60="","",A60)</f>
        <v/>
      </c>
      <c r="H56" s="24">
        <f>IF(A60="","",C60)</f>
        <v/>
      </c>
    </row>
    <row r="57">
      <c r="A57" s="28" t="n"/>
      <c r="B57" s="28" t="n"/>
      <c r="C57" s="29" t="n"/>
      <c r="D57" s="29" t="n"/>
      <c r="E57" s="30" t="n"/>
      <c r="G57" s="24">
        <f>IF(A61="","",A61)</f>
        <v/>
      </c>
      <c r="H57" s="24">
        <f>IF(A61="","",C61)</f>
        <v/>
      </c>
    </row>
    <row r="58">
      <c r="A58" s="28" t="n"/>
      <c r="B58" s="28" t="n"/>
      <c r="C58" s="29" t="n"/>
      <c r="D58" s="29" t="n"/>
      <c r="E58" s="30" t="n"/>
      <c r="G58" s="24">
        <f>IF(A62="","",A62)</f>
        <v/>
      </c>
      <c r="H58" s="24">
        <f>IF(A62="","",C62)</f>
        <v/>
      </c>
    </row>
    <row r="59">
      <c r="A59" s="28" t="n"/>
      <c r="B59" s="28" t="n"/>
      <c r="C59" s="29" t="n"/>
      <c r="D59" s="29" t="n"/>
      <c r="E59" s="30" t="n"/>
      <c r="G59" s="24">
        <f>IF(A63="","",A63)</f>
        <v/>
      </c>
      <c r="H59" s="24">
        <f>IF(A63="","",C63)</f>
        <v/>
      </c>
    </row>
    <row r="60">
      <c r="A60" s="28" t="n"/>
      <c r="B60" s="28" t="n"/>
      <c r="C60" s="29" t="n"/>
      <c r="D60" s="29" t="n"/>
      <c r="E60" s="30" t="n"/>
      <c r="G60" s="24">
        <f>IF(A64="","",A64)</f>
        <v/>
      </c>
      <c r="H60" s="24">
        <f>IF(A64="","",C64)</f>
        <v/>
      </c>
    </row>
    <row r="61">
      <c r="A61" s="28" t="n"/>
      <c r="B61" s="28" t="n"/>
      <c r="C61" s="29" t="n"/>
      <c r="D61" s="29" t="n"/>
      <c r="E61" s="30" t="n"/>
      <c r="G61" s="24">
        <f>IF(A65="","",A65)</f>
        <v/>
      </c>
      <c r="H61" s="24">
        <f>IF(A65="","",C65)</f>
        <v/>
      </c>
    </row>
    <row r="62">
      <c r="A62" s="28" t="n"/>
      <c r="B62" s="28" t="n"/>
      <c r="C62" s="29" t="n"/>
      <c r="D62" s="29" t="n"/>
      <c r="E62" s="30" t="n"/>
      <c r="G62" s="24">
        <f>IF(A66="","",A66)</f>
        <v/>
      </c>
      <c r="H62" s="24">
        <f>IF(A66="","",C66)</f>
        <v/>
      </c>
    </row>
    <row r="63">
      <c r="A63" s="28" t="n"/>
      <c r="B63" s="28" t="n"/>
      <c r="C63" s="29" t="n"/>
      <c r="D63" s="29" t="n"/>
      <c r="E63" s="30" t="n"/>
      <c r="G63" s="24">
        <f>IF(A67="","",A67)</f>
        <v/>
      </c>
      <c r="H63" s="24">
        <f>IF(A67="","",C67)</f>
        <v/>
      </c>
    </row>
    <row r="64">
      <c r="A64" s="28" t="n"/>
      <c r="B64" s="28" t="n"/>
      <c r="C64" s="29" t="n"/>
      <c r="D64" s="29" t="n"/>
      <c r="E64" s="30" t="n"/>
      <c r="G64" s="24">
        <f>IF(A68="","",A68)</f>
        <v/>
      </c>
      <c r="H64" s="24">
        <f>IF(A68="","",C68)</f>
        <v/>
      </c>
    </row>
    <row r="65">
      <c r="A65" s="28" t="n"/>
      <c r="B65" s="28" t="n"/>
      <c r="C65" s="29" t="n"/>
      <c r="D65" s="29" t="n"/>
      <c r="E65" s="30" t="n"/>
    </row>
    <row r="66">
      <c r="A66" s="28" t="n"/>
      <c r="B66" s="28" t="n"/>
      <c r="C66" s="29" t="n"/>
      <c r="D66" s="29" t="n"/>
      <c r="E66" s="30" t="n"/>
    </row>
    <row r="67">
      <c r="A67" s="28" t="n"/>
      <c r="B67" s="28" t="n"/>
      <c r="C67" s="29" t="n"/>
      <c r="D67" s="29" t="n"/>
      <c r="E67" s="30" t="n"/>
    </row>
    <row r="68">
      <c r="A68" s="28" t="n"/>
      <c r="B68" s="28" t="n"/>
      <c r="C68" s="29" t="n"/>
      <c r="D68" s="29" t="n"/>
      <c r="E68" s="30" t="n"/>
    </row>
  </sheetData>
  <mergeCells count="4">
    <mergeCell ref="A21:E21"/>
    <mergeCell ref="A53:E53"/>
    <mergeCell ref="A5:E5"/>
    <mergeCell ref="A37:E37"/>
  </mergeCells>
  <dataValidations count="3">
    <dataValidation sqref="C6 C7 C8 C9 C10 C11 C12 C13 C14 C15 C16 C17 C18 C19 C20 C22 C23 C24 C25 C26 C27 C28 C29 C30 C31 C32 C33 C34 C35 C36 C38 C39 C40 C41 C42 C43 C44 C45 C46 C47 C48 C49 C50 C51 C52 C54 C55 C56 C57 C58 C59 C60 C61 C62 C63 C64 C65 C66 C67 C68" showDropDown="0" showInputMessage="0" showErrorMessage="0" allowBlank="1" type="list">
      <formula1>"kg,g,L,pièce,paquet,boîte,sac,rouleau"</formula1>
    </dataValidation>
    <dataValidation sqref="B6 B7 B8 B9 B10 B11 B12 B13 B14 B15 B16 B17 B18 B19 B20 B22 B23 B24 B25 B26 B27 B28 B29 B30 B31 B32 B33 B34 B35 B36 B38 B39 B40 B41 B42 B43 B44 B45 B46 B47 B48 B49 B50 B51 B52 B54 B55 B56 B57 B58 B59 B60 B61 B62 B63 B64 B65 B66 B67 B68" showDropDown="0" showInputMessage="0" showErrorMessage="0" allowBlank="1" type="list">
      <formula1>=Fournisseurs!$A$5:$A$14</formula1>
    </dataValidation>
    <dataValidation sqref="D6:E68"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18" customWidth="1" min="1" max="1"/>
    <col width="22" customWidth="1" min="2" max="2"/>
    <col width="16" customWidth="1" min="3" max="3"/>
    <col width="16" customWidth="1" min="4" max="4"/>
    <col width="16" customWidth="1" min="5" max="5"/>
    <col width="30" customWidth="1" min="6" max="6"/>
  </cols>
  <sheetData>
    <row r="1" ht="26" customHeight="1">
      <c r="A1" s="1" t="inlineStr">
        <is>
          <t>Mes fournisseurs</t>
        </is>
      </c>
    </row>
    <row r="2">
      <c r="A2" s="2" t="inlineStr">
        <is>
          <t>Carnet d'adresses. Le fournisseur habituel de chaque produit se choisit dans cette liste.</t>
        </is>
      </c>
    </row>
    <row r="4">
      <c r="A4" s="15" t="inlineStr">
        <is>
          <t>Fournisseur</t>
        </is>
      </c>
      <c r="B4" s="15" t="inlineStr">
        <is>
          <t>Contact</t>
        </is>
      </c>
      <c r="C4" s="15" t="inlineStr">
        <is>
          <t>Téléphone</t>
        </is>
      </c>
      <c r="D4" s="15" t="inlineStr">
        <is>
          <t>Jour de commande</t>
        </is>
      </c>
      <c r="E4" s="15" t="inlineStr">
        <is>
          <t>Jour de livraison</t>
        </is>
      </c>
      <c r="F4" s="15" t="inlineStr">
        <is>
          <t>Notes</t>
        </is>
      </c>
    </row>
    <row r="5">
      <c r="A5" s="25" t="inlineStr">
        <is>
          <t>A et M</t>
        </is>
      </c>
      <c r="B5" s="28" t="n"/>
      <c r="C5" s="28" t="n"/>
      <c r="D5" s="25" t="inlineStr">
        <is>
          <t>vendredi</t>
        </is>
      </c>
      <c r="E5" s="25" t="inlineStr">
        <is>
          <t>lundi</t>
        </is>
      </c>
      <c r="F5" s="28" t="n"/>
    </row>
    <row r="6">
      <c r="A6" s="25" t="inlineStr">
        <is>
          <t>Promo Cash</t>
        </is>
      </c>
      <c r="B6" s="28" t="n"/>
      <c r="C6" s="28" t="n"/>
      <c r="D6" s="25" t="inlineStr">
        <is>
          <t>vendredi</t>
        </is>
      </c>
      <c r="E6" s="25" t="inlineStr">
        <is>
          <t>lundi</t>
        </is>
      </c>
      <c r="F6" s="28" t="n"/>
    </row>
    <row r="7">
      <c r="A7" s="25" t="inlineStr">
        <is>
          <t>Auchan</t>
        </is>
      </c>
      <c r="B7" s="28" t="n"/>
      <c r="C7" s="28" t="n"/>
      <c r="D7" s="28" t="n"/>
      <c r="E7" s="28" t="n"/>
      <c r="F7" s="28" t="n"/>
    </row>
    <row r="8">
      <c r="A8" s="28" t="n"/>
      <c r="B8" s="28" t="n"/>
      <c r="C8" s="28" t="n"/>
      <c r="D8" s="28" t="n"/>
      <c r="E8" s="28" t="n"/>
      <c r="F8" s="28" t="n"/>
    </row>
    <row r="9">
      <c r="A9" s="28" t="n"/>
      <c r="B9" s="28" t="n"/>
      <c r="C9" s="28" t="n"/>
      <c r="D9" s="28" t="n"/>
      <c r="E9" s="28" t="n"/>
      <c r="F9" s="28" t="n"/>
    </row>
    <row r="10">
      <c r="A10" s="28" t="n"/>
      <c r="B10" s="28" t="n"/>
      <c r="C10" s="28" t="n"/>
      <c r="D10" s="28" t="n"/>
      <c r="E10" s="28" t="n"/>
      <c r="F10" s="28" t="n"/>
    </row>
    <row r="11">
      <c r="A11" s="28" t="n"/>
      <c r="B11" s="28" t="n"/>
      <c r="C11" s="28" t="n"/>
      <c r="D11" s="28" t="n"/>
      <c r="E11" s="28" t="n"/>
      <c r="F11" s="28" t="n"/>
    </row>
    <row r="12">
      <c r="A12" s="28" t="n"/>
      <c r="B12" s="28" t="n"/>
      <c r="C12" s="28" t="n"/>
      <c r="D12" s="28" t="n"/>
      <c r="E12" s="28" t="n"/>
      <c r="F12" s="28" t="n"/>
    </row>
    <row r="13">
      <c r="A13" s="28" t="n"/>
      <c r="B13" s="28" t="n"/>
      <c r="C13" s="28" t="n"/>
      <c r="D13" s="28" t="n"/>
      <c r="E13" s="28" t="n"/>
      <c r="F13" s="28" t="n"/>
    </row>
    <row r="14">
      <c r="A14" s="28" t="n"/>
      <c r="B14" s="28" t="n"/>
      <c r="C14" s="28" t="n"/>
      <c r="D14" s="28" t="n"/>
      <c r="E14" s="28" t="n"/>
      <c r="F14" s="28" t="n"/>
    </row>
  </sheetData>
  <dataValidations count="1">
    <dataValidation sqref="D5:E14" showDropDown="0" showInputMessage="0" showErrorMessage="0" allowBlank="1" type="list">
      <formula1>"lundi,mardi,mercredi,jeudi,vendredi,samedi,dimanche"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0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4" customWidth="1" min="2" max="2"/>
    <col width="16" customWidth="1" min="3" max="3"/>
    <col width="10" customWidth="1" min="4" max="4"/>
    <col width="8" customWidth="1" min="5" max="5"/>
    <col width="18" customWidth="1" min="6" max="6"/>
    <col width="12" customWidth="1" min="7" max="7"/>
    <col width="13" customWidth="1" min="8" max="8"/>
    <col width="13" customWidth="1" min="9" max="9"/>
    <col width="10" customWidth="1" min="10" max="10"/>
  </cols>
  <sheetData>
    <row r="1" ht="26" customHeight="1">
      <c r="A1" s="1" t="inlineStr">
        <is>
          <t>Registre de réception</t>
        </is>
      </c>
    </row>
    <row r="2">
      <c r="A2" s="2" t="inlineStr">
        <is>
          <t>Une ligne par produit reçu — remplace le cahier. Les cases vides sont permises (pas de lot, pas de DLC).</t>
        </is>
      </c>
    </row>
    <row r="4">
      <c r="A4" s="15" t="inlineStr">
        <is>
          <t>Reçu le</t>
        </is>
      </c>
      <c r="B4" s="15" t="inlineStr">
        <is>
          <t>Produit</t>
        </is>
      </c>
      <c r="C4" s="15" t="inlineStr">
        <is>
          <t>Fournisseur</t>
        </is>
      </c>
      <c r="D4" s="15" t="inlineStr">
        <is>
          <t>Quantité</t>
        </is>
      </c>
      <c r="E4" s="15" t="inlineStr">
        <is>
          <t>Unité</t>
        </is>
      </c>
      <c r="F4" s="15" t="inlineStr">
        <is>
          <t>N° de lot</t>
        </is>
      </c>
      <c r="G4" s="15" t="inlineStr">
        <is>
          <t>DLC</t>
        </is>
      </c>
      <c r="H4" s="15" t="inlineStr">
        <is>
          <t>Jours restants</t>
        </is>
      </c>
      <c r="I4" s="15" t="inlineStr">
        <is>
          <t>État</t>
        </is>
      </c>
      <c r="J4" s="15" t="inlineStr">
        <is>
          <t>Terminé ?</t>
        </is>
      </c>
      <c r="L4" s="2" t="inlineStr">
        <is>
          <t>Fournisseur : choisis dans la liste ou écris-en un autre si tu as acheté ailleurs.</t>
        </is>
      </c>
    </row>
    <row r="5">
      <c r="A5" s="31">
        <f>DATE(2026,9,14)</f>
        <v/>
      </c>
      <c r="B5" s="25" t="inlineStr">
        <is>
          <t>Crème liquide 35%</t>
        </is>
      </c>
      <c r="C5" s="25" t="inlineStr">
        <is>
          <t>A et M</t>
        </is>
      </c>
      <c r="D5" s="26" t="n">
        <v>6</v>
      </c>
      <c r="E5" s="11">
        <f>IF(B5="","",IFERROR(INDEX(Produits!$H$5:$H$64,MATCH(B5,Produits!$G$5:$G$64,0)),""))</f>
        <v/>
      </c>
      <c r="F5" s="25" t="inlineStr">
        <is>
          <t>T079A10968</t>
        </is>
      </c>
      <c r="G5" s="31">
        <f>DATE(2026,12,9)</f>
        <v/>
      </c>
      <c r="H5" s="11">
        <f>IF(G5="","",G5-TODAY())</f>
        <v/>
      </c>
      <c r="I5" s="11">
        <f>IF(G5="","",IF(J5="Oui","Terminé",IF(H5&lt;0,"PÉRIMÉ",IF(H5&lt;=1,"AUJOURD'HUI",IF(H5&lt;=3,"BIENTÔT","OK")))))</f>
        <v/>
      </c>
      <c r="J5" s="29" t="n"/>
    </row>
    <row r="6">
      <c r="A6" s="31">
        <f>DATE(2026,9,14)</f>
        <v/>
      </c>
      <c r="B6" s="25" t="inlineStr">
        <is>
          <t>Oeufs</t>
        </is>
      </c>
      <c r="C6" s="25" t="inlineStr">
        <is>
          <t>Auchan</t>
        </is>
      </c>
      <c r="D6" s="26" t="n">
        <v>90</v>
      </c>
      <c r="E6" s="11">
        <f>IF(B6="","",IFERROR(INDEX(Produits!$H$5:$H$64,MATCH(B6,Produits!$G$5:$G$64,0)),""))</f>
        <v/>
      </c>
      <c r="F6" s="25" t="inlineStr">
        <is>
          <t>FR 22284.002</t>
        </is>
      </c>
      <c r="G6" s="32" t="n"/>
      <c r="H6" s="11">
        <f>IF(G6="","",G6-TODAY())</f>
        <v/>
      </c>
      <c r="I6" s="11">
        <f>IF(G6="","",IF(J6="Oui","Terminé",IF(H6&lt;0,"PÉRIMÉ",IF(H6&lt;=1,"AUJOURD'HUI",IF(H6&lt;=3,"BIENTÔT","OK")))))</f>
        <v/>
      </c>
      <c r="J6" s="29" t="n"/>
    </row>
    <row r="7">
      <c r="A7" s="31">
        <f>DATE(2026,9,14)</f>
        <v/>
      </c>
      <c r="B7" s="25" t="inlineStr">
        <is>
          <t>Farine T45</t>
        </is>
      </c>
      <c r="C7" s="25" t="inlineStr">
        <is>
          <t>Promo Cash</t>
        </is>
      </c>
      <c r="D7" s="26" t="n">
        <v>5</v>
      </c>
      <c r="E7" s="11">
        <f>IF(B7="","",IFERROR(INDEX(Produits!$H$5:$H$64,MATCH(B7,Produits!$G$5:$G$64,0)),""))</f>
        <v/>
      </c>
      <c r="F7" s="25" t="inlineStr">
        <is>
          <t>1-223</t>
        </is>
      </c>
      <c r="G7" s="31">
        <f>DATE(2027,2,3)</f>
        <v/>
      </c>
      <c r="H7" s="11">
        <f>IF(G7="","",G7-TODAY())</f>
        <v/>
      </c>
      <c r="I7" s="11">
        <f>IF(G7="","",IF(J7="Oui","Terminé",IF(H7&lt;0,"PÉRIMÉ",IF(H7&lt;=1,"AUJOURD'HUI",IF(H7&lt;=3,"BIENTÔT","OK")))))</f>
        <v/>
      </c>
      <c r="J7" s="29" t="n"/>
    </row>
    <row r="8">
      <c r="A8" s="31">
        <f>DATE(2026,9,14)</f>
        <v/>
      </c>
      <c r="B8" s="25" t="inlineStr">
        <is>
          <t>Vanille liquide</t>
        </is>
      </c>
      <c r="C8" s="25" t="inlineStr">
        <is>
          <t>A et M</t>
        </is>
      </c>
      <c r="D8" s="26" t="n">
        <v>1</v>
      </c>
      <c r="E8" s="11">
        <f>IF(B8="","",IFERROR(INDEX(Produits!$H$5:$H$64,MATCH(B8,Produits!$G$5:$G$64,0)),""))</f>
        <v/>
      </c>
      <c r="F8" s="25" t="inlineStr">
        <is>
          <t>22526</t>
        </is>
      </c>
      <c r="G8" s="31">
        <f>DATE(2028,8,18)</f>
        <v/>
      </c>
      <c r="H8" s="11">
        <f>IF(G8="","",G8-TODAY())</f>
        <v/>
      </c>
      <c r="I8" s="11">
        <f>IF(G8="","",IF(J8="Oui","Terminé",IF(H8&lt;0,"PÉRIMÉ",IF(H8&lt;=1,"AUJOURD'HUI",IF(H8&lt;=3,"BIENTÔT","OK")))))</f>
        <v/>
      </c>
      <c r="J8" s="29" t="n"/>
    </row>
    <row r="9">
      <c r="A9" s="31">
        <f>DATE(2026,9,14)</f>
        <v/>
      </c>
      <c r="B9" s="25" t="inlineStr">
        <is>
          <t>Kinder Bueno</t>
        </is>
      </c>
      <c r="C9" s="25" t="inlineStr">
        <is>
          <t>Promo Cash</t>
        </is>
      </c>
      <c r="D9" s="26" t="n">
        <v>4</v>
      </c>
      <c r="E9" s="11">
        <f>IF(B9="","",IFERROR(INDEX(Produits!$H$5:$H$64,MATCH(B9,Produits!$G$5:$G$64,0)),""))</f>
        <v/>
      </c>
      <c r="F9" s="25" t="inlineStr">
        <is>
          <t>L103219</t>
        </is>
      </c>
      <c r="G9" s="31">
        <f>DATE(2027,4,13)</f>
        <v/>
      </c>
      <c r="H9" s="11">
        <f>IF(G9="","",G9-TODAY())</f>
        <v/>
      </c>
      <c r="I9" s="11">
        <f>IF(G9="","",IF(J9="Oui","Terminé",IF(H9&lt;0,"PÉRIMÉ",IF(H9&lt;=1,"AUJOURD'HUI",IF(H9&lt;=3,"BIENTÔT","OK")))))</f>
        <v/>
      </c>
      <c r="J9" s="29" t="n"/>
    </row>
    <row r="10">
      <c r="A10" s="31">
        <f>DATE(2026,9,18)</f>
        <v/>
      </c>
      <c r="B10" s="25" t="inlineStr">
        <is>
          <t>Pistache</t>
        </is>
      </c>
      <c r="C10" s="25" t="inlineStr">
        <is>
          <t>A et M</t>
        </is>
      </c>
      <c r="D10" s="26" t="n">
        <v>1</v>
      </c>
      <c r="E10" s="11">
        <f>IF(B10="","",IFERROR(INDEX(Produits!$H$5:$H$64,MATCH(B10,Produits!$G$5:$G$64,0)),""))</f>
        <v/>
      </c>
      <c r="F10" s="25" t="inlineStr">
        <is>
          <t>2608609</t>
        </is>
      </c>
      <c r="G10" s="31">
        <f>DATE(2027,3,31)</f>
        <v/>
      </c>
      <c r="H10" s="11">
        <f>IF(G10="","",G10-TODAY())</f>
        <v/>
      </c>
      <c r="I10" s="11">
        <f>IF(G10="","",IF(J10="Oui","Terminé",IF(H10&lt;0,"PÉRIMÉ",IF(H10&lt;=1,"AUJOURD'HUI",IF(H10&lt;=3,"BIENTÔT","OK")))))</f>
        <v/>
      </c>
      <c r="J10" s="29" t="n"/>
    </row>
    <row r="11">
      <c r="A11" s="31">
        <f>DATE(2026,9,18)</f>
        <v/>
      </c>
      <c r="B11" s="25" t="inlineStr">
        <is>
          <t>Pâte de pistache</t>
        </is>
      </c>
      <c r="C11" s="25" t="inlineStr">
        <is>
          <t>A et M</t>
        </is>
      </c>
      <c r="D11" s="26" t="n">
        <v>1</v>
      </c>
      <c r="E11" s="11">
        <f>IF(B11="","",IFERROR(INDEX(Produits!$H$5:$H$64,MATCH(B11,Produits!$G$5:$G$64,0)),""))</f>
        <v/>
      </c>
      <c r="F11" s="25" t="inlineStr">
        <is>
          <t>01-2047 85992</t>
        </is>
      </c>
      <c r="G11" s="31">
        <f>DATE(2027,3,31)</f>
        <v/>
      </c>
      <c r="H11" s="11">
        <f>IF(G11="","",G11-TODAY())</f>
        <v/>
      </c>
      <c r="I11" s="11">
        <f>IF(G11="","",IF(J11="Oui","Terminé",IF(H11&lt;0,"PÉRIMÉ",IF(H11&lt;=1,"AUJOURD'HUI",IF(H11&lt;=3,"BIENTÔT","OK")))))</f>
        <v/>
      </c>
      <c r="J11" s="29" t="n"/>
    </row>
    <row r="12">
      <c r="A12" s="31">
        <f>DATE(2026,10,5)</f>
        <v/>
      </c>
      <c r="B12" s="25" t="inlineStr">
        <is>
          <t>Crème liquide 35%</t>
        </is>
      </c>
      <c r="C12" s="25" t="inlineStr">
        <is>
          <t>A et M</t>
        </is>
      </c>
      <c r="D12" s="26" t="n">
        <v>6</v>
      </c>
      <c r="E12" s="11">
        <f>IF(B12="","",IFERROR(INDEX(Produits!$H$5:$H$64,MATCH(B12,Produits!$G$5:$G$64,0)),""))</f>
        <v/>
      </c>
      <c r="F12" s="25" t="inlineStr">
        <is>
          <t>T081B20011</t>
        </is>
      </c>
      <c r="G12" s="31">
        <f>TODAY()+2</f>
        <v/>
      </c>
      <c r="H12" s="11">
        <f>IF(G12="","",G12-TODAY())</f>
        <v/>
      </c>
      <c r="I12" s="11">
        <f>IF(G12="","",IF(J12="Oui","Terminé",IF(H12&lt;0,"PÉRIMÉ",IF(H12&lt;=1,"AUJOURD'HUI",IF(H12&lt;=3,"BIENTÔT","OK")))))</f>
        <v/>
      </c>
      <c r="J12" s="29" t="n"/>
    </row>
    <row r="13">
      <c r="A13" s="32" t="n"/>
      <c r="B13" s="28" t="n"/>
      <c r="C13" s="28" t="n"/>
      <c r="D13" s="29" t="n"/>
      <c r="E13" s="11">
        <f>IF(B13="","",IFERROR(INDEX(Produits!$H$5:$H$64,MATCH(B13,Produits!$G$5:$G$64,0)),""))</f>
        <v/>
      </c>
      <c r="F13" s="28" t="n"/>
      <c r="G13" s="32" t="n"/>
      <c r="H13" s="11">
        <f>IF(G13="","",G13-TODAY())</f>
        <v/>
      </c>
      <c r="I13" s="11">
        <f>IF(G13="","",IF(J13="Oui","Terminé",IF(H13&lt;0,"PÉRIMÉ",IF(H13&lt;=1,"AUJOURD'HUI",IF(H13&lt;=3,"BIENTÔT","OK")))))</f>
        <v/>
      </c>
      <c r="J13" s="29" t="n"/>
    </row>
    <row r="14">
      <c r="A14" s="32" t="n"/>
      <c r="B14" s="28" t="n"/>
      <c r="C14" s="28" t="n"/>
      <c r="D14" s="29" t="n"/>
      <c r="E14" s="11">
        <f>IF(B14="","",IFERROR(INDEX(Produits!$H$5:$H$64,MATCH(B14,Produits!$G$5:$G$64,0)),""))</f>
        <v/>
      </c>
      <c r="F14" s="28" t="n"/>
      <c r="G14" s="32" t="n"/>
      <c r="H14" s="11">
        <f>IF(G14="","",G14-TODAY())</f>
        <v/>
      </c>
      <c r="I14" s="11">
        <f>IF(G14="","",IF(J14="Oui","Terminé",IF(H14&lt;0,"PÉRIMÉ",IF(H14&lt;=1,"AUJOURD'HUI",IF(H14&lt;=3,"BIENTÔT","OK")))))</f>
        <v/>
      </c>
      <c r="J14" s="29" t="n"/>
    </row>
    <row r="15">
      <c r="A15" s="32" t="n"/>
      <c r="B15" s="28" t="n"/>
      <c r="C15" s="28" t="n"/>
      <c r="D15" s="29" t="n"/>
      <c r="E15" s="11">
        <f>IF(B15="","",IFERROR(INDEX(Produits!$H$5:$H$64,MATCH(B15,Produits!$G$5:$G$64,0)),""))</f>
        <v/>
      </c>
      <c r="F15" s="28" t="n"/>
      <c r="G15" s="32" t="n"/>
      <c r="H15" s="11">
        <f>IF(G15="","",G15-TODAY())</f>
        <v/>
      </c>
      <c r="I15" s="11">
        <f>IF(G15="","",IF(J15="Oui","Terminé",IF(H15&lt;0,"PÉRIMÉ",IF(H15&lt;=1,"AUJOURD'HUI",IF(H15&lt;=3,"BIENTÔT","OK")))))</f>
        <v/>
      </c>
      <c r="J15" s="29" t="n"/>
    </row>
    <row r="16">
      <c r="A16" s="32" t="n"/>
      <c r="B16" s="28" t="n"/>
      <c r="C16" s="28" t="n"/>
      <c r="D16" s="29" t="n"/>
      <c r="E16" s="11">
        <f>IF(B16="","",IFERROR(INDEX(Produits!$H$5:$H$64,MATCH(B16,Produits!$G$5:$G$64,0)),""))</f>
        <v/>
      </c>
      <c r="F16" s="28" t="n"/>
      <c r="G16" s="32" t="n"/>
      <c r="H16" s="11">
        <f>IF(G16="","",G16-TODAY())</f>
        <v/>
      </c>
      <c r="I16" s="11">
        <f>IF(G16="","",IF(J16="Oui","Terminé",IF(H16&lt;0,"PÉRIMÉ",IF(H16&lt;=1,"AUJOURD'HUI",IF(H16&lt;=3,"BIENTÔT","OK")))))</f>
        <v/>
      </c>
      <c r="J16" s="29" t="n"/>
    </row>
    <row r="17">
      <c r="A17" s="32" t="n"/>
      <c r="B17" s="28" t="n"/>
      <c r="C17" s="28" t="n"/>
      <c r="D17" s="29" t="n"/>
      <c r="E17" s="11">
        <f>IF(B17="","",IFERROR(INDEX(Produits!$H$5:$H$64,MATCH(B17,Produits!$G$5:$G$64,0)),""))</f>
        <v/>
      </c>
      <c r="F17" s="28" t="n"/>
      <c r="G17" s="32" t="n"/>
      <c r="H17" s="11">
        <f>IF(G17="","",G17-TODAY())</f>
        <v/>
      </c>
      <c r="I17" s="11">
        <f>IF(G17="","",IF(J17="Oui","Terminé",IF(H17&lt;0,"PÉRIMÉ",IF(H17&lt;=1,"AUJOURD'HUI",IF(H17&lt;=3,"BIENTÔT","OK")))))</f>
        <v/>
      </c>
      <c r="J17" s="29" t="n"/>
    </row>
    <row r="18">
      <c r="A18" s="32" t="n"/>
      <c r="B18" s="28" t="n"/>
      <c r="C18" s="28" t="n"/>
      <c r="D18" s="29" t="n"/>
      <c r="E18" s="11">
        <f>IF(B18="","",IFERROR(INDEX(Produits!$H$5:$H$64,MATCH(B18,Produits!$G$5:$G$64,0)),""))</f>
        <v/>
      </c>
      <c r="F18" s="28" t="n"/>
      <c r="G18" s="32" t="n"/>
      <c r="H18" s="11">
        <f>IF(G18="","",G18-TODAY())</f>
        <v/>
      </c>
      <c r="I18" s="11">
        <f>IF(G18="","",IF(J18="Oui","Terminé",IF(H18&lt;0,"PÉRIMÉ",IF(H18&lt;=1,"AUJOURD'HUI",IF(H18&lt;=3,"BIENTÔT","OK")))))</f>
        <v/>
      </c>
      <c r="J18" s="29" t="n"/>
    </row>
    <row r="19">
      <c r="A19" s="32" t="n"/>
      <c r="B19" s="28" t="n"/>
      <c r="C19" s="28" t="n"/>
      <c r="D19" s="29" t="n"/>
      <c r="E19" s="11">
        <f>IF(B19="","",IFERROR(INDEX(Produits!$H$5:$H$64,MATCH(B19,Produits!$G$5:$G$64,0)),""))</f>
        <v/>
      </c>
      <c r="F19" s="28" t="n"/>
      <c r="G19" s="32" t="n"/>
      <c r="H19" s="11">
        <f>IF(G19="","",G19-TODAY())</f>
        <v/>
      </c>
      <c r="I19" s="11">
        <f>IF(G19="","",IF(J19="Oui","Terminé",IF(H19&lt;0,"PÉRIMÉ",IF(H19&lt;=1,"AUJOURD'HUI",IF(H19&lt;=3,"BIENTÔT","OK")))))</f>
        <v/>
      </c>
      <c r="J19" s="29" t="n"/>
    </row>
    <row r="20">
      <c r="A20" s="32" t="n"/>
      <c r="B20" s="28" t="n"/>
      <c r="C20" s="28" t="n"/>
      <c r="D20" s="29" t="n"/>
      <c r="E20" s="11">
        <f>IF(B20="","",IFERROR(INDEX(Produits!$H$5:$H$64,MATCH(B20,Produits!$G$5:$G$64,0)),""))</f>
        <v/>
      </c>
      <c r="F20" s="28" t="n"/>
      <c r="G20" s="32" t="n"/>
      <c r="H20" s="11">
        <f>IF(G20="","",G20-TODAY())</f>
        <v/>
      </c>
      <c r="I20" s="11">
        <f>IF(G20="","",IF(J20="Oui","Terminé",IF(H20&lt;0,"PÉRIMÉ",IF(H20&lt;=1,"AUJOURD'HUI",IF(H20&lt;=3,"BIENTÔT","OK")))))</f>
        <v/>
      </c>
      <c r="J20" s="29" t="n"/>
    </row>
    <row r="21">
      <c r="A21" s="32" t="n"/>
      <c r="B21" s="28" t="n"/>
      <c r="C21" s="28" t="n"/>
      <c r="D21" s="29" t="n"/>
      <c r="E21" s="11">
        <f>IF(B21="","",IFERROR(INDEX(Produits!$H$5:$H$64,MATCH(B21,Produits!$G$5:$G$64,0)),""))</f>
        <v/>
      </c>
      <c r="F21" s="28" t="n"/>
      <c r="G21" s="32" t="n"/>
      <c r="H21" s="11">
        <f>IF(G21="","",G21-TODAY())</f>
        <v/>
      </c>
      <c r="I21" s="11">
        <f>IF(G21="","",IF(J21="Oui","Terminé",IF(H21&lt;0,"PÉRIMÉ",IF(H21&lt;=1,"AUJOURD'HUI",IF(H21&lt;=3,"BIENTÔT","OK")))))</f>
        <v/>
      </c>
      <c r="J21" s="29" t="n"/>
    </row>
    <row r="22">
      <c r="A22" s="32" t="n"/>
      <c r="B22" s="28" t="n"/>
      <c r="C22" s="28" t="n"/>
      <c r="D22" s="29" t="n"/>
      <c r="E22" s="11">
        <f>IF(B22="","",IFERROR(INDEX(Produits!$H$5:$H$64,MATCH(B22,Produits!$G$5:$G$64,0)),""))</f>
        <v/>
      </c>
      <c r="F22" s="28" t="n"/>
      <c r="G22" s="32" t="n"/>
      <c r="H22" s="11">
        <f>IF(G22="","",G22-TODAY())</f>
        <v/>
      </c>
      <c r="I22" s="11">
        <f>IF(G22="","",IF(J22="Oui","Terminé",IF(H22&lt;0,"PÉRIMÉ",IF(H22&lt;=1,"AUJOURD'HUI",IF(H22&lt;=3,"BIENTÔT","OK")))))</f>
        <v/>
      </c>
      <c r="J22" s="29" t="n"/>
    </row>
    <row r="23">
      <c r="A23" s="32" t="n"/>
      <c r="B23" s="28" t="n"/>
      <c r="C23" s="28" t="n"/>
      <c r="D23" s="29" t="n"/>
      <c r="E23" s="11">
        <f>IF(B23="","",IFERROR(INDEX(Produits!$H$5:$H$64,MATCH(B23,Produits!$G$5:$G$64,0)),""))</f>
        <v/>
      </c>
      <c r="F23" s="28" t="n"/>
      <c r="G23" s="32" t="n"/>
      <c r="H23" s="11">
        <f>IF(G23="","",G23-TODAY())</f>
        <v/>
      </c>
      <c r="I23" s="11">
        <f>IF(G23="","",IF(J23="Oui","Terminé",IF(H23&lt;0,"PÉRIMÉ",IF(H23&lt;=1,"AUJOURD'HUI",IF(H23&lt;=3,"BIENTÔT","OK")))))</f>
        <v/>
      </c>
      <c r="J23" s="29" t="n"/>
    </row>
    <row r="24">
      <c r="A24" s="32" t="n"/>
      <c r="B24" s="28" t="n"/>
      <c r="C24" s="28" t="n"/>
      <c r="D24" s="29" t="n"/>
      <c r="E24" s="11">
        <f>IF(B24="","",IFERROR(INDEX(Produits!$H$5:$H$64,MATCH(B24,Produits!$G$5:$G$64,0)),""))</f>
        <v/>
      </c>
      <c r="F24" s="28" t="n"/>
      <c r="G24" s="32" t="n"/>
      <c r="H24" s="11">
        <f>IF(G24="","",G24-TODAY())</f>
        <v/>
      </c>
      <c r="I24" s="11">
        <f>IF(G24="","",IF(J24="Oui","Terminé",IF(H24&lt;0,"PÉRIMÉ",IF(H24&lt;=1,"AUJOURD'HUI",IF(H24&lt;=3,"BIENTÔT","OK")))))</f>
        <v/>
      </c>
      <c r="J24" s="29" t="n"/>
    </row>
    <row r="25">
      <c r="A25" s="32" t="n"/>
      <c r="B25" s="28" t="n"/>
      <c r="C25" s="28" t="n"/>
      <c r="D25" s="29" t="n"/>
      <c r="E25" s="11">
        <f>IF(B25="","",IFERROR(INDEX(Produits!$H$5:$H$64,MATCH(B25,Produits!$G$5:$G$64,0)),""))</f>
        <v/>
      </c>
      <c r="F25" s="28" t="n"/>
      <c r="G25" s="32" t="n"/>
      <c r="H25" s="11">
        <f>IF(G25="","",G25-TODAY())</f>
        <v/>
      </c>
      <c r="I25" s="11">
        <f>IF(G25="","",IF(J25="Oui","Terminé",IF(H25&lt;0,"PÉRIMÉ",IF(H25&lt;=1,"AUJOURD'HUI",IF(H25&lt;=3,"BIENTÔT","OK")))))</f>
        <v/>
      </c>
      <c r="J25" s="29" t="n"/>
    </row>
    <row r="26">
      <c r="A26" s="32" t="n"/>
      <c r="B26" s="28" t="n"/>
      <c r="C26" s="28" t="n"/>
      <c r="D26" s="29" t="n"/>
      <c r="E26" s="11">
        <f>IF(B26="","",IFERROR(INDEX(Produits!$H$5:$H$64,MATCH(B26,Produits!$G$5:$G$64,0)),""))</f>
        <v/>
      </c>
      <c r="F26" s="28" t="n"/>
      <c r="G26" s="32" t="n"/>
      <c r="H26" s="11">
        <f>IF(G26="","",G26-TODAY())</f>
        <v/>
      </c>
      <c r="I26" s="11">
        <f>IF(G26="","",IF(J26="Oui","Terminé",IF(H26&lt;0,"PÉRIMÉ",IF(H26&lt;=1,"AUJOURD'HUI",IF(H26&lt;=3,"BIENTÔT","OK")))))</f>
        <v/>
      </c>
      <c r="J26" s="29" t="n"/>
    </row>
    <row r="27">
      <c r="A27" s="32" t="n"/>
      <c r="B27" s="28" t="n"/>
      <c r="C27" s="28" t="n"/>
      <c r="D27" s="29" t="n"/>
      <c r="E27" s="11">
        <f>IF(B27="","",IFERROR(INDEX(Produits!$H$5:$H$64,MATCH(B27,Produits!$G$5:$G$64,0)),""))</f>
        <v/>
      </c>
      <c r="F27" s="28" t="n"/>
      <c r="G27" s="32" t="n"/>
      <c r="H27" s="11">
        <f>IF(G27="","",G27-TODAY())</f>
        <v/>
      </c>
      <c r="I27" s="11">
        <f>IF(G27="","",IF(J27="Oui","Terminé",IF(H27&lt;0,"PÉRIMÉ",IF(H27&lt;=1,"AUJOURD'HUI",IF(H27&lt;=3,"BIENTÔT","OK")))))</f>
        <v/>
      </c>
      <c r="J27" s="29" t="n"/>
    </row>
    <row r="28">
      <c r="A28" s="32" t="n"/>
      <c r="B28" s="28" t="n"/>
      <c r="C28" s="28" t="n"/>
      <c r="D28" s="29" t="n"/>
      <c r="E28" s="11">
        <f>IF(B28="","",IFERROR(INDEX(Produits!$H$5:$H$64,MATCH(B28,Produits!$G$5:$G$64,0)),""))</f>
        <v/>
      </c>
      <c r="F28" s="28" t="n"/>
      <c r="G28" s="32" t="n"/>
      <c r="H28" s="11">
        <f>IF(G28="","",G28-TODAY())</f>
        <v/>
      </c>
      <c r="I28" s="11">
        <f>IF(G28="","",IF(J28="Oui","Terminé",IF(H28&lt;0,"PÉRIMÉ",IF(H28&lt;=1,"AUJOURD'HUI",IF(H28&lt;=3,"BIENTÔT","OK")))))</f>
        <v/>
      </c>
      <c r="J28" s="29" t="n"/>
    </row>
    <row r="29">
      <c r="A29" s="32" t="n"/>
      <c r="B29" s="28" t="n"/>
      <c r="C29" s="28" t="n"/>
      <c r="D29" s="29" t="n"/>
      <c r="E29" s="11">
        <f>IF(B29="","",IFERROR(INDEX(Produits!$H$5:$H$64,MATCH(B29,Produits!$G$5:$G$64,0)),""))</f>
        <v/>
      </c>
      <c r="F29" s="28" t="n"/>
      <c r="G29" s="32" t="n"/>
      <c r="H29" s="11">
        <f>IF(G29="","",G29-TODAY())</f>
        <v/>
      </c>
      <c r="I29" s="11">
        <f>IF(G29="","",IF(J29="Oui","Terminé",IF(H29&lt;0,"PÉRIMÉ",IF(H29&lt;=1,"AUJOURD'HUI",IF(H29&lt;=3,"BIENTÔT","OK")))))</f>
        <v/>
      </c>
      <c r="J29" s="29" t="n"/>
    </row>
    <row r="30">
      <c r="A30" s="32" t="n"/>
      <c r="B30" s="28" t="n"/>
      <c r="C30" s="28" t="n"/>
      <c r="D30" s="29" t="n"/>
      <c r="E30" s="11">
        <f>IF(B30="","",IFERROR(INDEX(Produits!$H$5:$H$64,MATCH(B30,Produits!$G$5:$G$64,0)),""))</f>
        <v/>
      </c>
      <c r="F30" s="28" t="n"/>
      <c r="G30" s="32" t="n"/>
      <c r="H30" s="11">
        <f>IF(G30="","",G30-TODAY())</f>
        <v/>
      </c>
      <c r="I30" s="11">
        <f>IF(G30="","",IF(J30="Oui","Terminé",IF(H30&lt;0,"PÉRIMÉ",IF(H30&lt;=1,"AUJOURD'HUI",IF(H30&lt;=3,"BIENTÔT","OK")))))</f>
        <v/>
      </c>
      <c r="J30" s="29" t="n"/>
    </row>
    <row r="31">
      <c r="A31" s="32" t="n"/>
      <c r="B31" s="28" t="n"/>
      <c r="C31" s="28" t="n"/>
      <c r="D31" s="29" t="n"/>
      <c r="E31" s="11">
        <f>IF(B31="","",IFERROR(INDEX(Produits!$H$5:$H$64,MATCH(B31,Produits!$G$5:$G$64,0)),""))</f>
        <v/>
      </c>
      <c r="F31" s="28" t="n"/>
      <c r="G31" s="32" t="n"/>
      <c r="H31" s="11">
        <f>IF(G31="","",G31-TODAY())</f>
        <v/>
      </c>
      <c r="I31" s="11">
        <f>IF(G31="","",IF(J31="Oui","Terminé",IF(H31&lt;0,"PÉRIMÉ",IF(H31&lt;=1,"AUJOURD'HUI",IF(H31&lt;=3,"BIENTÔT","OK")))))</f>
        <v/>
      </c>
      <c r="J31" s="29" t="n"/>
    </row>
    <row r="32">
      <c r="A32" s="32" t="n"/>
      <c r="B32" s="28" t="n"/>
      <c r="C32" s="28" t="n"/>
      <c r="D32" s="29" t="n"/>
      <c r="E32" s="11">
        <f>IF(B32="","",IFERROR(INDEX(Produits!$H$5:$H$64,MATCH(B32,Produits!$G$5:$G$64,0)),""))</f>
        <v/>
      </c>
      <c r="F32" s="28" t="n"/>
      <c r="G32" s="32" t="n"/>
      <c r="H32" s="11">
        <f>IF(G32="","",G32-TODAY())</f>
        <v/>
      </c>
      <c r="I32" s="11">
        <f>IF(G32="","",IF(J32="Oui","Terminé",IF(H32&lt;0,"PÉRIMÉ",IF(H32&lt;=1,"AUJOURD'HUI",IF(H32&lt;=3,"BIENTÔT","OK")))))</f>
        <v/>
      </c>
      <c r="J32" s="29" t="n"/>
    </row>
    <row r="33">
      <c r="A33" s="32" t="n"/>
      <c r="B33" s="28" t="n"/>
      <c r="C33" s="28" t="n"/>
      <c r="D33" s="29" t="n"/>
      <c r="E33" s="11">
        <f>IF(B33="","",IFERROR(INDEX(Produits!$H$5:$H$64,MATCH(B33,Produits!$G$5:$G$64,0)),""))</f>
        <v/>
      </c>
      <c r="F33" s="28" t="n"/>
      <c r="G33" s="32" t="n"/>
      <c r="H33" s="11">
        <f>IF(G33="","",G33-TODAY())</f>
        <v/>
      </c>
      <c r="I33" s="11">
        <f>IF(G33="","",IF(J33="Oui","Terminé",IF(H33&lt;0,"PÉRIMÉ",IF(H33&lt;=1,"AUJOURD'HUI",IF(H33&lt;=3,"BIENTÔT","OK")))))</f>
        <v/>
      </c>
      <c r="J33" s="29" t="n"/>
    </row>
    <row r="34">
      <c r="A34" s="32" t="n"/>
      <c r="B34" s="28" t="n"/>
      <c r="C34" s="28" t="n"/>
      <c r="D34" s="29" t="n"/>
      <c r="E34" s="11">
        <f>IF(B34="","",IFERROR(INDEX(Produits!$H$5:$H$64,MATCH(B34,Produits!$G$5:$G$64,0)),""))</f>
        <v/>
      </c>
      <c r="F34" s="28" t="n"/>
      <c r="G34" s="32" t="n"/>
      <c r="H34" s="11">
        <f>IF(G34="","",G34-TODAY())</f>
        <v/>
      </c>
      <c r="I34" s="11">
        <f>IF(G34="","",IF(J34="Oui","Terminé",IF(H34&lt;0,"PÉRIMÉ",IF(H34&lt;=1,"AUJOURD'HUI",IF(H34&lt;=3,"BIENTÔT","OK")))))</f>
        <v/>
      </c>
      <c r="J34" s="29" t="n"/>
    </row>
    <row r="35">
      <c r="A35" s="32" t="n"/>
      <c r="B35" s="28" t="n"/>
      <c r="C35" s="28" t="n"/>
      <c r="D35" s="29" t="n"/>
      <c r="E35" s="11">
        <f>IF(B35="","",IFERROR(INDEX(Produits!$H$5:$H$64,MATCH(B35,Produits!$G$5:$G$64,0)),""))</f>
        <v/>
      </c>
      <c r="F35" s="28" t="n"/>
      <c r="G35" s="32" t="n"/>
      <c r="H35" s="11">
        <f>IF(G35="","",G35-TODAY())</f>
        <v/>
      </c>
      <c r="I35" s="11">
        <f>IF(G35="","",IF(J35="Oui","Terminé",IF(H35&lt;0,"PÉRIMÉ",IF(H35&lt;=1,"AUJOURD'HUI",IF(H35&lt;=3,"BIENTÔT","OK")))))</f>
        <v/>
      </c>
      <c r="J35" s="29" t="n"/>
    </row>
    <row r="36">
      <c r="A36" s="32" t="n"/>
      <c r="B36" s="28" t="n"/>
      <c r="C36" s="28" t="n"/>
      <c r="D36" s="29" t="n"/>
      <c r="E36" s="11">
        <f>IF(B36="","",IFERROR(INDEX(Produits!$H$5:$H$64,MATCH(B36,Produits!$G$5:$G$64,0)),""))</f>
        <v/>
      </c>
      <c r="F36" s="28" t="n"/>
      <c r="G36" s="32" t="n"/>
      <c r="H36" s="11">
        <f>IF(G36="","",G36-TODAY())</f>
        <v/>
      </c>
      <c r="I36" s="11">
        <f>IF(G36="","",IF(J36="Oui","Terminé",IF(H36&lt;0,"PÉRIMÉ",IF(H36&lt;=1,"AUJOURD'HUI",IF(H36&lt;=3,"BIENTÔT","OK")))))</f>
        <v/>
      </c>
      <c r="J36" s="29" t="n"/>
    </row>
    <row r="37">
      <c r="A37" s="32" t="n"/>
      <c r="B37" s="28" t="n"/>
      <c r="C37" s="28" t="n"/>
      <c r="D37" s="29" t="n"/>
      <c r="E37" s="11">
        <f>IF(B37="","",IFERROR(INDEX(Produits!$H$5:$H$64,MATCH(B37,Produits!$G$5:$G$64,0)),""))</f>
        <v/>
      </c>
      <c r="F37" s="28" t="n"/>
      <c r="G37" s="32" t="n"/>
      <c r="H37" s="11">
        <f>IF(G37="","",G37-TODAY())</f>
        <v/>
      </c>
      <c r="I37" s="11">
        <f>IF(G37="","",IF(J37="Oui","Terminé",IF(H37&lt;0,"PÉRIMÉ",IF(H37&lt;=1,"AUJOURD'HUI",IF(H37&lt;=3,"BIENTÔT","OK")))))</f>
        <v/>
      </c>
      <c r="J37" s="29" t="n"/>
    </row>
    <row r="38">
      <c r="A38" s="32" t="n"/>
      <c r="B38" s="28" t="n"/>
      <c r="C38" s="28" t="n"/>
      <c r="D38" s="29" t="n"/>
      <c r="E38" s="11">
        <f>IF(B38="","",IFERROR(INDEX(Produits!$H$5:$H$64,MATCH(B38,Produits!$G$5:$G$64,0)),""))</f>
        <v/>
      </c>
      <c r="F38" s="28" t="n"/>
      <c r="G38" s="32" t="n"/>
      <c r="H38" s="11">
        <f>IF(G38="","",G38-TODAY())</f>
        <v/>
      </c>
      <c r="I38" s="11">
        <f>IF(G38="","",IF(J38="Oui","Terminé",IF(H38&lt;0,"PÉRIMÉ",IF(H38&lt;=1,"AUJOURD'HUI",IF(H38&lt;=3,"BIENTÔT","OK")))))</f>
        <v/>
      </c>
      <c r="J38" s="29" t="n"/>
    </row>
    <row r="39">
      <c r="A39" s="32" t="n"/>
      <c r="B39" s="28" t="n"/>
      <c r="C39" s="28" t="n"/>
      <c r="D39" s="29" t="n"/>
      <c r="E39" s="11">
        <f>IF(B39="","",IFERROR(INDEX(Produits!$H$5:$H$64,MATCH(B39,Produits!$G$5:$G$64,0)),""))</f>
        <v/>
      </c>
      <c r="F39" s="28" t="n"/>
      <c r="G39" s="32" t="n"/>
      <c r="H39" s="11">
        <f>IF(G39="","",G39-TODAY())</f>
        <v/>
      </c>
      <c r="I39" s="11">
        <f>IF(G39="","",IF(J39="Oui","Terminé",IF(H39&lt;0,"PÉRIMÉ",IF(H39&lt;=1,"AUJOURD'HUI",IF(H39&lt;=3,"BIENTÔT","OK")))))</f>
        <v/>
      </c>
      <c r="J39" s="29" t="n"/>
    </row>
    <row r="40">
      <c r="A40" s="32" t="n"/>
      <c r="B40" s="28" t="n"/>
      <c r="C40" s="28" t="n"/>
      <c r="D40" s="29" t="n"/>
      <c r="E40" s="11">
        <f>IF(B40="","",IFERROR(INDEX(Produits!$H$5:$H$64,MATCH(B40,Produits!$G$5:$G$64,0)),""))</f>
        <v/>
      </c>
      <c r="F40" s="28" t="n"/>
      <c r="G40" s="32" t="n"/>
      <c r="H40" s="11">
        <f>IF(G40="","",G40-TODAY())</f>
        <v/>
      </c>
      <c r="I40" s="11">
        <f>IF(G40="","",IF(J40="Oui","Terminé",IF(H40&lt;0,"PÉRIMÉ",IF(H40&lt;=1,"AUJOURD'HUI",IF(H40&lt;=3,"BIENTÔT","OK")))))</f>
        <v/>
      </c>
      <c r="J40" s="29" t="n"/>
    </row>
    <row r="41">
      <c r="A41" s="32" t="n"/>
      <c r="B41" s="28" t="n"/>
      <c r="C41" s="28" t="n"/>
      <c r="D41" s="29" t="n"/>
      <c r="E41" s="11">
        <f>IF(B41="","",IFERROR(INDEX(Produits!$H$5:$H$64,MATCH(B41,Produits!$G$5:$G$64,0)),""))</f>
        <v/>
      </c>
      <c r="F41" s="28" t="n"/>
      <c r="G41" s="32" t="n"/>
      <c r="H41" s="11">
        <f>IF(G41="","",G41-TODAY())</f>
        <v/>
      </c>
      <c r="I41" s="11">
        <f>IF(G41="","",IF(J41="Oui","Terminé",IF(H41&lt;0,"PÉRIMÉ",IF(H41&lt;=1,"AUJOURD'HUI",IF(H41&lt;=3,"BIENTÔT","OK")))))</f>
        <v/>
      </c>
      <c r="J41" s="29" t="n"/>
    </row>
    <row r="42">
      <c r="A42" s="32" t="n"/>
      <c r="B42" s="28" t="n"/>
      <c r="C42" s="28" t="n"/>
      <c r="D42" s="29" t="n"/>
      <c r="E42" s="11">
        <f>IF(B42="","",IFERROR(INDEX(Produits!$H$5:$H$64,MATCH(B42,Produits!$G$5:$G$64,0)),""))</f>
        <v/>
      </c>
      <c r="F42" s="28" t="n"/>
      <c r="G42" s="32" t="n"/>
      <c r="H42" s="11">
        <f>IF(G42="","",G42-TODAY())</f>
        <v/>
      </c>
      <c r="I42" s="11">
        <f>IF(G42="","",IF(J42="Oui","Terminé",IF(H42&lt;0,"PÉRIMÉ",IF(H42&lt;=1,"AUJOURD'HUI",IF(H42&lt;=3,"BIENTÔT","OK")))))</f>
        <v/>
      </c>
      <c r="J42" s="29" t="n"/>
    </row>
    <row r="43">
      <c r="A43" s="32" t="n"/>
      <c r="B43" s="28" t="n"/>
      <c r="C43" s="28" t="n"/>
      <c r="D43" s="29" t="n"/>
      <c r="E43" s="11">
        <f>IF(B43="","",IFERROR(INDEX(Produits!$H$5:$H$64,MATCH(B43,Produits!$G$5:$G$64,0)),""))</f>
        <v/>
      </c>
      <c r="F43" s="28" t="n"/>
      <c r="G43" s="32" t="n"/>
      <c r="H43" s="11">
        <f>IF(G43="","",G43-TODAY())</f>
        <v/>
      </c>
      <c r="I43" s="11">
        <f>IF(G43="","",IF(J43="Oui","Terminé",IF(H43&lt;0,"PÉRIMÉ",IF(H43&lt;=1,"AUJOURD'HUI",IF(H43&lt;=3,"BIENTÔT","OK")))))</f>
        <v/>
      </c>
      <c r="J43" s="29" t="n"/>
    </row>
    <row r="44">
      <c r="A44" s="32" t="n"/>
      <c r="B44" s="28" t="n"/>
      <c r="C44" s="28" t="n"/>
      <c r="D44" s="29" t="n"/>
      <c r="E44" s="11">
        <f>IF(B44="","",IFERROR(INDEX(Produits!$H$5:$H$64,MATCH(B44,Produits!$G$5:$G$64,0)),""))</f>
        <v/>
      </c>
      <c r="F44" s="28" t="n"/>
      <c r="G44" s="32" t="n"/>
      <c r="H44" s="11">
        <f>IF(G44="","",G44-TODAY())</f>
        <v/>
      </c>
      <c r="I44" s="11">
        <f>IF(G44="","",IF(J44="Oui","Terminé",IF(H44&lt;0,"PÉRIMÉ",IF(H44&lt;=1,"AUJOURD'HUI",IF(H44&lt;=3,"BIENTÔT","OK")))))</f>
        <v/>
      </c>
      <c r="J44" s="29" t="n"/>
    </row>
    <row r="45">
      <c r="A45" s="32" t="n"/>
      <c r="B45" s="28" t="n"/>
      <c r="C45" s="28" t="n"/>
      <c r="D45" s="29" t="n"/>
      <c r="E45" s="11">
        <f>IF(B45="","",IFERROR(INDEX(Produits!$H$5:$H$64,MATCH(B45,Produits!$G$5:$G$64,0)),""))</f>
        <v/>
      </c>
      <c r="F45" s="28" t="n"/>
      <c r="G45" s="32" t="n"/>
      <c r="H45" s="11">
        <f>IF(G45="","",G45-TODAY())</f>
        <v/>
      </c>
      <c r="I45" s="11">
        <f>IF(G45="","",IF(J45="Oui","Terminé",IF(H45&lt;0,"PÉRIMÉ",IF(H45&lt;=1,"AUJOURD'HUI",IF(H45&lt;=3,"BIENTÔT","OK")))))</f>
        <v/>
      </c>
      <c r="J45" s="29" t="n"/>
    </row>
    <row r="46">
      <c r="A46" s="32" t="n"/>
      <c r="B46" s="28" t="n"/>
      <c r="C46" s="28" t="n"/>
      <c r="D46" s="29" t="n"/>
      <c r="E46" s="11">
        <f>IF(B46="","",IFERROR(INDEX(Produits!$H$5:$H$64,MATCH(B46,Produits!$G$5:$G$64,0)),""))</f>
        <v/>
      </c>
      <c r="F46" s="28" t="n"/>
      <c r="G46" s="32" t="n"/>
      <c r="H46" s="11">
        <f>IF(G46="","",G46-TODAY())</f>
        <v/>
      </c>
      <c r="I46" s="11">
        <f>IF(G46="","",IF(J46="Oui","Terminé",IF(H46&lt;0,"PÉRIMÉ",IF(H46&lt;=1,"AUJOURD'HUI",IF(H46&lt;=3,"BIENTÔT","OK")))))</f>
        <v/>
      </c>
      <c r="J46" s="29" t="n"/>
    </row>
    <row r="47">
      <c r="A47" s="32" t="n"/>
      <c r="B47" s="28" t="n"/>
      <c r="C47" s="28" t="n"/>
      <c r="D47" s="29" t="n"/>
      <c r="E47" s="11">
        <f>IF(B47="","",IFERROR(INDEX(Produits!$H$5:$H$64,MATCH(B47,Produits!$G$5:$G$64,0)),""))</f>
        <v/>
      </c>
      <c r="F47" s="28" t="n"/>
      <c r="G47" s="32" t="n"/>
      <c r="H47" s="11">
        <f>IF(G47="","",G47-TODAY())</f>
        <v/>
      </c>
      <c r="I47" s="11">
        <f>IF(G47="","",IF(J47="Oui","Terminé",IF(H47&lt;0,"PÉRIMÉ",IF(H47&lt;=1,"AUJOURD'HUI",IF(H47&lt;=3,"BIENTÔT","OK")))))</f>
        <v/>
      </c>
      <c r="J47" s="29" t="n"/>
    </row>
    <row r="48">
      <c r="A48" s="32" t="n"/>
      <c r="B48" s="28" t="n"/>
      <c r="C48" s="28" t="n"/>
      <c r="D48" s="29" t="n"/>
      <c r="E48" s="11">
        <f>IF(B48="","",IFERROR(INDEX(Produits!$H$5:$H$64,MATCH(B48,Produits!$G$5:$G$64,0)),""))</f>
        <v/>
      </c>
      <c r="F48" s="28" t="n"/>
      <c r="G48" s="32" t="n"/>
      <c r="H48" s="11">
        <f>IF(G48="","",G48-TODAY())</f>
        <v/>
      </c>
      <c r="I48" s="11">
        <f>IF(G48="","",IF(J48="Oui","Terminé",IF(H48&lt;0,"PÉRIMÉ",IF(H48&lt;=1,"AUJOURD'HUI",IF(H48&lt;=3,"BIENTÔT","OK")))))</f>
        <v/>
      </c>
      <c r="J48" s="29" t="n"/>
    </row>
    <row r="49">
      <c r="A49" s="32" t="n"/>
      <c r="B49" s="28" t="n"/>
      <c r="C49" s="28" t="n"/>
      <c r="D49" s="29" t="n"/>
      <c r="E49" s="11">
        <f>IF(B49="","",IFERROR(INDEX(Produits!$H$5:$H$64,MATCH(B49,Produits!$G$5:$G$64,0)),""))</f>
        <v/>
      </c>
      <c r="F49" s="28" t="n"/>
      <c r="G49" s="32" t="n"/>
      <c r="H49" s="11">
        <f>IF(G49="","",G49-TODAY())</f>
        <v/>
      </c>
      <c r="I49" s="11">
        <f>IF(G49="","",IF(J49="Oui","Terminé",IF(H49&lt;0,"PÉRIMÉ",IF(H49&lt;=1,"AUJOURD'HUI",IF(H49&lt;=3,"BIENTÔT","OK")))))</f>
        <v/>
      </c>
      <c r="J49" s="29" t="n"/>
    </row>
    <row r="50">
      <c r="A50" s="32" t="n"/>
      <c r="B50" s="28" t="n"/>
      <c r="C50" s="28" t="n"/>
      <c r="D50" s="29" t="n"/>
      <c r="E50" s="11">
        <f>IF(B50="","",IFERROR(INDEX(Produits!$H$5:$H$64,MATCH(B50,Produits!$G$5:$G$64,0)),""))</f>
        <v/>
      </c>
      <c r="F50" s="28" t="n"/>
      <c r="G50" s="32" t="n"/>
      <c r="H50" s="11">
        <f>IF(G50="","",G50-TODAY())</f>
        <v/>
      </c>
      <c r="I50" s="11">
        <f>IF(G50="","",IF(J50="Oui","Terminé",IF(H50&lt;0,"PÉRIMÉ",IF(H50&lt;=1,"AUJOURD'HUI",IF(H50&lt;=3,"BIENTÔT","OK")))))</f>
        <v/>
      </c>
      <c r="J50" s="29" t="n"/>
    </row>
    <row r="51">
      <c r="A51" s="32" t="n"/>
      <c r="B51" s="28" t="n"/>
      <c r="C51" s="28" t="n"/>
      <c r="D51" s="29" t="n"/>
      <c r="E51" s="11">
        <f>IF(B51="","",IFERROR(INDEX(Produits!$H$5:$H$64,MATCH(B51,Produits!$G$5:$G$64,0)),""))</f>
        <v/>
      </c>
      <c r="F51" s="28" t="n"/>
      <c r="G51" s="32" t="n"/>
      <c r="H51" s="11">
        <f>IF(G51="","",G51-TODAY())</f>
        <v/>
      </c>
      <c r="I51" s="11">
        <f>IF(G51="","",IF(J51="Oui","Terminé",IF(H51&lt;0,"PÉRIMÉ",IF(H51&lt;=1,"AUJOURD'HUI",IF(H51&lt;=3,"BIENTÔT","OK")))))</f>
        <v/>
      </c>
      <c r="J51" s="29" t="n"/>
    </row>
    <row r="52">
      <c r="A52" s="32" t="n"/>
      <c r="B52" s="28" t="n"/>
      <c r="C52" s="28" t="n"/>
      <c r="D52" s="29" t="n"/>
      <c r="E52" s="11">
        <f>IF(B52="","",IFERROR(INDEX(Produits!$H$5:$H$64,MATCH(B52,Produits!$G$5:$G$64,0)),""))</f>
        <v/>
      </c>
      <c r="F52" s="28" t="n"/>
      <c r="G52" s="32" t="n"/>
      <c r="H52" s="11">
        <f>IF(G52="","",G52-TODAY())</f>
        <v/>
      </c>
      <c r="I52" s="11">
        <f>IF(G52="","",IF(J52="Oui","Terminé",IF(H52&lt;0,"PÉRIMÉ",IF(H52&lt;=1,"AUJOURD'HUI",IF(H52&lt;=3,"BIENTÔT","OK")))))</f>
        <v/>
      </c>
      <c r="J52" s="29" t="n"/>
    </row>
    <row r="53">
      <c r="A53" s="32" t="n"/>
      <c r="B53" s="28" t="n"/>
      <c r="C53" s="28" t="n"/>
      <c r="D53" s="29" t="n"/>
      <c r="E53" s="11">
        <f>IF(B53="","",IFERROR(INDEX(Produits!$H$5:$H$64,MATCH(B53,Produits!$G$5:$G$64,0)),""))</f>
        <v/>
      </c>
      <c r="F53" s="28" t="n"/>
      <c r="G53" s="32" t="n"/>
      <c r="H53" s="11">
        <f>IF(G53="","",G53-TODAY())</f>
        <v/>
      </c>
      <c r="I53" s="11">
        <f>IF(G53="","",IF(J53="Oui","Terminé",IF(H53&lt;0,"PÉRIMÉ",IF(H53&lt;=1,"AUJOURD'HUI",IF(H53&lt;=3,"BIENTÔT","OK")))))</f>
        <v/>
      </c>
      <c r="J53" s="29" t="n"/>
    </row>
    <row r="54">
      <c r="A54" s="32" t="n"/>
      <c r="B54" s="28" t="n"/>
      <c r="C54" s="28" t="n"/>
      <c r="D54" s="29" t="n"/>
      <c r="E54" s="11">
        <f>IF(B54="","",IFERROR(INDEX(Produits!$H$5:$H$64,MATCH(B54,Produits!$G$5:$G$64,0)),""))</f>
        <v/>
      </c>
      <c r="F54" s="28" t="n"/>
      <c r="G54" s="32" t="n"/>
      <c r="H54" s="11">
        <f>IF(G54="","",G54-TODAY())</f>
        <v/>
      </c>
      <c r="I54" s="11">
        <f>IF(G54="","",IF(J54="Oui","Terminé",IF(H54&lt;0,"PÉRIMÉ",IF(H54&lt;=1,"AUJOURD'HUI",IF(H54&lt;=3,"BIENTÔT","OK")))))</f>
        <v/>
      </c>
      <c r="J54" s="29" t="n"/>
    </row>
    <row r="55">
      <c r="A55" s="32" t="n"/>
      <c r="B55" s="28" t="n"/>
      <c r="C55" s="28" t="n"/>
      <c r="D55" s="29" t="n"/>
      <c r="E55" s="11">
        <f>IF(B55="","",IFERROR(INDEX(Produits!$H$5:$H$64,MATCH(B55,Produits!$G$5:$G$64,0)),""))</f>
        <v/>
      </c>
      <c r="F55" s="28" t="n"/>
      <c r="G55" s="32" t="n"/>
      <c r="H55" s="11">
        <f>IF(G55="","",G55-TODAY())</f>
        <v/>
      </c>
      <c r="I55" s="11">
        <f>IF(G55="","",IF(J55="Oui","Terminé",IF(H55&lt;0,"PÉRIMÉ",IF(H55&lt;=1,"AUJOURD'HUI",IF(H55&lt;=3,"BIENTÔT","OK")))))</f>
        <v/>
      </c>
      <c r="J55" s="29" t="n"/>
    </row>
    <row r="56">
      <c r="A56" s="32" t="n"/>
      <c r="B56" s="28" t="n"/>
      <c r="C56" s="28" t="n"/>
      <c r="D56" s="29" t="n"/>
      <c r="E56" s="11">
        <f>IF(B56="","",IFERROR(INDEX(Produits!$H$5:$H$64,MATCH(B56,Produits!$G$5:$G$64,0)),""))</f>
        <v/>
      </c>
      <c r="F56" s="28" t="n"/>
      <c r="G56" s="32" t="n"/>
      <c r="H56" s="11">
        <f>IF(G56="","",G56-TODAY())</f>
        <v/>
      </c>
      <c r="I56" s="11">
        <f>IF(G56="","",IF(J56="Oui","Terminé",IF(H56&lt;0,"PÉRIMÉ",IF(H56&lt;=1,"AUJOURD'HUI",IF(H56&lt;=3,"BIENTÔT","OK")))))</f>
        <v/>
      </c>
      <c r="J56" s="29" t="n"/>
    </row>
    <row r="57">
      <c r="A57" s="32" t="n"/>
      <c r="B57" s="28" t="n"/>
      <c r="C57" s="28" t="n"/>
      <c r="D57" s="29" t="n"/>
      <c r="E57" s="11">
        <f>IF(B57="","",IFERROR(INDEX(Produits!$H$5:$H$64,MATCH(B57,Produits!$G$5:$G$64,0)),""))</f>
        <v/>
      </c>
      <c r="F57" s="28" t="n"/>
      <c r="G57" s="32" t="n"/>
      <c r="H57" s="11">
        <f>IF(G57="","",G57-TODAY())</f>
        <v/>
      </c>
      <c r="I57" s="11">
        <f>IF(G57="","",IF(J57="Oui","Terminé",IF(H57&lt;0,"PÉRIMÉ",IF(H57&lt;=1,"AUJOURD'HUI",IF(H57&lt;=3,"BIENTÔT","OK")))))</f>
        <v/>
      </c>
      <c r="J57" s="29" t="n"/>
    </row>
    <row r="58">
      <c r="A58" s="32" t="n"/>
      <c r="B58" s="28" t="n"/>
      <c r="C58" s="28" t="n"/>
      <c r="D58" s="29" t="n"/>
      <c r="E58" s="11">
        <f>IF(B58="","",IFERROR(INDEX(Produits!$H$5:$H$64,MATCH(B58,Produits!$G$5:$G$64,0)),""))</f>
        <v/>
      </c>
      <c r="F58" s="28" t="n"/>
      <c r="G58" s="32" t="n"/>
      <c r="H58" s="11">
        <f>IF(G58="","",G58-TODAY())</f>
        <v/>
      </c>
      <c r="I58" s="11">
        <f>IF(G58="","",IF(J58="Oui","Terminé",IF(H58&lt;0,"PÉRIMÉ",IF(H58&lt;=1,"AUJOURD'HUI",IF(H58&lt;=3,"BIENTÔT","OK")))))</f>
        <v/>
      </c>
      <c r="J58" s="29" t="n"/>
    </row>
    <row r="59">
      <c r="A59" s="32" t="n"/>
      <c r="B59" s="28" t="n"/>
      <c r="C59" s="28" t="n"/>
      <c r="D59" s="29" t="n"/>
      <c r="E59" s="11">
        <f>IF(B59="","",IFERROR(INDEX(Produits!$H$5:$H$64,MATCH(B59,Produits!$G$5:$G$64,0)),""))</f>
        <v/>
      </c>
      <c r="F59" s="28" t="n"/>
      <c r="G59" s="32" t="n"/>
      <c r="H59" s="11">
        <f>IF(G59="","",G59-TODAY())</f>
        <v/>
      </c>
      <c r="I59" s="11">
        <f>IF(G59="","",IF(J59="Oui","Terminé",IF(H59&lt;0,"PÉRIMÉ",IF(H59&lt;=1,"AUJOURD'HUI",IF(H59&lt;=3,"BIENTÔT","OK")))))</f>
        <v/>
      </c>
      <c r="J59" s="29" t="n"/>
    </row>
    <row r="60">
      <c r="A60" s="32" t="n"/>
      <c r="B60" s="28" t="n"/>
      <c r="C60" s="28" t="n"/>
      <c r="D60" s="29" t="n"/>
      <c r="E60" s="11">
        <f>IF(B60="","",IFERROR(INDEX(Produits!$H$5:$H$64,MATCH(B60,Produits!$G$5:$G$64,0)),""))</f>
        <v/>
      </c>
      <c r="F60" s="28" t="n"/>
      <c r="G60" s="32" t="n"/>
      <c r="H60" s="11">
        <f>IF(G60="","",G60-TODAY())</f>
        <v/>
      </c>
      <c r="I60" s="11">
        <f>IF(G60="","",IF(J60="Oui","Terminé",IF(H60&lt;0,"PÉRIMÉ",IF(H60&lt;=1,"AUJOURD'HUI",IF(H60&lt;=3,"BIENTÔT","OK")))))</f>
        <v/>
      </c>
      <c r="J60" s="29" t="n"/>
    </row>
    <row r="61">
      <c r="A61" s="32" t="n"/>
      <c r="B61" s="28" t="n"/>
      <c r="C61" s="28" t="n"/>
      <c r="D61" s="29" t="n"/>
      <c r="E61" s="11">
        <f>IF(B61="","",IFERROR(INDEX(Produits!$H$5:$H$64,MATCH(B61,Produits!$G$5:$G$64,0)),""))</f>
        <v/>
      </c>
      <c r="F61" s="28" t="n"/>
      <c r="G61" s="32" t="n"/>
      <c r="H61" s="11">
        <f>IF(G61="","",G61-TODAY())</f>
        <v/>
      </c>
      <c r="I61" s="11">
        <f>IF(G61="","",IF(J61="Oui","Terminé",IF(H61&lt;0,"PÉRIMÉ",IF(H61&lt;=1,"AUJOURD'HUI",IF(H61&lt;=3,"BIENTÔT","OK")))))</f>
        <v/>
      </c>
      <c r="J61" s="29" t="n"/>
    </row>
    <row r="62">
      <c r="A62" s="32" t="n"/>
      <c r="B62" s="28" t="n"/>
      <c r="C62" s="28" t="n"/>
      <c r="D62" s="29" t="n"/>
      <c r="E62" s="11">
        <f>IF(B62="","",IFERROR(INDEX(Produits!$H$5:$H$64,MATCH(B62,Produits!$G$5:$G$64,0)),""))</f>
        <v/>
      </c>
      <c r="F62" s="28" t="n"/>
      <c r="G62" s="32" t="n"/>
      <c r="H62" s="11">
        <f>IF(G62="","",G62-TODAY())</f>
        <v/>
      </c>
      <c r="I62" s="11">
        <f>IF(G62="","",IF(J62="Oui","Terminé",IF(H62&lt;0,"PÉRIMÉ",IF(H62&lt;=1,"AUJOURD'HUI",IF(H62&lt;=3,"BIENTÔT","OK")))))</f>
        <v/>
      </c>
      <c r="J62" s="29" t="n"/>
    </row>
    <row r="63">
      <c r="A63" s="32" t="n"/>
      <c r="B63" s="28" t="n"/>
      <c r="C63" s="28" t="n"/>
      <c r="D63" s="29" t="n"/>
      <c r="E63" s="11">
        <f>IF(B63="","",IFERROR(INDEX(Produits!$H$5:$H$64,MATCH(B63,Produits!$G$5:$G$64,0)),""))</f>
        <v/>
      </c>
      <c r="F63" s="28" t="n"/>
      <c r="G63" s="32" t="n"/>
      <c r="H63" s="11">
        <f>IF(G63="","",G63-TODAY())</f>
        <v/>
      </c>
      <c r="I63" s="11">
        <f>IF(G63="","",IF(J63="Oui","Terminé",IF(H63&lt;0,"PÉRIMÉ",IF(H63&lt;=1,"AUJOURD'HUI",IF(H63&lt;=3,"BIENTÔT","OK")))))</f>
        <v/>
      </c>
      <c r="J63" s="29" t="n"/>
    </row>
    <row r="64">
      <c r="A64" s="32" t="n"/>
      <c r="B64" s="28" t="n"/>
      <c r="C64" s="28" t="n"/>
      <c r="D64" s="29" t="n"/>
      <c r="E64" s="11">
        <f>IF(B64="","",IFERROR(INDEX(Produits!$H$5:$H$64,MATCH(B64,Produits!$G$5:$G$64,0)),""))</f>
        <v/>
      </c>
      <c r="F64" s="28" t="n"/>
      <c r="G64" s="32" t="n"/>
      <c r="H64" s="11">
        <f>IF(G64="","",G64-TODAY())</f>
        <v/>
      </c>
      <c r="I64" s="11">
        <f>IF(G64="","",IF(J64="Oui","Terminé",IF(H64&lt;0,"PÉRIMÉ",IF(H64&lt;=1,"AUJOURD'HUI",IF(H64&lt;=3,"BIENTÔT","OK")))))</f>
        <v/>
      </c>
      <c r="J64" s="29" t="n"/>
    </row>
    <row r="65">
      <c r="A65" s="32" t="n"/>
      <c r="B65" s="28" t="n"/>
      <c r="C65" s="28" t="n"/>
      <c r="D65" s="29" t="n"/>
      <c r="E65" s="11">
        <f>IF(B65="","",IFERROR(INDEX(Produits!$H$5:$H$64,MATCH(B65,Produits!$G$5:$G$64,0)),""))</f>
        <v/>
      </c>
      <c r="F65" s="28" t="n"/>
      <c r="G65" s="32" t="n"/>
      <c r="H65" s="11">
        <f>IF(G65="","",G65-TODAY())</f>
        <v/>
      </c>
      <c r="I65" s="11">
        <f>IF(G65="","",IF(J65="Oui","Terminé",IF(H65&lt;0,"PÉRIMÉ",IF(H65&lt;=1,"AUJOURD'HUI",IF(H65&lt;=3,"BIENTÔT","OK")))))</f>
        <v/>
      </c>
      <c r="J65" s="29" t="n"/>
    </row>
    <row r="66">
      <c r="A66" s="32" t="n"/>
      <c r="B66" s="28" t="n"/>
      <c r="C66" s="28" t="n"/>
      <c r="D66" s="29" t="n"/>
      <c r="E66" s="11">
        <f>IF(B66="","",IFERROR(INDEX(Produits!$H$5:$H$64,MATCH(B66,Produits!$G$5:$G$64,0)),""))</f>
        <v/>
      </c>
      <c r="F66" s="28" t="n"/>
      <c r="G66" s="32" t="n"/>
      <c r="H66" s="11">
        <f>IF(G66="","",G66-TODAY())</f>
        <v/>
      </c>
      <c r="I66" s="11">
        <f>IF(G66="","",IF(J66="Oui","Terminé",IF(H66&lt;0,"PÉRIMÉ",IF(H66&lt;=1,"AUJOURD'HUI",IF(H66&lt;=3,"BIENTÔT","OK")))))</f>
        <v/>
      </c>
      <c r="J66" s="29" t="n"/>
    </row>
    <row r="67">
      <c r="A67" s="32" t="n"/>
      <c r="B67" s="28" t="n"/>
      <c r="C67" s="28" t="n"/>
      <c r="D67" s="29" t="n"/>
      <c r="E67" s="11">
        <f>IF(B67="","",IFERROR(INDEX(Produits!$H$5:$H$64,MATCH(B67,Produits!$G$5:$G$64,0)),""))</f>
        <v/>
      </c>
      <c r="F67" s="28" t="n"/>
      <c r="G67" s="32" t="n"/>
      <c r="H67" s="11">
        <f>IF(G67="","",G67-TODAY())</f>
        <v/>
      </c>
      <c r="I67" s="11">
        <f>IF(G67="","",IF(J67="Oui","Terminé",IF(H67&lt;0,"PÉRIMÉ",IF(H67&lt;=1,"AUJOURD'HUI",IF(H67&lt;=3,"BIENTÔT","OK")))))</f>
        <v/>
      </c>
      <c r="J67" s="29" t="n"/>
    </row>
    <row r="68">
      <c r="A68" s="32" t="n"/>
      <c r="B68" s="28" t="n"/>
      <c r="C68" s="28" t="n"/>
      <c r="D68" s="29" t="n"/>
      <c r="E68" s="11">
        <f>IF(B68="","",IFERROR(INDEX(Produits!$H$5:$H$64,MATCH(B68,Produits!$G$5:$G$64,0)),""))</f>
        <v/>
      </c>
      <c r="F68" s="28" t="n"/>
      <c r="G68" s="32" t="n"/>
      <c r="H68" s="11">
        <f>IF(G68="","",G68-TODAY())</f>
        <v/>
      </c>
      <c r="I68" s="11">
        <f>IF(G68="","",IF(J68="Oui","Terminé",IF(H68&lt;0,"PÉRIMÉ",IF(H68&lt;=1,"AUJOURD'HUI",IF(H68&lt;=3,"BIENTÔT","OK")))))</f>
        <v/>
      </c>
      <c r="J68" s="29" t="n"/>
    </row>
    <row r="69">
      <c r="A69" s="32" t="n"/>
      <c r="B69" s="28" t="n"/>
      <c r="C69" s="28" t="n"/>
      <c r="D69" s="29" t="n"/>
      <c r="E69" s="11">
        <f>IF(B69="","",IFERROR(INDEX(Produits!$H$5:$H$64,MATCH(B69,Produits!$G$5:$G$64,0)),""))</f>
        <v/>
      </c>
      <c r="F69" s="28" t="n"/>
      <c r="G69" s="32" t="n"/>
      <c r="H69" s="11">
        <f>IF(G69="","",G69-TODAY())</f>
        <v/>
      </c>
      <c r="I69" s="11">
        <f>IF(G69="","",IF(J69="Oui","Terminé",IF(H69&lt;0,"PÉRIMÉ",IF(H69&lt;=1,"AUJOURD'HUI",IF(H69&lt;=3,"BIENTÔT","OK")))))</f>
        <v/>
      </c>
      <c r="J69" s="29" t="n"/>
    </row>
    <row r="70">
      <c r="A70" s="32" t="n"/>
      <c r="B70" s="28" t="n"/>
      <c r="C70" s="28" t="n"/>
      <c r="D70" s="29" t="n"/>
      <c r="E70" s="11">
        <f>IF(B70="","",IFERROR(INDEX(Produits!$H$5:$H$64,MATCH(B70,Produits!$G$5:$G$64,0)),""))</f>
        <v/>
      </c>
      <c r="F70" s="28" t="n"/>
      <c r="G70" s="32" t="n"/>
      <c r="H70" s="11">
        <f>IF(G70="","",G70-TODAY())</f>
        <v/>
      </c>
      <c r="I70" s="11">
        <f>IF(G70="","",IF(J70="Oui","Terminé",IF(H70&lt;0,"PÉRIMÉ",IF(H70&lt;=1,"AUJOURD'HUI",IF(H70&lt;=3,"BIENTÔT","OK")))))</f>
        <v/>
      </c>
      <c r="J70" s="29" t="n"/>
    </row>
    <row r="71">
      <c r="A71" s="32" t="n"/>
      <c r="B71" s="28" t="n"/>
      <c r="C71" s="28" t="n"/>
      <c r="D71" s="29" t="n"/>
      <c r="E71" s="11">
        <f>IF(B71="","",IFERROR(INDEX(Produits!$H$5:$H$64,MATCH(B71,Produits!$G$5:$G$64,0)),""))</f>
        <v/>
      </c>
      <c r="F71" s="28" t="n"/>
      <c r="G71" s="32" t="n"/>
      <c r="H71" s="11">
        <f>IF(G71="","",G71-TODAY())</f>
        <v/>
      </c>
      <c r="I71" s="11">
        <f>IF(G71="","",IF(J71="Oui","Terminé",IF(H71&lt;0,"PÉRIMÉ",IF(H71&lt;=1,"AUJOURD'HUI",IF(H71&lt;=3,"BIENTÔT","OK")))))</f>
        <v/>
      </c>
      <c r="J71" s="29" t="n"/>
    </row>
    <row r="72">
      <c r="A72" s="32" t="n"/>
      <c r="B72" s="28" t="n"/>
      <c r="C72" s="28" t="n"/>
      <c r="D72" s="29" t="n"/>
      <c r="E72" s="11">
        <f>IF(B72="","",IFERROR(INDEX(Produits!$H$5:$H$64,MATCH(B72,Produits!$G$5:$G$64,0)),""))</f>
        <v/>
      </c>
      <c r="F72" s="28" t="n"/>
      <c r="G72" s="32" t="n"/>
      <c r="H72" s="11">
        <f>IF(G72="","",G72-TODAY())</f>
        <v/>
      </c>
      <c r="I72" s="11">
        <f>IF(G72="","",IF(J72="Oui","Terminé",IF(H72&lt;0,"PÉRIMÉ",IF(H72&lt;=1,"AUJOURD'HUI",IF(H72&lt;=3,"BIENTÔT","OK")))))</f>
        <v/>
      </c>
      <c r="J72" s="29" t="n"/>
    </row>
    <row r="73">
      <c r="A73" s="32" t="n"/>
      <c r="B73" s="28" t="n"/>
      <c r="C73" s="28" t="n"/>
      <c r="D73" s="29" t="n"/>
      <c r="E73" s="11">
        <f>IF(B73="","",IFERROR(INDEX(Produits!$H$5:$H$64,MATCH(B73,Produits!$G$5:$G$64,0)),""))</f>
        <v/>
      </c>
      <c r="F73" s="28" t="n"/>
      <c r="G73" s="32" t="n"/>
      <c r="H73" s="11">
        <f>IF(G73="","",G73-TODAY())</f>
        <v/>
      </c>
      <c r="I73" s="11">
        <f>IF(G73="","",IF(J73="Oui","Terminé",IF(H73&lt;0,"PÉRIMÉ",IF(H73&lt;=1,"AUJOURD'HUI",IF(H73&lt;=3,"BIENTÔT","OK")))))</f>
        <v/>
      </c>
      <c r="J73" s="29" t="n"/>
    </row>
    <row r="74">
      <c r="A74" s="32" t="n"/>
      <c r="B74" s="28" t="n"/>
      <c r="C74" s="28" t="n"/>
      <c r="D74" s="29" t="n"/>
      <c r="E74" s="11">
        <f>IF(B74="","",IFERROR(INDEX(Produits!$H$5:$H$64,MATCH(B74,Produits!$G$5:$G$64,0)),""))</f>
        <v/>
      </c>
      <c r="F74" s="28" t="n"/>
      <c r="G74" s="32" t="n"/>
      <c r="H74" s="11">
        <f>IF(G74="","",G74-TODAY())</f>
        <v/>
      </c>
      <c r="I74" s="11">
        <f>IF(G74="","",IF(J74="Oui","Terminé",IF(H74&lt;0,"PÉRIMÉ",IF(H74&lt;=1,"AUJOURD'HUI",IF(H74&lt;=3,"BIENTÔT","OK")))))</f>
        <v/>
      </c>
      <c r="J74" s="29" t="n"/>
    </row>
    <row r="75">
      <c r="A75" s="32" t="n"/>
      <c r="B75" s="28" t="n"/>
      <c r="C75" s="28" t="n"/>
      <c r="D75" s="29" t="n"/>
      <c r="E75" s="11">
        <f>IF(B75="","",IFERROR(INDEX(Produits!$H$5:$H$64,MATCH(B75,Produits!$G$5:$G$64,0)),""))</f>
        <v/>
      </c>
      <c r="F75" s="28" t="n"/>
      <c r="G75" s="32" t="n"/>
      <c r="H75" s="11">
        <f>IF(G75="","",G75-TODAY())</f>
        <v/>
      </c>
      <c r="I75" s="11">
        <f>IF(G75="","",IF(J75="Oui","Terminé",IF(H75&lt;0,"PÉRIMÉ",IF(H75&lt;=1,"AUJOURD'HUI",IF(H75&lt;=3,"BIENTÔT","OK")))))</f>
        <v/>
      </c>
      <c r="J75" s="29" t="n"/>
    </row>
    <row r="76">
      <c r="A76" s="32" t="n"/>
      <c r="B76" s="28" t="n"/>
      <c r="C76" s="28" t="n"/>
      <c r="D76" s="29" t="n"/>
      <c r="E76" s="11">
        <f>IF(B76="","",IFERROR(INDEX(Produits!$H$5:$H$64,MATCH(B76,Produits!$G$5:$G$64,0)),""))</f>
        <v/>
      </c>
      <c r="F76" s="28" t="n"/>
      <c r="G76" s="32" t="n"/>
      <c r="H76" s="11">
        <f>IF(G76="","",G76-TODAY())</f>
        <v/>
      </c>
      <c r="I76" s="11">
        <f>IF(G76="","",IF(J76="Oui","Terminé",IF(H76&lt;0,"PÉRIMÉ",IF(H76&lt;=1,"AUJOURD'HUI",IF(H76&lt;=3,"BIENTÔT","OK")))))</f>
        <v/>
      </c>
      <c r="J76" s="29" t="n"/>
    </row>
    <row r="77">
      <c r="A77" s="32" t="n"/>
      <c r="B77" s="28" t="n"/>
      <c r="C77" s="28" t="n"/>
      <c r="D77" s="29" t="n"/>
      <c r="E77" s="11">
        <f>IF(B77="","",IFERROR(INDEX(Produits!$H$5:$H$64,MATCH(B77,Produits!$G$5:$G$64,0)),""))</f>
        <v/>
      </c>
      <c r="F77" s="28" t="n"/>
      <c r="G77" s="32" t="n"/>
      <c r="H77" s="11">
        <f>IF(G77="","",G77-TODAY())</f>
        <v/>
      </c>
      <c r="I77" s="11">
        <f>IF(G77="","",IF(J77="Oui","Terminé",IF(H77&lt;0,"PÉRIMÉ",IF(H77&lt;=1,"AUJOURD'HUI",IF(H77&lt;=3,"BIENTÔT","OK")))))</f>
        <v/>
      </c>
      <c r="J77" s="29" t="n"/>
    </row>
    <row r="78">
      <c r="A78" s="32" t="n"/>
      <c r="B78" s="28" t="n"/>
      <c r="C78" s="28" t="n"/>
      <c r="D78" s="29" t="n"/>
      <c r="E78" s="11">
        <f>IF(B78="","",IFERROR(INDEX(Produits!$H$5:$H$64,MATCH(B78,Produits!$G$5:$G$64,0)),""))</f>
        <v/>
      </c>
      <c r="F78" s="28" t="n"/>
      <c r="G78" s="32" t="n"/>
      <c r="H78" s="11">
        <f>IF(G78="","",G78-TODAY())</f>
        <v/>
      </c>
      <c r="I78" s="11">
        <f>IF(G78="","",IF(J78="Oui","Terminé",IF(H78&lt;0,"PÉRIMÉ",IF(H78&lt;=1,"AUJOURD'HUI",IF(H78&lt;=3,"BIENTÔT","OK")))))</f>
        <v/>
      </c>
      <c r="J78" s="29" t="n"/>
    </row>
    <row r="79">
      <c r="A79" s="32" t="n"/>
      <c r="B79" s="28" t="n"/>
      <c r="C79" s="28" t="n"/>
      <c r="D79" s="29" t="n"/>
      <c r="E79" s="11">
        <f>IF(B79="","",IFERROR(INDEX(Produits!$H$5:$H$64,MATCH(B79,Produits!$G$5:$G$64,0)),""))</f>
        <v/>
      </c>
      <c r="F79" s="28" t="n"/>
      <c r="G79" s="32" t="n"/>
      <c r="H79" s="11">
        <f>IF(G79="","",G79-TODAY())</f>
        <v/>
      </c>
      <c r="I79" s="11">
        <f>IF(G79="","",IF(J79="Oui","Terminé",IF(H79&lt;0,"PÉRIMÉ",IF(H79&lt;=1,"AUJOURD'HUI",IF(H79&lt;=3,"BIENTÔT","OK")))))</f>
        <v/>
      </c>
      <c r="J79" s="29" t="n"/>
    </row>
    <row r="80">
      <c r="A80" s="32" t="n"/>
      <c r="B80" s="28" t="n"/>
      <c r="C80" s="28" t="n"/>
      <c r="D80" s="29" t="n"/>
      <c r="E80" s="11">
        <f>IF(B80="","",IFERROR(INDEX(Produits!$H$5:$H$64,MATCH(B80,Produits!$G$5:$G$64,0)),""))</f>
        <v/>
      </c>
      <c r="F80" s="28" t="n"/>
      <c r="G80" s="32" t="n"/>
      <c r="H80" s="11">
        <f>IF(G80="","",G80-TODAY())</f>
        <v/>
      </c>
      <c r="I80" s="11">
        <f>IF(G80="","",IF(J80="Oui","Terminé",IF(H80&lt;0,"PÉRIMÉ",IF(H80&lt;=1,"AUJOURD'HUI",IF(H80&lt;=3,"BIENTÔT","OK")))))</f>
        <v/>
      </c>
      <c r="J80" s="29" t="n"/>
    </row>
    <row r="81">
      <c r="A81" s="32" t="n"/>
      <c r="B81" s="28" t="n"/>
      <c r="C81" s="28" t="n"/>
      <c r="D81" s="29" t="n"/>
      <c r="E81" s="11">
        <f>IF(B81="","",IFERROR(INDEX(Produits!$H$5:$H$64,MATCH(B81,Produits!$G$5:$G$64,0)),""))</f>
        <v/>
      </c>
      <c r="F81" s="28" t="n"/>
      <c r="G81" s="32" t="n"/>
      <c r="H81" s="11">
        <f>IF(G81="","",G81-TODAY())</f>
        <v/>
      </c>
      <c r="I81" s="11">
        <f>IF(G81="","",IF(J81="Oui","Terminé",IF(H81&lt;0,"PÉRIMÉ",IF(H81&lt;=1,"AUJOURD'HUI",IF(H81&lt;=3,"BIENTÔT","OK")))))</f>
        <v/>
      </c>
      <c r="J81" s="29" t="n"/>
    </row>
    <row r="82">
      <c r="A82" s="32" t="n"/>
      <c r="B82" s="28" t="n"/>
      <c r="C82" s="28" t="n"/>
      <c r="D82" s="29" t="n"/>
      <c r="E82" s="11">
        <f>IF(B82="","",IFERROR(INDEX(Produits!$H$5:$H$64,MATCH(B82,Produits!$G$5:$G$64,0)),""))</f>
        <v/>
      </c>
      <c r="F82" s="28" t="n"/>
      <c r="G82" s="32" t="n"/>
      <c r="H82" s="11">
        <f>IF(G82="","",G82-TODAY())</f>
        <v/>
      </c>
      <c r="I82" s="11">
        <f>IF(G82="","",IF(J82="Oui","Terminé",IF(H82&lt;0,"PÉRIMÉ",IF(H82&lt;=1,"AUJOURD'HUI",IF(H82&lt;=3,"BIENTÔT","OK")))))</f>
        <v/>
      </c>
      <c r="J82" s="29" t="n"/>
    </row>
    <row r="83">
      <c r="A83" s="32" t="n"/>
      <c r="B83" s="28" t="n"/>
      <c r="C83" s="28" t="n"/>
      <c r="D83" s="29" t="n"/>
      <c r="E83" s="11">
        <f>IF(B83="","",IFERROR(INDEX(Produits!$H$5:$H$64,MATCH(B83,Produits!$G$5:$G$64,0)),""))</f>
        <v/>
      </c>
      <c r="F83" s="28" t="n"/>
      <c r="G83" s="32" t="n"/>
      <c r="H83" s="11">
        <f>IF(G83="","",G83-TODAY())</f>
        <v/>
      </c>
      <c r="I83" s="11">
        <f>IF(G83="","",IF(J83="Oui","Terminé",IF(H83&lt;0,"PÉRIMÉ",IF(H83&lt;=1,"AUJOURD'HUI",IF(H83&lt;=3,"BIENTÔT","OK")))))</f>
        <v/>
      </c>
      <c r="J83" s="29" t="n"/>
    </row>
    <row r="84">
      <c r="A84" s="32" t="n"/>
      <c r="B84" s="28" t="n"/>
      <c r="C84" s="28" t="n"/>
      <c r="D84" s="29" t="n"/>
      <c r="E84" s="11">
        <f>IF(B84="","",IFERROR(INDEX(Produits!$H$5:$H$64,MATCH(B84,Produits!$G$5:$G$64,0)),""))</f>
        <v/>
      </c>
      <c r="F84" s="28" t="n"/>
      <c r="G84" s="32" t="n"/>
      <c r="H84" s="11">
        <f>IF(G84="","",G84-TODAY())</f>
        <v/>
      </c>
      <c r="I84" s="11">
        <f>IF(G84="","",IF(J84="Oui","Terminé",IF(H84&lt;0,"PÉRIMÉ",IF(H84&lt;=1,"AUJOURD'HUI",IF(H84&lt;=3,"BIENTÔT","OK")))))</f>
        <v/>
      </c>
      <c r="J84" s="29" t="n"/>
    </row>
    <row r="85">
      <c r="A85" s="32" t="n"/>
      <c r="B85" s="28" t="n"/>
      <c r="C85" s="28" t="n"/>
      <c r="D85" s="29" t="n"/>
      <c r="E85" s="11">
        <f>IF(B85="","",IFERROR(INDEX(Produits!$H$5:$H$64,MATCH(B85,Produits!$G$5:$G$64,0)),""))</f>
        <v/>
      </c>
      <c r="F85" s="28" t="n"/>
      <c r="G85" s="32" t="n"/>
      <c r="H85" s="11">
        <f>IF(G85="","",G85-TODAY())</f>
        <v/>
      </c>
      <c r="I85" s="11">
        <f>IF(G85="","",IF(J85="Oui","Terminé",IF(H85&lt;0,"PÉRIMÉ",IF(H85&lt;=1,"AUJOURD'HUI",IF(H85&lt;=3,"BIENTÔT","OK")))))</f>
        <v/>
      </c>
      <c r="J85" s="29" t="n"/>
    </row>
    <row r="86">
      <c r="A86" s="32" t="n"/>
      <c r="B86" s="28" t="n"/>
      <c r="C86" s="28" t="n"/>
      <c r="D86" s="29" t="n"/>
      <c r="E86" s="11">
        <f>IF(B86="","",IFERROR(INDEX(Produits!$H$5:$H$64,MATCH(B86,Produits!$G$5:$G$64,0)),""))</f>
        <v/>
      </c>
      <c r="F86" s="28" t="n"/>
      <c r="G86" s="32" t="n"/>
      <c r="H86" s="11">
        <f>IF(G86="","",G86-TODAY())</f>
        <v/>
      </c>
      <c r="I86" s="11">
        <f>IF(G86="","",IF(J86="Oui","Terminé",IF(H86&lt;0,"PÉRIMÉ",IF(H86&lt;=1,"AUJOURD'HUI",IF(H86&lt;=3,"BIENTÔT","OK")))))</f>
        <v/>
      </c>
      <c r="J86" s="29" t="n"/>
    </row>
    <row r="87">
      <c r="A87" s="32" t="n"/>
      <c r="B87" s="28" t="n"/>
      <c r="C87" s="28" t="n"/>
      <c r="D87" s="29" t="n"/>
      <c r="E87" s="11">
        <f>IF(B87="","",IFERROR(INDEX(Produits!$H$5:$H$64,MATCH(B87,Produits!$G$5:$G$64,0)),""))</f>
        <v/>
      </c>
      <c r="F87" s="28" t="n"/>
      <c r="G87" s="32" t="n"/>
      <c r="H87" s="11">
        <f>IF(G87="","",G87-TODAY())</f>
        <v/>
      </c>
      <c r="I87" s="11">
        <f>IF(G87="","",IF(J87="Oui","Terminé",IF(H87&lt;0,"PÉRIMÉ",IF(H87&lt;=1,"AUJOURD'HUI",IF(H87&lt;=3,"BIENTÔT","OK")))))</f>
        <v/>
      </c>
      <c r="J87" s="29" t="n"/>
    </row>
    <row r="88">
      <c r="A88" s="32" t="n"/>
      <c r="B88" s="28" t="n"/>
      <c r="C88" s="28" t="n"/>
      <c r="D88" s="29" t="n"/>
      <c r="E88" s="11">
        <f>IF(B88="","",IFERROR(INDEX(Produits!$H$5:$H$64,MATCH(B88,Produits!$G$5:$G$64,0)),""))</f>
        <v/>
      </c>
      <c r="F88" s="28" t="n"/>
      <c r="G88" s="32" t="n"/>
      <c r="H88" s="11">
        <f>IF(G88="","",G88-TODAY())</f>
        <v/>
      </c>
      <c r="I88" s="11">
        <f>IF(G88="","",IF(J88="Oui","Terminé",IF(H88&lt;0,"PÉRIMÉ",IF(H88&lt;=1,"AUJOURD'HUI",IF(H88&lt;=3,"BIENTÔT","OK")))))</f>
        <v/>
      </c>
      <c r="J88" s="29" t="n"/>
    </row>
    <row r="89">
      <c r="A89" s="32" t="n"/>
      <c r="B89" s="28" t="n"/>
      <c r="C89" s="28" t="n"/>
      <c r="D89" s="29" t="n"/>
      <c r="E89" s="11">
        <f>IF(B89="","",IFERROR(INDEX(Produits!$H$5:$H$64,MATCH(B89,Produits!$G$5:$G$64,0)),""))</f>
        <v/>
      </c>
      <c r="F89" s="28" t="n"/>
      <c r="G89" s="32" t="n"/>
      <c r="H89" s="11">
        <f>IF(G89="","",G89-TODAY())</f>
        <v/>
      </c>
      <c r="I89" s="11">
        <f>IF(G89="","",IF(J89="Oui","Terminé",IF(H89&lt;0,"PÉRIMÉ",IF(H89&lt;=1,"AUJOURD'HUI",IF(H89&lt;=3,"BIENTÔT","OK")))))</f>
        <v/>
      </c>
      <c r="J89" s="29" t="n"/>
    </row>
    <row r="90">
      <c r="A90" s="32" t="n"/>
      <c r="B90" s="28" t="n"/>
      <c r="C90" s="28" t="n"/>
      <c r="D90" s="29" t="n"/>
      <c r="E90" s="11">
        <f>IF(B90="","",IFERROR(INDEX(Produits!$H$5:$H$64,MATCH(B90,Produits!$G$5:$G$64,0)),""))</f>
        <v/>
      </c>
      <c r="F90" s="28" t="n"/>
      <c r="G90" s="32" t="n"/>
      <c r="H90" s="11">
        <f>IF(G90="","",G90-TODAY())</f>
        <v/>
      </c>
      <c r="I90" s="11">
        <f>IF(G90="","",IF(J90="Oui","Terminé",IF(H90&lt;0,"PÉRIMÉ",IF(H90&lt;=1,"AUJOURD'HUI",IF(H90&lt;=3,"BIENTÔT","OK")))))</f>
        <v/>
      </c>
      <c r="J90" s="29" t="n"/>
    </row>
    <row r="91">
      <c r="A91" s="32" t="n"/>
      <c r="B91" s="28" t="n"/>
      <c r="C91" s="28" t="n"/>
      <c r="D91" s="29" t="n"/>
      <c r="E91" s="11">
        <f>IF(B91="","",IFERROR(INDEX(Produits!$H$5:$H$64,MATCH(B91,Produits!$G$5:$G$64,0)),""))</f>
        <v/>
      </c>
      <c r="F91" s="28" t="n"/>
      <c r="G91" s="32" t="n"/>
      <c r="H91" s="11">
        <f>IF(G91="","",G91-TODAY())</f>
        <v/>
      </c>
      <c r="I91" s="11">
        <f>IF(G91="","",IF(J91="Oui","Terminé",IF(H91&lt;0,"PÉRIMÉ",IF(H91&lt;=1,"AUJOURD'HUI",IF(H91&lt;=3,"BIENTÔT","OK")))))</f>
        <v/>
      </c>
      <c r="J91" s="29" t="n"/>
    </row>
    <row r="92">
      <c r="A92" s="32" t="n"/>
      <c r="B92" s="28" t="n"/>
      <c r="C92" s="28" t="n"/>
      <c r="D92" s="29" t="n"/>
      <c r="E92" s="11">
        <f>IF(B92="","",IFERROR(INDEX(Produits!$H$5:$H$64,MATCH(B92,Produits!$G$5:$G$64,0)),""))</f>
        <v/>
      </c>
      <c r="F92" s="28" t="n"/>
      <c r="G92" s="32" t="n"/>
      <c r="H92" s="11">
        <f>IF(G92="","",G92-TODAY())</f>
        <v/>
      </c>
      <c r="I92" s="11">
        <f>IF(G92="","",IF(J92="Oui","Terminé",IF(H92&lt;0,"PÉRIMÉ",IF(H92&lt;=1,"AUJOURD'HUI",IF(H92&lt;=3,"BIENTÔT","OK")))))</f>
        <v/>
      </c>
      <c r="J92" s="29" t="n"/>
    </row>
    <row r="93">
      <c r="A93" s="32" t="n"/>
      <c r="B93" s="28" t="n"/>
      <c r="C93" s="28" t="n"/>
      <c r="D93" s="29" t="n"/>
      <c r="E93" s="11">
        <f>IF(B93="","",IFERROR(INDEX(Produits!$H$5:$H$64,MATCH(B93,Produits!$G$5:$G$64,0)),""))</f>
        <v/>
      </c>
      <c r="F93" s="28" t="n"/>
      <c r="G93" s="32" t="n"/>
      <c r="H93" s="11">
        <f>IF(G93="","",G93-TODAY())</f>
        <v/>
      </c>
      <c r="I93" s="11">
        <f>IF(G93="","",IF(J93="Oui","Terminé",IF(H93&lt;0,"PÉRIMÉ",IF(H93&lt;=1,"AUJOURD'HUI",IF(H93&lt;=3,"BIENTÔT","OK")))))</f>
        <v/>
      </c>
      <c r="J93" s="29" t="n"/>
    </row>
    <row r="94">
      <c r="A94" s="32" t="n"/>
      <c r="B94" s="28" t="n"/>
      <c r="C94" s="28" t="n"/>
      <c r="D94" s="29" t="n"/>
      <c r="E94" s="11">
        <f>IF(B94="","",IFERROR(INDEX(Produits!$H$5:$H$64,MATCH(B94,Produits!$G$5:$G$64,0)),""))</f>
        <v/>
      </c>
      <c r="F94" s="28" t="n"/>
      <c r="G94" s="32" t="n"/>
      <c r="H94" s="11">
        <f>IF(G94="","",G94-TODAY())</f>
        <v/>
      </c>
      <c r="I94" s="11">
        <f>IF(G94="","",IF(J94="Oui","Terminé",IF(H94&lt;0,"PÉRIMÉ",IF(H94&lt;=1,"AUJOURD'HUI",IF(H94&lt;=3,"BIENTÔT","OK")))))</f>
        <v/>
      </c>
      <c r="J94" s="29" t="n"/>
    </row>
    <row r="95">
      <c r="A95" s="32" t="n"/>
      <c r="B95" s="28" t="n"/>
      <c r="C95" s="28" t="n"/>
      <c r="D95" s="29" t="n"/>
      <c r="E95" s="11">
        <f>IF(B95="","",IFERROR(INDEX(Produits!$H$5:$H$64,MATCH(B95,Produits!$G$5:$G$64,0)),""))</f>
        <v/>
      </c>
      <c r="F95" s="28" t="n"/>
      <c r="G95" s="32" t="n"/>
      <c r="H95" s="11">
        <f>IF(G95="","",G95-TODAY())</f>
        <v/>
      </c>
      <c r="I95" s="11">
        <f>IF(G95="","",IF(J95="Oui","Terminé",IF(H95&lt;0,"PÉRIMÉ",IF(H95&lt;=1,"AUJOURD'HUI",IF(H95&lt;=3,"BIENTÔT","OK")))))</f>
        <v/>
      </c>
      <c r="J95" s="29" t="n"/>
    </row>
    <row r="96">
      <c r="A96" s="32" t="n"/>
      <c r="B96" s="28" t="n"/>
      <c r="C96" s="28" t="n"/>
      <c r="D96" s="29" t="n"/>
      <c r="E96" s="11">
        <f>IF(B96="","",IFERROR(INDEX(Produits!$H$5:$H$64,MATCH(B96,Produits!$G$5:$G$64,0)),""))</f>
        <v/>
      </c>
      <c r="F96" s="28" t="n"/>
      <c r="G96" s="32" t="n"/>
      <c r="H96" s="11">
        <f>IF(G96="","",G96-TODAY())</f>
        <v/>
      </c>
      <c r="I96" s="11">
        <f>IF(G96="","",IF(J96="Oui","Terminé",IF(H96&lt;0,"PÉRIMÉ",IF(H96&lt;=1,"AUJOURD'HUI",IF(H96&lt;=3,"BIENTÔT","OK")))))</f>
        <v/>
      </c>
      <c r="J96" s="29" t="n"/>
    </row>
    <row r="97">
      <c r="A97" s="32" t="n"/>
      <c r="B97" s="28" t="n"/>
      <c r="C97" s="28" t="n"/>
      <c r="D97" s="29" t="n"/>
      <c r="E97" s="11">
        <f>IF(B97="","",IFERROR(INDEX(Produits!$H$5:$H$64,MATCH(B97,Produits!$G$5:$G$64,0)),""))</f>
        <v/>
      </c>
      <c r="F97" s="28" t="n"/>
      <c r="G97" s="32" t="n"/>
      <c r="H97" s="11">
        <f>IF(G97="","",G97-TODAY())</f>
        <v/>
      </c>
      <c r="I97" s="11">
        <f>IF(G97="","",IF(J97="Oui","Terminé",IF(H97&lt;0,"PÉRIMÉ",IF(H97&lt;=1,"AUJOURD'HUI",IF(H97&lt;=3,"BIENTÔT","OK")))))</f>
        <v/>
      </c>
      <c r="J97" s="29" t="n"/>
    </row>
    <row r="98">
      <c r="A98" s="32" t="n"/>
      <c r="B98" s="28" t="n"/>
      <c r="C98" s="28" t="n"/>
      <c r="D98" s="29" t="n"/>
      <c r="E98" s="11">
        <f>IF(B98="","",IFERROR(INDEX(Produits!$H$5:$H$64,MATCH(B98,Produits!$G$5:$G$64,0)),""))</f>
        <v/>
      </c>
      <c r="F98" s="28" t="n"/>
      <c r="G98" s="32" t="n"/>
      <c r="H98" s="11">
        <f>IF(G98="","",G98-TODAY())</f>
        <v/>
      </c>
      <c r="I98" s="11">
        <f>IF(G98="","",IF(J98="Oui","Terminé",IF(H98&lt;0,"PÉRIMÉ",IF(H98&lt;=1,"AUJOURD'HUI",IF(H98&lt;=3,"BIENTÔT","OK")))))</f>
        <v/>
      </c>
      <c r="J98" s="29" t="n"/>
    </row>
    <row r="99">
      <c r="A99" s="32" t="n"/>
      <c r="B99" s="28" t="n"/>
      <c r="C99" s="28" t="n"/>
      <c r="D99" s="29" t="n"/>
      <c r="E99" s="11">
        <f>IF(B99="","",IFERROR(INDEX(Produits!$H$5:$H$64,MATCH(B99,Produits!$G$5:$G$64,0)),""))</f>
        <v/>
      </c>
      <c r="F99" s="28" t="n"/>
      <c r="G99" s="32" t="n"/>
      <c r="H99" s="11">
        <f>IF(G99="","",G99-TODAY())</f>
        <v/>
      </c>
      <c r="I99" s="11">
        <f>IF(G99="","",IF(J99="Oui","Terminé",IF(H99&lt;0,"PÉRIMÉ",IF(H99&lt;=1,"AUJOURD'HUI",IF(H99&lt;=3,"BIENTÔT","OK")))))</f>
        <v/>
      </c>
      <c r="J99" s="29" t="n"/>
    </row>
    <row r="100">
      <c r="A100" s="32" t="n"/>
      <c r="B100" s="28" t="n"/>
      <c r="C100" s="28" t="n"/>
      <c r="D100" s="29" t="n"/>
      <c r="E100" s="11">
        <f>IF(B100="","",IFERROR(INDEX(Produits!$H$5:$H$64,MATCH(B100,Produits!$G$5:$G$64,0)),""))</f>
        <v/>
      </c>
      <c r="F100" s="28" t="n"/>
      <c r="G100" s="32" t="n"/>
      <c r="H100" s="11">
        <f>IF(G100="","",G100-TODAY())</f>
        <v/>
      </c>
      <c r="I100" s="11">
        <f>IF(G100="","",IF(J100="Oui","Terminé",IF(H100&lt;0,"PÉRIMÉ",IF(H100&lt;=1,"AUJOURD'HUI",IF(H100&lt;=3,"BIENTÔT","OK")))))</f>
        <v/>
      </c>
      <c r="J100" s="29" t="n"/>
    </row>
    <row r="101">
      <c r="A101" s="32" t="n"/>
      <c r="B101" s="28" t="n"/>
      <c r="C101" s="28" t="n"/>
      <c r="D101" s="29" t="n"/>
      <c r="E101" s="11">
        <f>IF(B101="","",IFERROR(INDEX(Produits!$H$5:$H$64,MATCH(B101,Produits!$G$5:$G$64,0)),""))</f>
        <v/>
      </c>
      <c r="F101" s="28" t="n"/>
      <c r="G101" s="32" t="n"/>
      <c r="H101" s="11">
        <f>IF(G101="","",G101-TODAY())</f>
        <v/>
      </c>
      <c r="I101" s="11">
        <f>IF(G101="","",IF(J101="Oui","Terminé",IF(H101&lt;0,"PÉRIMÉ",IF(H101&lt;=1,"AUJOURD'HUI",IF(H101&lt;=3,"BIENTÔT","OK")))))</f>
        <v/>
      </c>
      <c r="J101" s="29" t="n"/>
    </row>
    <row r="102">
      <c r="A102" s="32" t="n"/>
      <c r="B102" s="28" t="n"/>
      <c r="C102" s="28" t="n"/>
      <c r="D102" s="29" t="n"/>
      <c r="E102" s="11">
        <f>IF(B102="","",IFERROR(INDEX(Produits!$H$5:$H$64,MATCH(B102,Produits!$G$5:$G$64,0)),""))</f>
        <v/>
      </c>
      <c r="F102" s="28" t="n"/>
      <c r="G102" s="32" t="n"/>
      <c r="H102" s="11">
        <f>IF(G102="","",G102-TODAY())</f>
        <v/>
      </c>
      <c r="I102" s="11">
        <f>IF(G102="","",IF(J102="Oui","Terminé",IF(H102&lt;0,"PÉRIMÉ",IF(H102&lt;=1,"AUJOURD'HUI",IF(H102&lt;=3,"BIENTÔT","OK")))))</f>
        <v/>
      </c>
      <c r="J102" s="29" t="n"/>
    </row>
    <row r="103">
      <c r="A103" s="32" t="n"/>
      <c r="B103" s="28" t="n"/>
      <c r="C103" s="28" t="n"/>
      <c r="D103" s="29" t="n"/>
      <c r="E103" s="11">
        <f>IF(B103="","",IFERROR(INDEX(Produits!$H$5:$H$64,MATCH(B103,Produits!$G$5:$G$64,0)),""))</f>
        <v/>
      </c>
      <c r="F103" s="28" t="n"/>
      <c r="G103" s="32" t="n"/>
      <c r="H103" s="11">
        <f>IF(G103="","",G103-TODAY())</f>
        <v/>
      </c>
      <c r="I103" s="11">
        <f>IF(G103="","",IF(J103="Oui","Terminé",IF(H103&lt;0,"PÉRIMÉ",IF(H103&lt;=1,"AUJOURD'HUI",IF(H103&lt;=3,"BIENTÔT","OK")))))</f>
        <v/>
      </c>
      <c r="J103" s="29" t="n"/>
    </row>
    <row r="104">
      <c r="A104" s="32" t="n"/>
      <c r="B104" s="28" t="n"/>
      <c r="C104" s="28" t="n"/>
      <c r="D104" s="29" t="n"/>
      <c r="E104" s="11">
        <f>IF(B104="","",IFERROR(INDEX(Produits!$H$5:$H$64,MATCH(B104,Produits!$G$5:$G$64,0)),""))</f>
        <v/>
      </c>
      <c r="F104" s="28" t="n"/>
      <c r="G104" s="32" t="n"/>
      <c r="H104" s="11">
        <f>IF(G104="","",G104-TODAY())</f>
        <v/>
      </c>
      <c r="I104" s="11">
        <f>IF(G104="","",IF(J104="Oui","Terminé",IF(H104&lt;0,"PÉRIMÉ",IF(H104&lt;=1,"AUJOURD'HUI",IF(H104&lt;=3,"BIENTÔT","OK")))))</f>
        <v/>
      </c>
      <c r="J104" s="29" t="n"/>
    </row>
    <row r="105">
      <c r="A105" s="32" t="n"/>
      <c r="B105" s="28" t="n"/>
      <c r="C105" s="28" t="n"/>
      <c r="D105" s="29" t="n"/>
      <c r="E105" s="11">
        <f>IF(B105="","",IFERROR(INDEX(Produits!$H$5:$H$64,MATCH(B105,Produits!$G$5:$G$64,0)),""))</f>
        <v/>
      </c>
      <c r="F105" s="28" t="n"/>
      <c r="G105" s="32" t="n"/>
      <c r="H105" s="11">
        <f>IF(G105="","",G105-TODAY())</f>
        <v/>
      </c>
      <c r="I105" s="11">
        <f>IF(G105="","",IF(J105="Oui","Terminé",IF(H105&lt;0,"PÉRIMÉ",IF(H105&lt;=1,"AUJOURD'HUI",IF(H105&lt;=3,"BIENTÔT","OK")))))</f>
        <v/>
      </c>
      <c r="J105" s="29" t="n"/>
    </row>
    <row r="106">
      <c r="A106" s="32" t="n"/>
      <c r="B106" s="28" t="n"/>
      <c r="C106" s="28" t="n"/>
      <c r="D106" s="29" t="n"/>
      <c r="E106" s="11">
        <f>IF(B106="","",IFERROR(INDEX(Produits!$H$5:$H$64,MATCH(B106,Produits!$G$5:$G$64,0)),""))</f>
        <v/>
      </c>
      <c r="F106" s="28" t="n"/>
      <c r="G106" s="32" t="n"/>
      <c r="H106" s="11">
        <f>IF(G106="","",G106-TODAY())</f>
        <v/>
      </c>
      <c r="I106" s="11">
        <f>IF(G106="","",IF(J106="Oui","Terminé",IF(H106&lt;0,"PÉRIMÉ",IF(H106&lt;=1,"AUJOURD'HUI",IF(H106&lt;=3,"BIENTÔT","OK")))))</f>
        <v/>
      </c>
      <c r="J106" s="29" t="n"/>
    </row>
    <row r="107">
      <c r="A107" s="32" t="n"/>
      <c r="B107" s="28" t="n"/>
      <c r="C107" s="28" t="n"/>
      <c r="D107" s="29" t="n"/>
      <c r="E107" s="11">
        <f>IF(B107="","",IFERROR(INDEX(Produits!$H$5:$H$64,MATCH(B107,Produits!$G$5:$G$64,0)),""))</f>
        <v/>
      </c>
      <c r="F107" s="28" t="n"/>
      <c r="G107" s="32" t="n"/>
      <c r="H107" s="11">
        <f>IF(G107="","",G107-TODAY())</f>
        <v/>
      </c>
      <c r="I107" s="11">
        <f>IF(G107="","",IF(J107="Oui","Terminé",IF(H107&lt;0,"PÉRIMÉ",IF(H107&lt;=1,"AUJOURD'HUI",IF(H107&lt;=3,"BIENTÔT","OK")))))</f>
        <v/>
      </c>
      <c r="J107" s="29" t="n"/>
    </row>
    <row r="108">
      <c r="A108" s="32" t="n"/>
      <c r="B108" s="28" t="n"/>
      <c r="C108" s="28" t="n"/>
      <c r="D108" s="29" t="n"/>
      <c r="E108" s="11">
        <f>IF(B108="","",IFERROR(INDEX(Produits!$H$5:$H$64,MATCH(B108,Produits!$G$5:$G$64,0)),""))</f>
        <v/>
      </c>
      <c r="F108" s="28" t="n"/>
      <c r="G108" s="32" t="n"/>
      <c r="H108" s="11">
        <f>IF(G108="","",G108-TODAY())</f>
        <v/>
      </c>
      <c r="I108" s="11">
        <f>IF(G108="","",IF(J108="Oui","Terminé",IF(H108&lt;0,"PÉRIMÉ",IF(H108&lt;=1,"AUJOURD'HUI",IF(H108&lt;=3,"BIENTÔT","OK")))))</f>
        <v/>
      </c>
      <c r="J108" s="29" t="n"/>
    </row>
    <row r="109">
      <c r="A109" s="32" t="n"/>
      <c r="B109" s="28" t="n"/>
      <c r="C109" s="28" t="n"/>
      <c r="D109" s="29" t="n"/>
      <c r="E109" s="11">
        <f>IF(B109="","",IFERROR(INDEX(Produits!$H$5:$H$64,MATCH(B109,Produits!$G$5:$G$64,0)),""))</f>
        <v/>
      </c>
      <c r="F109" s="28" t="n"/>
      <c r="G109" s="32" t="n"/>
      <c r="H109" s="11">
        <f>IF(G109="","",G109-TODAY())</f>
        <v/>
      </c>
      <c r="I109" s="11">
        <f>IF(G109="","",IF(J109="Oui","Terminé",IF(H109&lt;0,"PÉRIMÉ",IF(H109&lt;=1,"AUJOURD'HUI",IF(H109&lt;=3,"BIENTÔT","OK")))))</f>
        <v/>
      </c>
      <c r="J109" s="29" t="n"/>
    </row>
    <row r="110">
      <c r="A110" s="32" t="n"/>
      <c r="B110" s="28" t="n"/>
      <c r="C110" s="28" t="n"/>
      <c r="D110" s="29" t="n"/>
      <c r="E110" s="11">
        <f>IF(B110="","",IFERROR(INDEX(Produits!$H$5:$H$64,MATCH(B110,Produits!$G$5:$G$64,0)),""))</f>
        <v/>
      </c>
      <c r="F110" s="28" t="n"/>
      <c r="G110" s="32" t="n"/>
      <c r="H110" s="11">
        <f>IF(G110="","",G110-TODAY())</f>
        <v/>
      </c>
      <c r="I110" s="11">
        <f>IF(G110="","",IF(J110="Oui","Terminé",IF(H110&lt;0,"PÉRIMÉ",IF(H110&lt;=1,"AUJOURD'HUI",IF(H110&lt;=3,"BIENTÔT","OK")))))</f>
        <v/>
      </c>
      <c r="J110" s="29" t="n"/>
    </row>
    <row r="111">
      <c r="A111" s="32" t="n"/>
      <c r="B111" s="28" t="n"/>
      <c r="C111" s="28" t="n"/>
      <c r="D111" s="29" t="n"/>
      <c r="E111" s="11">
        <f>IF(B111="","",IFERROR(INDEX(Produits!$H$5:$H$64,MATCH(B111,Produits!$G$5:$G$64,0)),""))</f>
        <v/>
      </c>
      <c r="F111" s="28" t="n"/>
      <c r="G111" s="32" t="n"/>
      <c r="H111" s="11">
        <f>IF(G111="","",G111-TODAY())</f>
        <v/>
      </c>
      <c r="I111" s="11">
        <f>IF(G111="","",IF(J111="Oui","Terminé",IF(H111&lt;0,"PÉRIMÉ",IF(H111&lt;=1,"AUJOURD'HUI",IF(H111&lt;=3,"BIENTÔT","OK")))))</f>
        <v/>
      </c>
      <c r="J111" s="29" t="n"/>
    </row>
    <row r="112">
      <c r="A112" s="32" t="n"/>
      <c r="B112" s="28" t="n"/>
      <c r="C112" s="28" t="n"/>
      <c r="D112" s="29" t="n"/>
      <c r="E112" s="11">
        <f>IF(B112="","",IFERROR(INDEX(Produits!$H$5:$H$64,MATCH(B112,Produits!$G$5:$G$64,0)),""))</f>
        <v/>
      </c>
      <c r="F112" s="28" t="n"/>
      <c r="G112" s="32" t="n"/>
      <c r="H112" s="11">
        <f>IF(G112="","",G112-TODAY())</f>
        <v/>
      </c>
      <c r="I112" s="11">
        <f>IF(G112="","",IF(J112="Oui","Terminé",IF(H112&lt;0,"PÉRIMÉ",IF(H112&lt;=1,"AUJOURD'HUI",IF(H112&lt;=3,"BIENTÔT","OK")))))</f>
        <v/>
      </c>
      <c r="J112" s="29" t="n"/>
    </row>
    <row r="113">
      <c r="A113" s="32" t="n"/>
      <c r="B113" s="28" t="n"/>
      <c r="C113" s="28" t="n"/>
      <c r="D113" s="29" t="n"/>
      <c r="E113" s="11">
        <f>IF(B113="","",IFERROR(INDEX(Produits!$H$5:$H$64,MATCH(B113,Produits!$G$5:$G$64,0)),""))</f>
        <v/>
      </c>
      <c r="F113" s="28" t="n"/>
      <c r="G113" s="32" t="n"/>
      <c r="H113" s="11">
        <f>IF(G113="","",G113-TODAY())</f>
        <v/>
      </c>
      <c r="I113" s="11">
        <f>IF(G113="","",IF(J113="Oui","Terminé",IF(H113&lt;0,"PÉRIMÉ",IF(H113&lt;=1,"AUJOURD'HUI",IF(H113&lt;=3,"BIENTÔT","OK")))))</f>
        <v/>
      </c>
      <c r="J113" s="29" t="n"/>
    </row>
    <row r="114">
      <c r="A114" s="32" t="n"/>
      <c r="B114" s="28" t="n"/>
      <c r="C114" s="28" t="n"/>
      <c r="D114" s="29" t="n"/>
      <c r="E114" s="11">
        <f>IF(B114="","",IFERROR(INDEX(Produits!$H$5:$H$64,MATCH(B114,Produits!$G$5:$G$64,0)),""))</f>
        <v/>
      </c>
      <c r="F114" s="28" t="n"/>
      <c r="G114" s="32" t="n"/>
      <c r="H114" s="11">
        <f>IF(G114="","",G114-TODAY())</f>
        <v/>
      </c>
      <c r="I114" s="11">
        <f>IF(G114="","",IF(J114="Oui","Terminé",IF(H114&lt;0,"PÉRIMÉ",IF(H114&lt;=1,"AUJOURD'HUI",IF(H114&lt;=3,"BIENTÔT","OK")))))</f>
        <v/>
      </c>
      <c r="J114" s="29" t="n"/>
    </row>
    <row r="115">
      <c r="A115" s="32" t="n"/>
      <c r="B115" s="28" t="n"/>
      <c r="C115" s="28" t="n"/>
      <c r="D115" s="29" t="n"/>
      <c r="E115" s="11">
        <f>IF(B115="","",IFERROR(INDEX(Produits!$H$5:$H$64,MATCH(B115,Produits!$G$5:$G$64,0)),""))</f>
        <v/>
      </c>
      <c r="F115" s="28" t="n"/>
      <c r="G115" s="32" t="n"/>
      <c r="H115" s="11">
        <f>IF(G115="","",G115-TODAY())</f>
        <v/>
      </c>
      <c r="I115" s="11">
        <f>IF(G115="","",IF(J115="Oui","Terminé",IF(H115&lt;0,"PÉRIMÉ",IF(H115&lt;=1,"AUJOURD'HUI",IF(H115&lt;=3,"BIENTÔT","OK")))))</f>
        <v/>
      </c>
      <c r="J115" s="29" t="n"/>
    </row>
    <row r="116">
      <c r="A116" s="32" t="n"/>
      <c r="B116" s="28" t="n"/>
      <c r="C116" s="28" t="n"/>
      <c r="D116" s="29" t="n"/>
      <c r="E116" s="11">
        <f>IF(B116="","",IFERROR(INDEX(Produits!$H$5:$H$64,MATCH(B116,Produits!$G$5:$G$64,0)),""))</f>
        <v/>
      </c>
      <c r="F116" s="28" t="n"/>
      <c r="G116" s="32" t="n"/>
      <c r="H116" s="11">
        <f>IF(G116="","",G116-TODAY())</f>
        <v/>
      </c>
      <c r="I116" s="11">
        <f>IF(G116="","",IF(J116="Oui","Terminé",IF(H116&lt;0,"PÉRIMÉ",IF(H116&lt;=1,"AUJOURD'HUI",IF(H116&lt;=3,"BIENTÔT","OK")))))</f>
        <v/>
      </c>
      <c r="J116" s="29" t="n"/>
    </row>
    <row r="117">
      <c r="A117" s="32" t="n"/>
      <c r="B117" s="28" t="n"/>
      <c r="C117" s="28" t="n"/>
      <c r="D117" s="29" t="n"/>
      <c r="E117" s="11">
        <f>IF(B117="","",IFERROR(INDEX(Produits!$H$5:$H$64,MATCH(B117,Produits!$G$5:$G$64,0)),""))</f>
        <v/>
      </c>
      <c r="F117" s="28" t="n"/>
      <c r="G117" s="32" t="n"/>
      <c r="H117" s="11">
        <f>IF(G117="","",G117-TODAY())</f>
        <v/>
      </c>
      <c r="I117" s="11">
        <f>IF(G117="","",IF(J117="Oui","Terminé",IF(H117&lt;0,"PÉRIMÉ",IF(H117&lt;=1,"AUJOURD'HUI",IF(H117&lt;=3,"BIENTÔT","OK")))))</f>
        <v/>
      </c>
      <c r="J117" s="29" t="n"/>
    </row>
    <row r="118">
      <c r="A118" s="32" t="n"/>
      <c r="B118" s="28" t="n"/>
      <c r="C118" s="28" t="n"/>
      <c r="D118" s="29" t="n"/>
      <c r="E118" s="11">
        <f>IF(B118="","",IFERROR(INDEX(Produits!$H$5:$H$64,MATCH(B118,Produits!$G$5:$G$64,0)),""))</f>
        <v/>
      </c>
      <c r="F118" s="28" t="n"/>
      <c r="G118" s="32" t="n"/>
      <c r="H118" s="11">
        <f>IF(G118="","",G118-TODAY())</f>
        <v/>
      </c>
      <c r="I118" s="11">
        <f>IF(G118="","",IF(J118="Oui","Terminé",IF(H118&lt;0,"PÉRIMÉ",IF(H118&lt;=1,"AUJOURD'HUI",IF(H118&lt;=3,"BIENTÔT","OK")))))</f>
        <v/>
      </c>
      <c r="J118" s="29" t="n"/>
    </row>
    <row r="119">
      <c r="A119" s="32" t="n"/>
      <c r="B119" s="28" t="n"/>
      <c r="C119" s="28" t="n"/>
      <c r="D119" s="29" t="n"/>
      <c r="E119" s="11">
        <f>IF(B119="","",IFERROR(INDEX(Produits!$H$5:$H$64,MATCH(B119,Produits!$G$5:$G$64,0)),""))</f>
        <v/>
      </c>
      <c r="F119" s="28" t="n"/>
      <c r="G119" s="32" t="n"/>
      <c r="H119" s="11">
        <f>IF(G119="","",G119-TODAY())</f>
        <v/>
      </c>
      <c r="I119" s="11">
        <f>IF(G119="","",IF(J119="Oui","Terminé",IF(H119&lt;0,"PÉRIMÉ",IF(H119&lt;=1,"AUJOURD'HUI",IF(H119&lt;=3,"BIENTÔT","OK")))))</f>
        <v/>
      </c>
      <c r="J119" s="29" t="n"/>
    </row>
    <row r="120">
      <c r="A120" s="32" t="n"/>
      <c r="B120" s="28" t="n"/>
      <c r="C120" s="28" t="n"/>
      <c r="D120" s="29" t="n"/>
      <c r="E120" s="11">
        <f>IF(B120="","",IFERROR(INDEX(Produits!$H$5:$H$64,MATCH(B120,Produits!$G$5:$G$64,0)),""))</f>
        <v/>
      </c>
      <c r="F120" s="28" t="n"/>
      <c r="G120" s="32" t="n"/>
      <c r="H120" s="11">
        <f>IF(G120="","",G120-TODAY())</f>
        <v/>
      </c>
      <c r="I120" s="11">
        <f>IF(G120="","",IF(J120="Oui","Terminé",IF(H120&lt;0,"PÉRIMÉ",IF(H120&lt;=1,"AUJOURD'HUI",IF(H120&lt;=3,"BIENTÔT","OK")))))</f>
        <v/>
      </c>
      <c r="J120" s="29" t="n"/>
    </row>
    <row r="121">
      <c r="A121" s="32" t="n"/>
      <c r="B121" s="28" t="n"/>
      <c r="C121" s="28" t="n"/>
      <c r="D121" s="29" t="n"/>
      <c r="E121" s="11">
        <f>IF(B121="","",IFERROR(INDEX(Produits!$H$5:$H$64,MATCH(B121,Produits!$G$5:$G$64,0)),""))</f>
        <v/>
      </c>
      <c r="F121" s="28" t="n"/>
      <c r="G121" s="32" t="n"/>
      <c r="H121" s="11">
        <f>IF(G121="","",G121-TODAY())</f>
        <v/>
      </c>
      <c r="I121" s="11">
        <f>IF(G121="","",IF(J121="Oui","Terminé",IF(H121&lt;0,"PÉRIMÉ",IF(H121&lt;=1,"AUJOURD'HUI",IF(H121&lt;=3,"BIENTÔT","OK")))))</f>
        <v/>
      </c>
      <c r="J121" s="29" t="n"/>
    </row>
    <row r="122">
      <c r="A122" s="32" t="n"/>
      <c r="B122" s="28" t="n"/>
      <c r="C122" s="28" t="n"/>
      <c r="D122" s="29" t="n"/>
      <c r="E122" s="11">
        <f>IF(B122="","",IFERROR(INDEX(Produits!$H$5:$H$64,MATCH(B122,Produits!$G$5:$G$64,0)),""))</f>
        <v/>
      </c>
      <c r="F122" s="28" t="n"/>
      <c r="G122" s="32" t="n"/>
      <c r="H122" s="11">
        <f>IF(G122="","",G122-TODAY())</f>
        <v/>
      </c>
      <c r="I122" s="11">
        <f>IF(G122="","",IF(J122="Oui","Terminé",IF(H122&lt;0,"PÉRIMÉ",IF(H122&lt;=1,"AUJOURD'HUI",IF(H122&lt;=3,"BIENTÔT","OK")))))</f>
        <v/>
      </c>
      <c r="J122" s="29" t="n"/>
    </row>
    <row r="123">
      <c r="A123" s="32" t="n"/>
      <c r="B123" s="28" t="n"/>
      <c r="C123" s="28" t="n"/>
      <c r="D123" s="29" t="n"/>
      <c r="E123" s="11">
        <f>IF(B123="","",IFERROR(INDEX(Produits!$H$5:$H$64,MATCH(B123,Produits!$G$5:$G$64,0)),""))</f>
        <v/>
      </c>
      <c r="F123" s="28" t="n"/>
      <c r="G123" s="32" t="n"/>
      <c r="H123" s="11">
        <f>IF(G123="","",G123-TODAY())</f>
        <v/>
      </c>
      <c r="I123" s="11">
        <f>IF(G123="","",IF(J123="Oui","Terminé",IF(H123&lt;0,"PÉRIMÉ",IF(H123&lt;=1,"AUJOURD'HUI",IF(H123&lt;=3,"BIENTÔT","OK")))))</f>
        <v/>
      </c>
      <c r="J123" s="29" t="n"/>
    </row>
    <row r="124">
      <c r="A124" s="32" t="n"/>
      <c r="B124" s="28" t="n"/>
      <c r="C124" s="28" t="n"/>
      <c r="D124" s="29" t="n"/>
      <c r="E124" s="11">
        <f>IF(B124="","",IFERROR(INDEX(Produits!$H$5:$H$64,MATCH(B124,Produits!$G$5:$G$64,0)),""))</f>
        <v/>
      </c>
      <c r="F124" s="28" t="n"/>
      <c r="G124" s="32" t="n"/>
      <c r="H124" s="11">
        <f>IF(G124="","",G124-TODAY())</f>
        <v/>
      </c>
      <c r="I124" s="11">
        <f>IF(G124="","",IF(J124="Oui","Terminé",IF(H124&lt;0,"PÉRIMÉ",IF(H124&lt;=1,"AUJOURD'HUI",IF(H124&lt;=3,"BIENTÔT","OK")))))</f>
        <v/>
      </c>
      <c r="J124" s="29" t="n"/>
    </row>
    <row r="125">
      <c r="A125" s="32" t="n"/>
      <c r="B125" s="28" t="n"/>
      <c r="C125" s="28" t="n"/>
      <c r="D125" s="29" t="n"/>
      <c r="E125" s="11">
        <f>IF(B125="","",IFERROR(INDEX(Produits!$H$5:$H$64,MATCH(B125,Produits!$G$5:$G$64,0)),""))</f>
        <v/>
      </c>
      <c r="F125" s="28" t="n"/>
      <c r="G125" s="32" t="n"/>
      <c r="H125" s="11">
        <f>IF(G125="","",G125-TODAY())</f>
        <v/>
      </c>
      <c r="I125" s="11">
        <f>IF(G125="","",IF(J125="Oui","Terminé",IF(H125&lt;0,"PÉRIMÉ",IF(H125&lt;=1,"AUJOURD'HUI",IF(H125&lt;=3,"BIENTÔT","OK")))))</f>
        <v/>
      </c>
      <c r="J125" s="29" t="n"/>
    </row>
    <row r="126">
      <c r="A126" s="32" t="n"/>
      <c r="B126" s="28" t="n"/>
      <c r="C126" s="28" t="n"/>
      <c r="D126" s="29" t="n"/>
      <c r="E126" s="11">
        <f>IF(B126="","",IFERROR(INDEX(Produits!$H$5:$H$64,MATCH(B126,Produits!$G$5:$G$64,0)),""))</f>
        <v/>
      </c>
      <c r="F126" s="28" t="n"/>
      <c r="G126" s="32" t="n"/>
      <c r="H126" s="11">
        <f>IF(G126="","",G126-TODAY())</f>
        <v/>
      </c>
      <c r="I126" s="11">
        <f>IF(G126="","",IF(J126="Oui","Terminé",IF(H126&lt;0,"PÉRIMÉ",IF(H126&lt;=1,"AUJOURD'HUI",IF(H126&lt;=3,"BIENTÔT","OK")))))</f>
        <v/>
      </c>
      <c r="J126" s="29" t="n"/>
    </row>
    <row r="127">
      <c r="A127" s="32" t="n"/>
      <c r="B127" s="28" t="n"/>
      <c r="C127" s="28" t="n"/>
      <c r="D127" s="29" t="n"/>
      <c r="E127" s="11">
        <f>IF(B127="","",IFERROR(INDEX(Produits!$H$5:$H$64,MATCH(B127,Produits!$G$5:$G$64,0)),""))</f>
        <v/>
      </c>
      <c r="F127" s="28" t="n"/>
      <c r="G127" s="32" t="n"/>
      <c r="H127" s="11">
        <f>IF(G127="","",G127-TODAY())</f>
        <v/>
      </c>
      <c r="I127" s="11">
        <f>IF(G127="","",IF(J127="Oui","Terminé",IF(H127&lt;0,"PÉRIMÉ",IF(H127&lt;=1,"AUJOURD'HUI",IF(H127&lt;=3,"BIENTÔT","OK")))))</f>
        <v/>
      </c>
      <c r="J127" s="29" t="n"/>
    </row>
    <row r="128">
      <c r="A128" s="32" t="n"/>
      <c r="B128" s="28" t="n"/>
      <c r="C128" s="28" t="n"/>
      <c r="D128" s="29" t="n"/>
      <c r="E128" s="11">
        <f>IF(B128="","",IFERROR(INDEX(Produits!$H$5:$H$64,MATCH(B128,Produits!$G$5:$G$64,0)),""))</f>
        <v/>
      </c>
      <c r="F128" s="28" t="n"/>
      <c r="G128" s="32" t="n"/>
      <c r="H128" s="11">
        <f>IF(G128="","",G128-TODAY())</f>
        <v/>
      </c>
      <c r="I128" s="11">
        <f>IF(G128="","",IF(J128="Oui","Terminé",IF(H128&lt;0,"PÉRIMÉ",IF(H128&lt;=1,"AUJOURD'HUI",IF(H128&lt;=3,"BIENTÔT","OK")))))</f>
        <v/>
      </c>
      <c r="J128" s="29" t="n"/>
    </row>
    <row r="129">
      <c r="A129" s="32" t="n"/>
      <c r="B129" s="28" t="n"/>
      <c r="C129" s="28" t="n"/>
      <c r="D129" s="29" t="n"/>
      <c r="E129" s="11">
        <f>IF(B129="","",IFERROR(INDEX(Produits!$H$5:$H$64,MATCH(B129,Produits!$G$5:$G$64,0)),""))</f>
        <v/>
      </c>
      <c r="F129" s="28" t="n"/>
      <c r="G129" s="32" t="n"/>
      <c r="H129" s="11">
        <f>IF(G129="","",G129-TODAY())</f>
        <v/>
      </c>
      <c r="I129" s="11">
        <f>IF(G129="","",IF(J129="Oui","Terminé",IF(H129&lt;0,"PÉRIMÉ",IF(H129&lt;=1,"AUJOURD'HUI",IF(H129&lt;=3,"BIENTÔT","OK")))))</f>
        <v/>
      </c>
      <c r="J129" s="29" t="n"/>
    </row>
    <row r="130">
      <c r="A130" s="32" t="n"/>
      <c r="B130" s="28" t="n"/>
      <c r="C130" s="28" t="n"/>
      <c r="D130" s="29" t="n"/>
      <c r="E130" s="11">
        <f>IF(B130="","",IFERROR(INDEX(Produits!$H$5:$H$64,MATCH(B130,Produits!$G$5:$G$64,0)),""))</f>
        <v/>
      </c>
      <c r="F130" s="28" t="n"/>
      <c r="G130" s="32" t="n"/>
      <c r="H130" s="11">
        <f>IF(G130="","",G130-TODAY())</f>
        <v/>
      </c>
      <c r="I130" s="11">
        <f>IF(G130="","",IF(J130="Oui","Terminé",IF(H130&lt;0,"PÉRIMÉ",IF(H130&lt;=1,"AUJOURD'HUI",IF(H130&lt;=3,"BIENTÔT","OK")))))</f>
        <v/>
      </c>
      <c r="J130" s="29" t="n"/>
    </row>
    <row r="131">
      <c r="A131" s="32" t="n"/>
      <c r="B131" s="28" t="n"/>
      <c r="C131" s="28" t="n"/>
      <c r="D131" s="29" t="n"/>
      <c r="E131" s="11">
        <f>IF(B131="","",IFERROR(INDEX(Produits!$H$5:$H$64,MATCH(B131,Produits!$G$5:$G$64,0)),""))</f>
        <v/>
      </c>
      <c r="F131" s="28" t="n"/>
      <c r="G131" s="32" t="n"/>
      <c r="H131" s="11">
        <f>IF(G131="","",G131-TODAY())</f>
        <v/>
      </c>
      <c r="I131" s="11">
        <f>IF(G131="","",IF(J131="Oui","Terminé",IF(H131&lt;0,"PÉRIMÉ",IF(H131&lt;=1,"AUJOURD'HUI",IF(H131&lt;=3,"BIENTÔT","OK")))))</f>
        <v/>
      </c>
      <c r="J131" s="29" t="n"/>
    </row>
    <row r="132">
      <c r="A132" s="32" t="n"/>
      <c r="B132" s="28" t="n"/>
      <c r="C132" s="28" t="n"/>
      <c r="D132" s="29" t="n"/>
      <c r="E132" s="11">
        <f>IF(B132="","",IFERROR(INDEX(Produits!$H$5:$H$64,MATCH(B132,Produits!$G$5:$G$64,0)),""))</f>
        <v/>
      </c>
      <c r="F132" s="28" t="n"/>
      <c r="G132" s="32" t="n"/>
      <c r="H132" s="11">
        <f>IF(G132="","",G132-TODAY())</f>
        <v/>
      </c>
      <c r="I132" s="11">
        <f>IF(G132="","",IF(J132="Oui","Terminé",IF(H132&lt;0,"PÉRIMÉ",IF(H132&lt;=1,"AUJOURD'HUI",IF(H132&lt;=3,"BIENTÔT","OK")))))</f>
        <v/>
      </c>
      <c r="J132" s="29" t="n"/>
    </row>
    <row r="133">
      <c r="A133" s="32" t="n"/>
      <c r="B133" s="28" t="n"/>
      <c r="C133" s="28" t="n"/>
      <c r="D133" s="29" t="n"/>
      <c r="E133" s="11">
        <f>IF(B133="","",IFERROR(INDEX(Produits!$H$5:$H$64,MATCH(B133,Produits!$G$5:$G$64,0)),""))</f>
        <v/>
      </c>
      <c r="F133" s="28" t="n"/>
      <c r="G133" s="32" t="n"/>
      <c r="H133" s="11">
        <f>IF(G133="","",G133-TODAY())</f>
        <v/>
      </c>
      <c r="I133" s="11">
        <f>IF(G133="","",IF(J133="Oui","Terminé",IF(H133&lt;0,"PÉRIMÉ",IF(H133&lt;=1,"AUJOURD'HUI",IF(H133&lt;=3,"BIENTÔT","OK")))))</f>
        <v/>
      </c>
      <c r="J133" s="29" t="n"/>
    </row>
    <row r="134">
      <c r="A134" s="32" t="n"/>
      <c r="B134" s="28" t="n"/>
      <c r="C134" s="28" t="n"/>
      <c r="D134" s="29" t="n"/>
      <c r="E134" s="11">
        <f>IF(B134="","",IFERROR(INDEX(Produits!$H$5:$H$64,MATCH(B134,Produits!$G$5:$G$64,0)),""))</f>
        <v/>
      </c>
      <c r="F134" s="28" t="n"/>
      <c r="G134" s="32" t="n"/>
      <c r="H134" s="11">
        <f>IF(G134="","",G134-TODAY())</f>
        <v/>
      </c>
      <c r="I134" s="11">
        <f>IF(G134="","",IF(J134="Oui","Terminé",IF(H134&lt;0,"PÉRIMÉ",IF(H134&lt;=1,"AUJOURD'HUI",IF(H134&lt;=3,"BIENTÔT","OK")))))</f>
        <v/>
      </c>
      <c r="J134" s="29" t="n"/>
    </row>
    <row r="135">
      <c r="A135" s="32" t="n"/>
      <c r="B135" s="28" t="n"/>
      <c r="C135" s="28" t="n"/>
      <c r="D135" s="29" t="n"/>
      <c r="E135" s="11">
        <f>IF(B135="","",IFERROR(INDEX(Produits!$H$5:$H$64,MATCH(B135,Produits!$G$5:$G$64,0)),""))</f>
        <v/>
      </c>
      <c r="F135" s="28" t="n"/>
      <c r="G135" s="32" t="n"/>
      <c r="H135" s="11">
        <f>IF(G135="","",G135-TODAY())</f>
        <v/>
      </c>
      <c r="I135" s="11">
        <f>IF(G135="","",IF(J135="Oui","Terminé",IF(H135&lt;0,"PÉRIMÉ",IF(H135&lt;=1,"AUJOURD'HUI",IF(H135&lt;=3,"BIENTÔT","OK")))))</f>
        <v/>
      </c>
      <c r="J135" s="29" t="n"/>
    </row>
    <row r="136">
      <c r="A136" s="32" t="n"/>
      <c r="B136" s="28" t="n"/>
      <c r="C136" s="28" t="n"/>
      <c r="D136" s="29" t="n"/>
      <c r="E136" s="11">
        <f>IF(B136="","",IFERROR(INDEX(Produits!$H$5:$H$64,MATCH(B136,Produits!$G$5:$G$64,0)),""))</f>
        <v/>
      </c>
      <c r="F136" s="28" t="n"/>
      <c r="G136" s="32" t="n"/>
      <c r="H136" s="11">
        <f>IF(G136="","",G136-TODAY())</f>
        <v/>
      </c>
      <c r="I136" s="11">
        <f>IF(G136="","",IF(J136="Oui","Terminé",IF(H136&lt;0,"PÉRIMÉ",IF(H136&lt;=1,"AUJOURD'HUI",IF(H136&lt;=3,"BIENTÔT","OK")))))</f>
        <v/>
      </c>
      <c r="J136" s="29" t="n"/>
    </row>
    <row r="137">
      <c r="A137" s="32" t="n"/>
      <c r="B137" s="28" t="n"/>
      <c r="C137" s="28" t="n"/>
      <c r="D137" s="29" t="n"/>
      <c r="E137" s="11">
        <f>IF(B137="","",IFERROR(INDEX(Produits!$H$5:$H$64,MATCH(B137,Produits!$G$5:$G$64,0)),""))</f>
        <v/>
      </c>
      <c r="F137" s="28" t="n"/>
      <c r="G137" s="32" t="n"/>
      <c r="H137" s="11">
        <f>IF(G137="","",G137-TODAY())</f>
        <v/>
      </c>
      <c r="I137" s="11">
        <f>IF(G137="","",IF(J137="Oui","Terminé",IF(H137&lt;0,"PÉRIMÉ",IF(H137&lt;=1,"AUJOURD'HUI",IF(H137&lt;=3,"BIENTÔT","OK")))))</f>
        <v/>
      </c>
      <c r="J137" s="29" t="n"/>
    </row>
    <row r="138">
      <c r="A138" s="32" t="n"/>
      <c r="B138" s="28" t="n"/>
      <c r="C138" s="28" t="n"/>
      <c r="D138" s="29" t="n"/>
      <c r="E138" s="11">
        <f>IF(B138="","",IFERROR(INDEX(Produits!$H$5:$H$64,MATCH(B138,Produits!$G$5:$G$64,0)),""))</f>
        <v/>
      </c>
      <c r="F138" s="28" t="n"/>
      <c r="G138" s="32" t="n"/>
      <c r="H138" s="11">
        <f>IF(G138="","",G138-TODAY())</f>
        <v/>
      </c>
      <c r="I138" s="11">
        <f>IF(G138="","",IF(J138="Oui","Terminé",IF(H138&lt;0,"PÉRIMÉ",IF(H138&lt;=1,"AUJOURD'HUI",IF(H138&lt;=3,"BIENTÔT","OK")))))</f>
        <v/>
      </c>
      <c r="J138" s="29" t="n"/>
    </row>
    <row r="139">
      <c r="A139" s="32" t="n"/>
      <c r="B139" s="28" t="n"/>
      <c r="C139" s="28" t="n"/>
      <c r="D139" s="29" t="n"/>
      <c r="E139" s="11">
        <f>IF(B139="","",IFERROR(INDEX(Produits!$H$5:$H$64,MATCH(B139,Produits!$G$5:$G$64,0)),""))</f>
        <v/>
      </c>
      <c r="F139" s="28" t="n"/>
      <c r="G139" s="32" t="n"/>
      <c r="H139" s="11">
        <f>IF(G139="","",G139-TODAY())</f>
        <v/>
      </c>
      <c r="I139" s="11">
        <f>IF(G139="","",IF(J139="Oui","Terminé",IF(H139&lt;0,"PÉRIMÉ",IF(H139&lt;=1,"AUJOURD'HUI",IF(H139&lt;=3,"BIENTÔT","OK")))))</f>
        <v/>
      </c>
      <c r="J139" s="29" t="n"/>
    </row>
    <row r="140">
      <c r="A140" s="32" t="n"/>
      <c r="B140" s="28" t="n"/>
      <c r="C140" s="28" t="n"/>
      <c r="D140" s="29" t="n"/>
      <c r="E140" s="11">
        <f>IF(B140="","",IFERROR(INDEX(Produits!$H$5:$H$64,MATCH(B140,Produits!$G$5:$G$64,0)),""))</f>
        <v/>
      </c>
      <c r="F140" s="28" t="n"/>
      <c r="G140" s="32" t="n"/>
      <c r="H140" s="11">
        <f>IF(G140="","",G140-TODAY())</f>
        <v/>
      </c>
      <c r="I140" s="11">
        <f>IF(G140="","",IF(J140="Oui","Terminé",IF(H140&lt;0,"PÉRIMÉ",IF(H140&lt;=1,"AUJOURD'HUI",IF(H140&lt;=3,"BIENTÔT","OK")))))</f>
        <v/>
      </c>
      <c r="J140" s="29" t="n"/>
    </row>
    <row r="141">
      <c r="A141" s="32" t="n"/>
      <c r="B141" s="28" t="n"/>
      <c r="C141" s="28" t="n"/>
      <c r="D141" s="29" t="n"/>
      <c r="E141" s="11">
        <f>IF(B141="","",IFERROR(INDEX(Produits!$H$5:$H$64,MATCH(B141,Produits!$G$5:$G$64,0)),""))</f>
        <v/>
      </c>
      <c r="F141" s="28" t="n"/>
      <c r="G141" s="32" t="n"/>
      <c r="H141" s="11">
        <f>IF(G141="","",G141-TODAY())</f>
        <v/>
      </c>
      <c r="I141" s="11">
        <f>IF(G141="","",IF(J141="Oui","Terminé",IF(H141&lt;0,"PÉRIMÉ",IF(H141&lt;=1,"AUJOURD'HUI",IF(H141&lt;=3,"BIENTÔT","OK")))))</f>
        <v/>
      </c>
      <c r="J141" s="29" t="n"/>
    </row>
    <row r="142">
      <c r="A142" s="32" t="n"/>
      <c r="B142" s="28" t="n"/>
      <c r="C142" s="28" t="n"/>
      <c r="D142" s="29" t="n"/>
      <c r="E142" s="11">
        <f>IF(B142="","",IFERROR(INDEX(Produits!$H$5:$H$64,MATCH(B142,Produits!$G$5:$G$64,0)),""))</f>
        <v/>
      </c>
      <c r="F142" s="28" t="n"/>
      <c r="G142" s="32" t="n"/>
      <c r="H142" s="11">
        <f>IF(G142="","",G142-TODAY())</f>
        <v/>
      </c>
      <c r="I142" s="11">
        <f>IF(G142="","",IF(J142="Oui","Terminé",IF(H142&lt;0,"PÉRIMÉ",IF(H142&lt;=1,"AUJOURD'HUI",IF(H142&lt;=3,"BIENTÔT","OK")))))</f>
        <v/>
      </c>
      <c r="J142" s="29" t="n"/>
    </row>
    <row r="143">
      <c r="A143" s="32" t="n"/>
      <c r="B143" s="28" t="n"/>
      <c r="C143" s="28" t="n"/>
      <c r="D143" s="29" t="n"/>
      <c r="E143" s="11">
        <f>IF(B143="","",IFERROR(INDEX(Produits!$H$5:$H$64,MATCH(B143,Produits!$G$5:$G$64,0)),""))</f>
        <v/>
      </c>
      <c r="F143" s="28" t="n"/>
      <c r="G143" s="32" t="n"/>
      <c r="H143" s="11">
        <f>IF(G143="","",G143-TODAY())</f>
        <v/>
      </c>
      <c r="I143" s="11">
        <f>IF(G143="","",IF(J143="Oui","Terminé",IF(H143&lt;0,"PÉRIMÉ",IF(H143&lt;=1,"AUJOURD'HUI",IF(H143&lt;=3,"BIENTÔT","OK")))))</f>
        <v/>
      </c>
      <c r="J143" s="29" t="n"/>
    </row>
    <row r="144">
      <c r="A144" s="32" t="n"/>
      <c r="B144" s="28" t="n"/>
      <c r="C144" s="28" t="n"/>
      <c r="D144" s="29" t="n"/>
      <c r="E144" s="11">
        <f>IF(B144="","",IFERROR(INDEX(Produits!$H$5:$H$64,MATCH(B144,Produits!$G$5:$G$64,0)),""))</f>
        <v/>
      </c>
      <c r="F144" s="28" t="n"/>
      <c r="G144" s="32" t="n"/>
      <c r="H144" s="11">
        <f>IF(G144="","",G144-TODAY())</f>
        <v/>
      </c>
      <c r="I144" s="11">
        <f>IF(G144="","",IF(J144="Oui","Terminé",IF(H144&lt;0,"PÉRIMÉ",IF(H144&lt;=1,"AUJOURD'HUI",IF(H144&lt;=3,"BIENTÔT","OK")))))</f>
        <v/>
      </c>
      <c r="J144" s="29" t="n"/>
    </row>
    <row r="145">
      <c r="A145" s="32" t="n"/>
      <c r="B145" s="28" t="n"/>
      <c r="C145" s="28" t="n"/>
      <c r="D145" s="29" t="n"/>
      <c r="E145" s="11">
        <f>IF(B145="","",IFERROR(INDEX(Produits!$H$5:$H$64,MATCH(B145,Produits!$G$5:$G$64,0)),""))</f>
        <v/>
      </c>
      <c r="F145" s="28" t="n"/>
      <c r="G145" s="32" t="n"/>
      <c r="H145" s="11">
        <f>IF(G145="","",G145-TODAY())</f>
        <v/>
      </c>
      <c r="I145" s="11">
        <f>IF(G145="","",IF(J145="Oui","Terminé",IF(H145&lt;0,"PÉRIMÉ",IF(H145&lt;=1,"AUJOURD'HUI",IF(H145&lt;=3,"BIENTÔT","OK")))))</f>
        <v/>
      </c>
      <c r="J145" s="29" t="n"/>
    </row>
    <row r="146">
      <c r="A146" s="32" t="n"/>
      <c r="B146" s="28" t="n"/>
      <c r="C146" s="28" t="n"/>
      <c r="D146" s="29" t="n"/>
      <c r="E146" s="11">
        <f>IF(B146="","",IFERROR(INDEX(Produits!$H$5:$H$64,MATCH(B146,Produits!$G$5:$G$64,0)),""))</f>
        <v/>
      </c>
      <c r="F146" s="28" t="n"/>
      <c r="G146" s="32" t="n"/>
      <c r="H146" s="11">
        <f>IF(G146="","",G146-TODAY())</f>
        <v/>
      </c>
      <c r="I146" s="11">
        <f>IF(G146="","",IF(J146="Oui","Terminé",IF(H146&lt;0,"PÉRIMÉ",IF(H146&lt;=1,"AUJOURD'HUI",IF(H146&lt;=3,"BIENTÔT","OK")))))</f>
        <v/>
      </c>
      <c r="J146" s="29" t="n"/>
    </row>
    <row r="147">
      <c r="A147" s="32" t="n"/>
      <c r="B147" s="28" t="n"/>
      <c r="C147" s="28" t="n"/>
      <c r="D147" s="29" t="n"/>
      <c r="E147" s="11">
        <f>IF(B147="","",IFERROR(INDEX(Produits!$H$5:$H$64,MATCH(B147,Produits!$G$5:$G$64,0)),""))</f>
        <v/>
      </c>
      <c r="F147" s="28" t="n"/>
      <c r="G147" s="32" t="n"/>
      <c r="H147" s="11">
        <f>IF(G147="","",G147-TODAY())</f>
        <v/>
      </c>
      <c r="I147" s="11">
        <f>IF(G147="","",IF(J147="Oui","Terminé",IF(H147&lt;0,"PÉRIMÉ",IF(H147&lt;=1,"AUJOURD'HUI",IF(H147&lt;=3,"BIENTÔT","OK")))))</f>
        <v/>
      </c>
      <c r="J147" s="29" t="n"/>
    </row>
    <row r="148">
      <c r="A148" s="32" t="n"/>
      <c r="B148" s="28" t="n"/>
      <c r="C148" s="28" t="n"/>
      <c r="D148" s="29" t="n"/>
      <c r="E148" s="11">
        <f>IF(B148="","",IFERROR(INDEX(Produits!$H$5:$H$64,MATCH(B148,Produits!$G$5:$G$64,0)),""))</f>
        <v/>
      </c>
      <c r="F148" s="28" t="n"/>
      <c r="G148" s="32" t="n"/>
      <c r="H148" s="11">
        <f>IF(G148="","",G148-TODAY())</f>
        <v/>
      </c>
      <c r="I148" s="11">
        <f>IF(G148="","",IF(J148="Oui","Terminé",IF(H148&lt;0,"PÉRIMÉ",IF(H148&lt;=1,"AUJOURD'HUI",IF(H148&lt;=3,"BIENTÔT","OK")))))</f>
        <v/>
      </c>
      <c r="J148" s="29" t="n"/>
    </row>
    <row r="149">
      <c r="A149" s="32" t="n"/>
      <c r="B149" s="28" t="n"/>
      <c r="C149" s="28" t="n"/>
      <c r="D149" s="29" t="n"/>
      <c r="E149" s="11">
        <f>IF(B149="","",IFERROR(INDEX(Produits!$H$5:$H$64,MATCH(B149,Produits!$G$5:$G$64,0)),""))</f>
        <v/>
      </c>
      <c r="F149" s="28" t="n"/>
      <c r="G149" s="32" t="n"/>
      <c r="H149" s="11">
        <f>IF(G149="","",G149-TODAY())</f>
        <v/>
      </c>
      <c r="I149" s="11">
        <f>IF(G149="","",IF(J149="Oui","Terminé",IF(H149&lt;0,"PÉRIMÉ",IF(H149&lt;=1,"AUJOURD'HUI",IF(H149&lt;=3,"BIENTÔT","OK")))))</f>
        <v/>
      </c>
      <c r="J149" s="29" t="n"/>
    </row>
    <row r="150">
      <c r="A150" s="32" t="n"/>
      <c r="B150" s="28" t="n"/>
      <c r="C150" s="28" t="n"/>
      <c r="D150" s="29" t="n"/>
      <c r="E150" s="11">
        <f>IF(B150="","",IFERROR(INDEX(Produits!$H$5:$H$64,MATCH(B150,Produits!$G$5:$G$64,0)),""))</f>
        <v/>
      </c>
      <c r="F150" s="28" t="n"/>
      <c r="G150" s="32" t="n"/>
      <c r="H150" s="11">
        <f>IF(G150="","",G150-TODAY())</f>
        <v/>
      </c>
      <c r="I150" s="11">
        <f>IF(G150="","",IF(J150="Oui","Terminé",IF(H150&lt;0,"PÉRIMÉ",IF(H150&lt;=1,"AUJOURD'HUI",IF(H150&lt;=3,"BIENTÔT","OK")))))</f>
        <v/>
      </c>
      <c r="J150" s="29" t="n"/>
    </row>
    <row r="151">
      <c r="A151" s="32" t="n"/>
      <c r="B151" s="28" t="n"/>
      <c r="C151" s="28" t="n"/>
      <c r="D151" s="29" t="n"/>
      <c r="E151" s="11">
        <f>IF(B151="","",IFERROR(INDEX(Produits!$H$5:$H$64,MATCH(B151,Produits!$G$5:$G$64,0)),""))</f>
        <v/>
      </c>
      <c r="F151" s="28" t="n"/>
      <c r="G151" s="32" t="n"/>
      <c r="H151" s="11">
        <f>IF(G151="","",G151-TODAY())</f>
        <v/>
      </c>
      <c r="I151" s="11">
        <f>IF(G151="","",IF(J151="Oui","Terminé",IF(H151&lt;0,"PÉRIMÉ",IF(H151&lt;=1,"AUJOURD'HUI",IF(H151&lt;=3,"BIENTÔT","OK")))))</f>
        <v/>
      </c>
      <c r="J151" s="29" t="n"/>
    </row>
    <row r="152">
      <c r="A152" s="32" t="n"/>
      <c r="B152" s="28" t="n"/>
      <c r="C152" s="28" t="n"/>
      <c r="D152" s="29" t="n"/>
      <c r="E152" s="11">
        <f>IF(B152="","",IFERROR(INDEX(Produits!$H$5:$H$64,MATCH(B152,Produits!$G$5:$G$64,0)),""))</f>
        <v/>
      </c>
      <c r="F152" s="28" t="n"/>
      <c r="G152" s="32" t="n"/>
      <c r="H152" s="11">
        <f>IF(G152="","",G152-TODAY())</f>
        <v/>
      </c>
      <c r="I152" s="11">
        <f>IF(G152="","",IF(J152="Oui","Terminé",IF(H152&lt;0,"PÉRIMÉ",IF(H152&lt;=1,"AUJOURD'HUI",IF(H152&lt;=3,"BIENTÔT","OK")))))</f>
        <v/>
      </c>
      <c r="J152" s="29" t="n"/>
    </row>
    <row r="153">
      <c r="A153" s="32" t="n"/>
      <c r="B153" s="28" t="n"/>
      <c r="C153" s="28" t="n"/>
      <c r="D153" s="29" t="n"/>
      <c r="E153" s="11">
        <f>IF(B153="","",IFERROR(INDEX(Produits!$H$5:$H$64,MATCH(B153,Produits!$G$5:$G$64,0)),""))</f>
        <v/>
      </c>
      <c r="F153" s="28" t="n"/>
      <c r="G153" s="32" t="n"/>
      <c r="H153" s="11">
        <f>IF(G153="","",G153-TODAY())</f>
        <v/>
      </c>
      <c r="I153" s="11">
        <f>IF(G153="","",IF(J153="Oui","Terminé",IF(H153&lt;0,"PÉRIMÉ",IF(H153&lt;=1,"AUJOURD'HUI",IF(H153&lt;=3,"BIENTÔT","OK")))))</f>
        <v/>
      </c>
      <c r="J153" s="29" t="n"/>
    </row>
    <row r="154">
      <c r="A154" s="32" t="n"/>
      <c r="B154" s="28" t="n"/>
      <c r="C154" s="28" t="n"/>
      <c r="D154" s="29" t="n"/>
      <c r="E154" s="11">
        <f>IF(B154="","",IFERROR(INDEX(Produits!$H$5:$H$64,MATCH(B154,Produits!$G$5:$G$64,0)),""))</f>
        <v/>
      </c>
      <c r="F154" s="28" t="n"/>
      <c r="G154" s="32" t="n"/>
      <c r="H154" s="11">
        <f>IF(G154="","",G154-TODAY())</f>
        <v/>
      </c>
      <c r="I154" s="11">
        <f>IF(G154="","",IF(J154="Oui","Terminé",IF(H154&lt;0,"PÉRIMÉ",IF(H154&lt;=1,"AUJOURD'HUI",IF(H154&lt;=3,"BIENTÔT","OK")))))</f>
        <v/>
      </c>
      <c r="J154" s="29" t="n"/>
    </row>
    <row r="155">
      <c r="A155" s="32" t="n"/>
      <c r="B155" s="28" t="n"/>
      <c r="C155" s="28" t="n"/>
      <c r="D155" s="29" t="n"/>
      <c r="E155" s="11">
        <f>IF(B155="","",IFERROR(INDEX(Produits!$H$5:$H$64,MATCH(B155,Produits!$G$5:$G$64,0)),""))</f>
        <v/>
      </c>
      <c r="F155" s="28" t="n"/>
      <c r="G155" s="32" t="n"/>
      <c r="H155" s="11">
        <f>IF(G155="","",G155-TODAY())</f>
        <v/>
      </c>
      <c r="I155" s="11">
        <f>IF(G155="","",IF(J155="Oui","Terminé",IF(H155&lt;0,"PÉRIMÉ",IF(H155&lt;=1,"AUJOURD'HUI",IF(H155&lt;=3,"BIENTÔT","OK")))))</f>
        <v/>
      </c>
      <c r="J155" s="29" t="n"/>
    </row>
    <row r="156">
      <c r="A156" s="32" t="n"/>
      <c r="B156" s="28" t="n"/>
      <c r="C156" s="28" t="n"/>
      <c r="D156" s="29" t="n"/>
      <c r="E156" s="11">
        <f>IF(B156="","",IFERROR(INDEX(Produits!$H$5:$H$64,MATCH(B156,Produits!$G$5:$G$64,0)),""))</f>
        <v/>
      </c>
      <c r="F156" s="28" t="n"/>
      <c r="G156" s="32" t="n"/>
      <c r="H156" s="11">
        <f>IF(G156="","",G156-TODAY())</f>
        <v/>
      </c>
      <c r="I156" s="11">
        <f>IF(G156="","",IF(J156="Oui","Terminé",IF(H156&lt;0,"PÉRIMÉ",IF(H156&lt;=1,"AUJOURD'HUI",IF(H156&lt;=3,"BIENTÔT","OK")))))</f>
        <v/>
      </c>
      <c r="J156" s="29" t="n"/>
    </row>
    <row r="157">
      <c r="A157" s="32" t="n"/>
      <c r="B157" s="28" t="n"/>
      <c r="C157" s="28" t="n"/>
      <c r="D157" s="29" t="n"/>
      <c r="E157" s="11">
        <f>IF(B157="","",IFERROR(INDEX(Produits!$H$5:$H$64,MATCH(B157,Produits!$G$5:$G$64,0)),""))</f>
        <v/>
      </c>
      <c r="F157" s="28" t="n"/>
      <c r="G157" s="32" t="n"/>
      <c r="H157" s="11">
        <f>IF(G157="","",G157-TODAY())</f>
        <v/>
      </c>
      <c r="I157" s="11">
        <f>IF(G157="","",IF(J157="Oui","Terminé",IF(H157&lt;0,"PÉRIMÉ",IF(H157&lt;=1,"AUJOURD'HUI",IF(H157&lt;=3,"BIENTÔT","OK")))))</f>
        <v/>
      </c>
      <c r="J157" s="29" t="n"/>
    </row>
    <row r="158">
      <c r="A158" s="32" t="n"/>
      <c r="B158" s="28" t="n"/>
      <c r="C158" s="28" t="n"/>
      <c r="D158" s="29" t="n"/>
      <c r="E158" s="11">
        <f>IF(B158="","",IFERROR(INDEX(Produits!$H$5:$H$64,MATCH(B158,Produits!$G$5:$G$64,0)),""))</f>
        <v/>
      </c>
      <c r="F158" s="28" t="n"/>
      <c r="G158" s="32" t="n"/>
      <c r="H158" s="11">
        <f>IF(G158="","",G158-TODAY())</f>
        <v/>
      </c>
      <c r="I158" s="11">
        <f>IF(G158="","",IF(J158="Oui","Terminé",IF(H158&lt;0,"PÉRIMÉ",IF(H158&lt;=1,"AUJOURD'HUI",IF(H158&lt;=3,"BIENTÔT","OK")))))</f>
        <v/>
      </c>
      <c r="J158" s="29" t="n"/>
    </row>
    <row r="159">
      <c r="A159" s="32" t="n"/>
      <c r="B159" s="28" t="n"/>
      <c r="C159" s="28" t="n"/>
      <c r="D159" s="29" t="n"/>
      <c r="E159" s="11">
        <f>IF(B159="","",IFERROR(INDEX(Produits!$H$5:$H$64,MATCH(B159,Produits!$G$5:$G$64,0)),""))</f>
        <v/>
      </c>
      <c r="F159" s="28" t="n"/>
      <c r="G159" s="32" t="n"/>
      <c r="H159" s="11">
        <f>IF(G159="","",G159-TODAY())</f>
        <v/>
      </c>
      <c r="I159" s="11">
        <f>IF(G159="","",IF(J159="Oui","Terminé",IF(H159&lt;0,"PÉRIMÉ",IF(H159&lt;=1,"AUJOURD'HUI",IF(H159&lt;=3,"BIENTÔT","OK")))))</f>
        <v/>
      </c>
      <c r="J159" s="29" t="n"/>
    </row>
    <row r="160">
      <c r="A160" s="32" t="n"/>
      <c r="B160" s="28" t="n"/>
      <c r="C160" s="28" t="n"/>
      <c r="D160" s="29" t="n"/>
      <c r="E160" s="11">
        <f>IF(B160="","",IFERROR(INDEX(Produits!$H$5:$H$64,MATCH(B160,Produits!$G$5:$G$64,0)),""))</f>
        <v/>
      </c>
      <c r="F160" s="28" t="n"/>
      <c r="G160" s="32" t="n"/>
      <c r="H160" s="11">
        <f>IF(G160="","",G160-TODAY())</f>
        <v/>
      </c>
      <c r="I160" s="11">
        <f>IF(G160="","",IF(J160="Oui","Terminé",IF(H160&lt;0,"PÉRIMÉ",IF(H160&lt;=1,"AUJOURD'HUI",IF(H160&lt;=3,"BIENTÔT","OK")))))</f>
        <v/>
      </c>
      <c r="J160" s="29" t="n"/>
    </row>
    <row r="161">
      <c r="A161" s="32" t="n"/>
      <c r="B161" s="28" t="n"/>
      <c r="C161" s="28" t="n"/>
      <c r="D161" s="29" t="n"/>
      <c r="E161" s="11">
        <f>IF(B161="","",IFERROR(INDEX(Produits!$H$5:$H$64,MATCH(B161,Produits!$G$5:$G$64,0)),""))</f>
        <v/>
      </c>
      <c r="F161" s="28" t="n"/>
      <c r="G161" s="32" t="n"/>
      <c r="H161" s="11">
        <f>IF(G161="","",G161-TODAY())</f>
        <v/>
      </c>
      <c r="I161" s="11">
        <f>IF(G161="","",IF(J161="Oui","Terminé",IF(H161&lt;0,"PÉRIMÉ",IF(H161&lt;=1,"AUJOURD'HUI",IF(H161&lt;=3,"BIENTÔT","OK")))))</f>
        <v/>
      </c>
      <c r="J161" s="29" t="n"/>
    </row>
    <row r="162">
      <c r="A162" s="32" t="n"/>
      <c r="B162" s="28" t="n"/>
      <c r="C162" s="28" t="n"/>
      <c r="D162" s="29" t="n"/>
      <c r="E162" s="11">
        <f>IF(B162="","",IFERROR(INDEX(Produits!$H$5:$H$64,MATCH(B162,Produits!$G$5:$G$64,0)),""))</f>
        <v/>
      </c>
      <c r="F162" s="28" t="n"/>
      <c r="G162" s="32" t="n"/>
      <c r="H162" s="11">
        <f>IF(G162="","",G162-TODAY())</f>
        <v/>
      </c>
      <c r="I162" s="11">
        <f>IF(G162="","",IF(J162="Oui","Terminé",IF(H162&lt;0,"PÉRIMÉ",IF(H162&lt;=1,"AUJOURD'HUI",IF(H162&lt;=3,"BIENTÔT","OK")))))</f>
        <v/>
      </c>
      <c r="J162" s="29" t="n"/>
    </row>
    <row r="163">
      <c r="A163" s="32" t="n"/>
      <c r="B163" s="28" t="n"/>
      <c r="C163" s="28" t="n"/>
      <c r="D163" s="29" t="n"/>
      <c r="E163" s="11">
        <f>IF(B163="","",IFERROR(INDEX(Produits!$H$5:$H$64,MATCH(B163,Produits!$G$5:$G$64,0)),""))</f>
        <v/>
      </c>
      <c r="F163" s="28" t="n"/>
      <c r="G163" s="32" t="n"/>
      <c r="H163" s="11">
        <f>IF(G163="","",G163-TODAY())</f>
        <v/>
      </c>
      <c r="I163" s="11">
        <f>IF(G163="","",IF(J163="Oui","Terminé",IF(H163&lt;0,"PÉRIMÉ",IF(H163&lt;=1,"AUJOURD'HUI",IF(H163&lt;=3,"BIENTÔT","OK")))))</f>
        <v/>
      </c>
      <c r="J163" s="29" t="n"/>
    </row>
    <row r="164">
      <c r="A164" s="32" t="n"/>
      <c r="B164" s="28" t="n"/>
      <c r="C164" s="28" t="n"/>
      <c r="D164" s="29" t="n"/>
      <c r="E164" s="11">
        <f>IF(B164="","",IFERROR(INDEX(Produits!$H$5:$H$64,MATCH(B164,Produits!$G$5:$G$64,0)),""))</f>
        <v/>
      </c>
      <c r="F164" s="28" t="n"/>
      <c r="G164" s="32" t="n"/>
      <c r="H164" s="11">
        <f>IF(G164="","",G164-TODAY())</f>
        <v/>
      </c>
      <c r="I164" s="11">
        <f>IF(G164="","",IF(J164="Oui","Terminé",IF(H164&lt;0,"PÉRIMÉ",IF(H164&lt;=1,"AUJOURD'HUI",IF(H164&lt;=3,"BIENTÔT","OK")))))</f>
        <v/>
      </c>
      <c r="J164" s="29" t="n"/>
    </row>
    <row r="165">
      <c r="A165" s="32" t="n"/>
      <c r="B165" s="28" t="n"/>
      <c r="C165" s="28" t="n"/>
      <c r="D165" s="29" t="n"/>
      <c r="E165" s="11">
        <f>IF(B165="","",IFERROR(INDEX(Produits!$H$5:$H$64,MATCH(B165,Produits!$G$5:$G$64,0)),""))</f>
        <v/>
      </c>
      <c r="F165" s="28" t="n"/>
      <c r="G165" s="32" t="n"/>
      <c r="H165" s="11">
        <f>IF(G165="","",G165-TODAY())</f>
        <v/>
      </c>
      <c r="I165" s="11">
        <f>IF(G165="","",IF(J165="Oui","Terminé",IF(H165&lt;0,"PÉRIMÉ",IF(H165&lt;=1,"AUJOURD'HUI",IF(H165&lt;=3,"BIENTÔT","OK")))))</f>
        <v/>
      </c>
      <c r="J165" s="29" t="n"/>
    </row>
    <row r="166">
      <c r="A166" s="32" t="n"/>
      <c r="B166" s="28" t="n"/>
      <c r="C166" s="28" t="n"/>
      <c r="D166" s="29" t="n"/>
      <c r="E166" s="11">
        <f>IF(B166="","",IFERROR(INDEX(Produits!$H$5:$H$64,MATCH(B166,Produits!$G$5:$G$64,0)),""))</f>
        <v/>
      </c>
      <c r="F166" s="28" t="n"/>
      <c r="G166" s="32" t="n"/>
      <c r="H166" s="11">
        <f>IF(G166="","",G166-TODAY())</f>
        <v/>
      </c>
      <c r="I166" s="11">
        <f>IF(G166="","",IF(J166="Oui","Terminé",IF(H166&lt;0,"PÉRIMÉ",IF(H166&lt;=1,"AUJOURD'HUI",IF(H166&lt;=3,"BIENTÔT","OK")))))</f>
        <v/>
      </c>
      <c r="J166" s="29" t="n"/>
    </row>
    <row r="167">
      <c r="A167" s="32" t="n"/>
      <c r="B167" s="28" t="n"/>
      <c r="C167" s="28" t="n"/>
      <c r="D167" s="29" t="n"/>
      <c r="E167" s="11">
        <f>IF(B167="","",IFERROR(INDEX(Produits!$H$5:$H$64,MATCH(B167,Produits!$G$5:$G$64,0)),""))</f>
        <v/>
      </c>
      <c r="F167" s="28" t="n"/>
      <c r="G167" s="32" t="n"/>
      <c r="H167" s="11">
        <f>IF(G167="","",G167-TODAY())</f>
        <v/>
      </c>
      <c r="I167" s="11">
        <f>IF(G167="","",IF(J167="Oui","Terminé",IF(H167&lt;0,"PÉRIMÉ",IF(H167&lt;=1,"AUJOURD'HUI",IF(H167&lt;=3,"BIENTÔT","OK")))))</f>
        <v/>
      </c>
      <c r="J167" s="29" t="n"/>
    </row>
    <row r="168">
      <c r="A168" s="32" t="n"/>
      <c r="B168" s="28" t="n"/>
      <c r="C168" s="28" t="n"/>
      <c r="D168" s="29" t="n"/>
      <c r="E168" s="11">
        <f>IF(B168="","",IFERROR(INDEX(Produits!$H$5:$H$64,MATCH(B168,Produits!$G$5:$G$64,0)),""))</f>
        <v/>
      </c>
      <c r="F168" s="28" t="n"/>
      <c r="G168" s="32" t="n"/>
      <c r="H168" s="11">
        <f>IF(G168="","",G168-TODAY())</f>
        <v/>
      </c>
      <c r="I168" s="11">
        <f>IF(G168="","",IF(J168="Oui","Terminé",IF(H168&lt;0,"PÉRIMÉ",IF(H168&lt;=1,"AUJOURD'HUI",IF(H168&lt;=3,"BIENTÔT","OK")))))</f>
        <v/>
      </c>
      <c r="J168" s="29" t="n"/>
    </row>
    <row r="169">
      <c r="A169" s="32" t="n"/>
      <c r="B169" s="28" t="n"/>
      <c r="C169" s="28" t="n"/>
      <c r="D169" s="29" t="n"/>
      <c r="E169" s="11">
        <f>IF(B169="","",IFERROR(INDEX(Produits!$H$5:$H$64,MATCH(B169,Produits!$G$5:$G$64,0)),""))</f>
        <v/>
      </c>
      <c r="F169" s="28" t="n"/>
      <c r="G169" s="32" t="n"/>
      <c r="H169" s="11">
        <f>IF(G169="","",G169-TODAY())</f>
        <v/>
      </c>
      <c r="I169" s="11">
        <f>IF(G169="","",IF(J169="Oui","Terminé",IF(H169&lt;0,"PÉRIMÉ",IF(H169&lt;=1,"AUJOURD'HUI",IF(H169&lt;=3,"BIENTÔT","OK")))))</f>
        <v/>
      </c>
      <c r="J169" s="29" t="n"/>
    </row>
    <row r="170">
      <c r="A170" s="32" t="n"/>
      <c r="B170" s="28" t="n"/>
      <c r="C170" s="28" t="n"/>
      <c r="D170" s="29" t="n"/>
      <c r="E170" s="11">
        <f>IF(B170="","",IFERROR(INDEX(Produits!$H$5:$H$64,MATCH(B170,Produits!$G$5:$G$64,0)),""))</f>
        <v/>
      </c>
      <c r="F170" s="28" t="n"/>
      <c r="G170" s="32" t="n"/>
      <c r="H170" s="11">
        <f>IF(G170="","",G170-TODAY())</f>
        <v/>
      </c>
      <c r="I170" s="11">
        <f>IF(G170="","",IF(J170="Oui","Terminé",IF(H170&lt;0,"PÉRIMÉ",IF(H170&lt;=1,"AUJOURD'HUI",IF(H170&lt;=3,"BIENTÔT","OK")))))</f>
        <v/>
      </c>
      <c r="J170" s="29" t="n"/>
    </row>
    <row r="171">
      <c r="A171" s="32" t="n"/>
      <c r="B171" s="28" t="n"/>
      <c r="C171" s="28" t="n"/>
      <c r="D171" s="29" t="n"/>
      <c r="E171" s="11">
        <f>IF(B171="","",IFERROR(INDEX(Produits!$H$5:$H$64,MATCH(B171,Produits!$G$5:$G$64,0)),""))</f>
        <v/>
      </c>
      <c r="F171" s="28" t="n"/>
      <c r="G171" s="32" t="n"/>
      <c r="H171" s="11">
        <f>IF(G171="","",G171-TODAY())</f>
        <v/>
      </c>
      <c r="I171" s="11">
        <f>IF(G171="","",IF(J171="Oui","Terminé",IF(H171&lt;0,"PÉRIMÉ",IF(H171&lt;=1,"AUJOURD'HUI",IF(H171&lt;=3,"BIENTÔT","OK")))))</f>
        <v/>
      </c>
      <c r="J171" s="29" t="n"/>
    </row>
    <row r="172">
      <c r="A172" s="32" t="n"/>
      <c r="B172" s="28" t="n"/>
      <c r="C172" s="28" t="n"/>
      <c r="D172" s="29" t="n"/>
      <c r="E172" s="11">
        <f>IF(B172="","",IFERROR(INDEX(Produits!$H$5:$H$64,MATCH(B172,Produits!$G$5:$G$64,0)),""))</f>
        <v/>
      </c>
      <c r="F172" s="28" t="n"/>
      <c r="G172" s="32" t="n"/>
      <c r="H172" s="11">
        <f>IF(G172="","",G172-TODAY())</f>
        <v/>
      </c>
      <c r="I172" s="11">
        <f>IF(G172="","",IF(J172="Oui","Terminé",IF(H172&lt;0,"PÉRIMÉ",IF(H172&lt;=1,"AUJOURD'HUI",IF(H172&lt;=3,"BIENTÔT","OK")))))</f>
        <v/>
      </c>
      <c r="J172" s="29" t="n"/>
    </row>
    <row r="173">
      <c r="A173" s="32" t="n"/>
      <c r="B173" s="28" t="n"/>
      <c r="C173" s="28" t="n"/>
      <c r="D173" s="29" t="n"/>
      <c r="E173" s="11">
        <f>IF(B173="","",IFERROR(INDEX(Produits!$H$5:$H$64,MATCH(B173,Produits!$G$5:$G$64,0)),""))</f>
        <v/>
      </c>
      <c r="F173" s="28" t="n"/>
      <c r="G173" s="32" t="n"/>
      <c r="H173" s="11">
        <f>IF(G173="","",G173-TODAY())</f>
        <v/>
      </c>
      <c r="I173" s="11">
        <f>IF(G173="","",IF(J173="Oui","Terminé",IF(H173&lt;0,"PÉRIMÉ",IF(H173&lt;=1,"AUJOURD'HUI",IF(H173&lt;=3,"BIENTÔT","OK")))))</f>
        <v/>
      </c>
      <c r="J173" s="29" t="n"/>
    </row>
    <row r="174">
      <c r="A174" s="32" t="n"/>
      <c r="B174" s="28" t="n"/>
      <c r="C174" s="28" t="n"/>
      <c r="D174" s="29" t="n"/>
      <c r="E174" s="11">
        <f>IF(B174="","",IFERROR(INDEX(Produits!$H$5:$H$64,MATCH(B174,Produits!$G$5:$G$64,0)),""))</f>
        <v/>
      </c>
      <c r="F174" s="28" t="n"/>
      <c r="G174" s="32" t="n"/>
      <c r="H174" s="11">
        <f>IF(G174="","",G174-TODAY())</f>
        <v/>
      </c>
      <c r="I174" s="11">
        <f>IF(G174="","",IF(J174="Oui","Terminé",IF(H174&lt;0,"PÉRIMÉ",IF(H174&lt;=1,"AUJOURD'HUI",IF(H174&lt;=3,"BIENTÔT","OK")))))</f>
        <v/>
      </c>
      <c r="J174" s="29" t="n"/>
    </row>
    <row r="175">
      <c r="A175" s="32" t="n"/>
      <c r="B175" s="28" t="n"/>
      <c r="C175" s="28" t="n"/>
      <c r="D175" s="29" t="n"/>
      <c r="E175" s="11">
        <f>IF(B175="","",IFERROR(INDEX(Produits!$H$5:$H$64,MATCH(B175,Produits!$G$5:$G$64,0)),""))</f>
        <v/>
      </c>
      <c r="F175" s="28" t="n"/>
      <c r="G175" s="32" t="n"/>
      <c r="H175" s="11">
        <f>IF(G175="","",G175-TODAY())</f>
        <v/>
      </c>
      <c r="I175" s="11">
        <f>IF(G175="","",IF(J175="Oui","Terminé",IF(H175&lt;0,"PÉRIMÉ",IF(H175&lt;=1,"AUJOURD'HUI",IF(H175&lt;=3,"BIENTÔT","OK")))))</f>
        <v/>
      </c>
      <c r="J175" s="29" t="n"/>
    </row>
    <row r="176">
      <c r="A176" s="32" t="n"/>
      <c r="B176" s="28" t="n"/>
      <c r="C176" s="28" t="n"/>
      <c r="D176" s="29" t="n"/>
      <c r="E176" s="11">
        <f>IF(B176="","",IFERROR(INDEX(Produits!$H$5:$H$64,MATCH(B176,Produits!$G$5:$G$64,0)),""))</f>
        <v/>
      </c>
      <c r="F176" s="28" t="n"/>
      <c r="G176" s="32" t="n"/>
      <c r="H176" s="11">
        <f>IF(G176="","",G176-TODAY())</f>
        <v/>
      </c>
      <c r="I176" s="11">
        <f>IF(G176="","",IF(J176="Oui","Terminé",IF(H176&lt;0,"PÉRIMÉ",IF(H176&lt;=1,"AUJOURD'HUI",IF(H176&lt;=3,"BIENTÔT","OK")))))</f>
        <v/>
      </c>
      <c r="J176" s="29" t="n"/>
    </row>
    <row r="177">
      <c r="A177" s="32" t="n"/>
      <c r="B177" s="28" t="n"/>
      <c r="C177" s="28" t="n"/>
      <c r="D177" s="29" t="n"/>
      <c r="E177" s="11">
        <f>IF(B177="","",IFERROR(INDEX(Produits!$H$5:$H$64,MATCH(B177,Produits!$G$5:$G$64,0)),""))</f>
        <v/>
      </c>
      <c r="F177" s="28" t="n"/>
      <c r="G177" s="32" t="n"/>
      <c r="H177" s="11">
        <f>IF(G177="","",G177-TODAY())</f>
        <v/>
      </c>
      <c r="I177" s="11">
        <f>IF(G177="","",IF(J177="Oui","Terminé",IF(H177&lt;0,"PÉRIMÉ",IF(H177&lt;=1,"AUJOURD'HUI",IF(H177&lt;=3,"BIENTÔT","OK")))))</f>
        <v/>
      </c>
      <c r="J177" s="29" t="n"/>
    </row>
    <row r="178">
      <c r="A178" s="32" t="n"/>
      <c r="B178" s="28" t="n"/>
      <c r="C178" s="28" t="n"/>
      <c r="D178" s="29" t="n"/>
      <c r="E178" s="11">
        <f>IF(B178="","",IFERROR(INDEX(Produits!$H$5:$H$64,MATCH(B178,Produits!$G$5:$G$64,0)),""))</f>
        <v/>
      </c>
      <c r="F178" s="28" t="n"/>
      <c r="G178" s="32" t="n"/>
      <c r="H178" s="11">
        <f>IF(G178="","",G178-TODAY())</f>
        <v/>
      </c>
      <c r="I178" s="11">
        <f>IF(G178="","",IF(J178="Oui","Terminé",IF(H178&lt;0,"PÉRIMÉ",IF(H178&lt;=1,"AUJOURD'HUI",IF(H178&lt;=3,"BIENTÔT","OK")))))</f>
        <v/>
      </c>
      <c r="J178" s="29" t="n"/>
    </row>
    <row r="179">
      <c r="A179" s="32" t="n"/>
      <c r="B179" s="28" t="n"/>
      <c r="C179" s="28" t="n"/>
      <c r="D179" s="29" t="n"/>
      <c r="E179" s="11">
        <f>IF(B179="","",IFERROR(INDEX(Produits!$H$5:$H$64,MATCH(B179,Produits!$G$5:$G$64,0)),""))</f>
        <v/>
      </c>
      <c r="F179" s="28" t="n"/>
      <c r="G179" s="32" t="n"/>
      <c r="H179" s="11">
        <f>IF(G179="","",G179-TODAY())</f>
        <v/>
      </c>
      <c r="I179" s="11">
        <f>IF(G179="","",IF(J179="Oui","Terminé",IF(H179&lt;0,"PÉRIMÉ",IF(H179&lt;=1,"AUJOURD'HUI",IF(H179&lt;=3,"BIENTÔT","OK")))))</f>
        <v/>
      </c>
      <c r="J179" s="29" t="n"/>
    </row>
    <row r="180">
      <c r="A180" s="32" t="n"/>
      <c r="B180" s="28" t="n"/>
      <c r="C180" s="28" t="n"/>
      <c r="D180" s="29" t="n"/>
      <c r="E180" s="11">
        <f>IF(B180="","",IFERROR(INDEX(Produits!$H$5:$H$64,MATCH(B180,Produits!$G$5:$G$64,0)),""))</f>
        <v/>
      </c>
      <c r="F180" s="28" t="n"/>
      <c r="G180" s="32" t="n"/>
      <c r="H180" s="11">
        <f>IF(G180="","",G180-TODAY())</f>
        <v/>
      </c>
      <c r="I180" s="11">
        <f>IF(G180="","",IF(J180="Oui","Terminé",IF(H180&lt;0,"PÉRIMÉ",IF(H180&lt;=1,"AUJOURD'HUI",IF(H180&lt;=3,"BIENTÔT","OK")))))</f>
        <v/>
      </c>
      <c r="J180" s="29" t="n"/>
    </row>
    <row r="181">
      <c r="A181" s="32" t="n"/>
      <c r="B181" s="28" t="n"/>
      <c r="C181" s="28" t="n"/>
      <c r="D181" s="29" t="n"/>
      <c r="E181" s="11">
        <f>IF(B181="","",IFERROR(INDEX(Produits!$H$5:$H$64,MATCH(B181,Produits!$G$5:$G$64,0)),""))</f>
        <v/>
      </c>
      <c r="F181" s="28" t="n"/>
      <c r="G181" s="32" t="n"/>
      <c r="H181" s="11">
        <f>IF(G181="","",G181-TODAY())</f>
        <v/>
      </c>
      <c r="I181" s="11">
        <f>IF(G181="","",IF(J181="Oui","Terminé",IF(H181&lt;0,"PÉRIMÉ",IF(H181&lt;=1,"AUJOURD'HUI",IF(H181&lt;=3,"BIENTÔT","OK")))))</f>
        <v/>
      </c>
      <c r="J181" s="29" t="n"/>
    </row>
    <row r="182">
      <c r="A182" s="32" t="n"/>
      <c r="B182" s="28" t="n"/>
      <c r="C182" s="28" t="n"/>
      <c r="D182" s="29" t="n"/>
      <c r="E182" s="11">
        <f>IF(B182="","",IFERROR(INDEX(Produits!$H$5:$H$64,MATCH(B182,Produits!$G$5:$G$64,0)),""))</f>
        <v/>
      </c>
      <c r="F182" s="28" t="n"/>
      <c r="G182" s="32" t="n"/>
      <c r="H182" s="11">
        <f>IF(G182="","",G182-TODAY())</f>
        <v/>
      </c>
      <c r="I182" s="11">
        <f>IF(G182="","",IF(J182="Oui","Terminé",IF(H182&lt;0,"PÉRIMÉ",IF(H182&lt;=1,"AUJOURD'HUI",IF(H182&lt;=3,"BIENTÔT","OK")))))</f>
        <v/>
      </c>
      <c r="J182" s="29" t="n"/>
    </row>
    <row r="183">
      <c r="A183" s="32" t="n"/>
      <c r="B183" s="28" t="n"/>
      <c r="C183" s="28" t="n"/>
      <c r="D183" s="29" t="n"/>
      <c r="E183" s="11">
        <f>IF(B183="","",IFERROR(INDEX(Produits!$H$5:$H$64,MATCH(B183,Produits!$G$5:$G$64,0)),""))</f>
        <v/>
      </c>
      <c r="F183" s="28" t="n"/>
      <c r="G183" s="32" t="n"/>
      <c r="H183" s="11">
        <f>IF(G183="","",G183-TODAY())</f>
        <v/>
      </c>
      <c r="I183" s="11">
        <f>IF(G183="","",IF(J183="Oui","Terminé",IF(H183&lt;0,"PÉRIMÉ",IF(H183&lt;=1,"AUJOURD'HUI",IF(H183&lt;=3,"BIENTÔT","OK")))))</f>
        <v/>
      </c>
      <c r="J183" s="29" t="n"/>
    </row>
    <row r="184">
      <c r="A184" s="32" t="n"/>
      <c r="B184" s="28" t="n"/>
      <c r="C184" s="28" t="n"/>
      <c r="D184" s="29" t="n"/>
      <c r="E184" s="11">
        <f>IF(B184="","",IFERROR(INDEX(Produits!$H$5:$H$64,MATCH(B184,Produits!$G$5:$G$64,0)),""))</f>
        <v/>
      </c>
      <c r="F184" s="28" t="n"/>
      <c r="G184" s="32" t="n"/>
      <c r="H184" s="11">
        <f>IF(G184="","",G184-TODAY())</f>
        <v/>
      </c>
      <c r="I184" s="11">
        <f>IF(G184="","",IF(J184="Oui","Terminé",IF(H184&lt;0,"PÉRIMÉ",IF(H184&lt;=1,"AUJOURD'HUI",IF(H184&lt;=3,"BIENTÔT","OK")))))</f>
        <v/>
      </c>
      <c r="J184" s="29" t="n"/>
    </row>
    <row r="185">
      <c r="A185" s="32" t="n"/>
      <c r="B185" s="28" t="n"/>
      <c r="C185" s="28" t="n"/>
      <c r="D185" s="29" t="n"/>
      <c r="E185" s="11">
        <f>IF(B185="","",IFERROR(INDEX(Produits!$H$5:$H$64,MATCH(B185,Produits!$G$5:$G$64,0)),""))</f>
        <v/>
      </c>
      <c r="F185" s="28" t="n"/>
      <c r="G185" s="32" t="n"/>
      <c r="H185" s="11">
        <f>IF(G185="","",G185-TODAY())</f>
        <v/>
      </c>
      <c r="I185" s="11">
        <f>IF(G185="","",IF(J185="Oui","Terminé",IF(H185&lt;0,"PÉRIMÉ",IF(H185&lt;=1,"AUJOURD'HUI",IF(H185&lt;=3,"BIENTÔT","OK")))))</f>
        <v/>
      </c>
      <c r="J185" s="29" t="n"/>
    </row>
    <row r="186">
      <c r="A186" s="32" t="n"/>
      <c r="B186" s="28" t="n"/>
      <c r="C186" s="28" t="n"/>
      <c r="D186" s="29" t="n"/>
      <c r="E186" s="11">
        <f>IF(B186="","",IFERROR(INDEX(Produits!$H$5:$H$64,MATCH(B186,Produits!$G$5:$G$64,0)),""))</f>
        <v/>
      </c>
      <c r="F186" s="28" t="n"/>
      <c r="G186" s="32" t="n"/>
      <c r="H186" s="11">
        <f>IF(G186="","",G186-TODAY())</f>
        <v/>
      </c>
      <c r="I186" s="11">
        <f>IF(G186="","",IF(J186="Oui","Terminé",IF(H186&lt;0,"PÉRIMÉ",IF(H186&lt;=1,"AUJOURD'HUI",IF(H186&lt;=3,"BIENTÔT","OK")))))</f>
        <v/>
      </c>
      <c r="J186" s="29" t="n"/>
    </row>
    <row r="187">
      <c r="A187" s="32" t="n"/>
      <c r="B187" s="28" t="n"/>
      <c r="C187" s="28" t="n"/>
      <c r="D187" s="29" t="n"/>
      <c r="E187" s="11">
        <f>IF(B187="","",IFERROR(INDEX(Produits!$H$5:$H$64,MATCH(B187,Produits!$G$5:$G$64,0)),""))</f>
        <v/>
      </c>
      <c r="F187" s="28" t="n"/>
      <c r="G187" s="32" t="n"/>
      <c r="H187" s="11">
        <f>IF(G187="","",G187-TODAY())</f>
        <v/>
      </c>
      <c r="I187" s="11">
        <f>IF(G187="","",IF(J187="Oui","Terminé",IF(H187&lt;0,"PÉRIMÉ",IF(H187&lt;=1,"AUJOURD'HUI",IF(H187&lt;=3,"BIENTÔT","OK")))))</f>
        <v/>
      </c>
      <c r="J187" s="29" t="n"/>
    </row>
    <row r="188">
      <c r="A188" s="32" t="n"/>
      <c r="B188" s="28" t="n"/>
      <c r="C188" s="28" t="n"/>
      <c r="D188" s="29" t="n"/>
      <c r="E188" s="11">
        <f>IF(B188="","",IFERROR(INDEX(Produits!$H$5:$H$64,MATCH(B188,Produits!$G$5:$G$64,0)),""))</f>
        <v/>
      </c>
      <c r="F188" s="28" t="n"/>
      <c r="G188" s="32" t="n"/>
      <c r="H188" s="11">
        <f>IF(G188="","",G188-TODAY())</f>
        <v/>
      </c>
      <c r="I188" s="11">
        <f>IF(G188="","",IF(J188="Oui","Terminé",IF(H188&lt;0,"PÉRIMÉ",IF(H188&lt;=1,"AUJOURD'HUI",IF(H188&lt;=3,"BIENTÔT","OK")))))</f>
        <v/>
      </c>
      <c r="J188" s="29" t="n"/>
    </row>
    <row r="189">
      <c r="A189" s="32" t="n"/>
      <c r="B189" s="28" t="n"/>
      <c r="C189" s="28" t="n"/>
      <c r="D189" s="29" t="n"/>
      <c r="E189" s="11">
        <f>IF(B189="","",IFERROR(INDEX(Produits!$H$5:$H$64,MATCH(B189,Produits!$G$5:$G$64,0)),""))</f>
        <v/>
      </c>
      <c r="F189" s="28" t="n"/>
      <c r="G189" s="32" t="n"/>
      <c r="H189" s="11">
        <f>IF(G189="","",G189-TODAY())</f>
        <v/>
      </c>
      <c r="I189" s="11">
        <f>IF(G189="","",IF(J189="Oui","Terminé",IF(H189&lt;0,"PÉRIMÉ",IF(H189&lt;=1,"AUJOURD'HUI",IF(H189&lt;=3,"BIENTÔT","OK")))))</f>
        <v/>
      </c>
      <c r="J189" s="29" t="n"/>
    </row>
    <row r="190">
      <c r="A190" s="32" t="n"/>
      <c r="B190" s="28" t="n"/>
      <c r="C190" s="28" t="n"/>
      <c r="D190" s="29" t="n"/>
      <c r="E190" s="11">
        <f>IF(B190="","",IFERROR(INDEX(Produits!$H$5:$H$64,MATCH(B190,Produits!$G$5:$G$64,0)),""))</f>
        <v/>
      </c>
      <c r="F190" s="28" t="n"/>
      <c r="G190" s="32" t="n"/>
      <c r="H190" s="11">
        <f>IF(G190="","",G190-TODAY())</f>
        <v/>
      </c>
      <c r="I190" s="11">
        <f>IF(G190="","",IF(J190="Oui","Terminé",IF(H190&lt;0,"PÉRIMÉ",IF(H190&lt;=1,"AUJOURD'HUI",IF(H190&lt;=3,"BIENTÔT","OK")))))</f>
        <v/>
      </c>
      <c r="J190" s="29" t="n"/>
    </row>
    <row r="191">
      <c r="A191" s="32" t="n"/>
      <c r="B191" s="28" t="n"/>
      <c r="C191" s="28" t="n"/>
      <c r="D191" s="29" t="n"/>
      <c r="E191" s="11">
        <f>IF(B191="","",IFERROR(INDEX(Produits!$H$5:$H$64,MATCH(B191,Produits!$G$5:$G$64,0)),""))</f>
        <v/>
      </c>
      <c r="F191" s="28" t="n"/>
      <c r="G191" s="32" t="n"/>
      <c r="H191" s="11">
        <f>IF(G191="","",G191-TODAY())</f>
        <v/>
      </c>
      <c r="I191" s="11">
        <f>IF(G191="","",IF(J191="Oui","Terminé",IF(H191&lt;0,"PÉRIMÉ",IF(H191&lt;=1,"AUJOURD'HUI",IF(H191&lt;=3,"BIENTÔT","OK")))))</f>
        <v/>
      </c>
      <c r="J191" s="29" t="n"/>
    </row>
    <row r="192">
      <c r="A192" s="32" t="n"/>
      <c r="B192" s="28" t="n"/>
      <c r="C192" s="28" t="n"/>
      <c r="D192" s="29" t="n"/>
      <c r="E192" s="11">
        <f>IF(B192="","",IFERROR(INDEX(Produits!$H$5:$H$64,MATCH(B192,Produits!$G$5:$G$64,0)),""))</f>
        <v/>
      </c>
      <c r="F192" s="28" t="n"/>
      <c r="G192" s="32" t="n"/>
      <c r="H192" s="11">
        <f>IF(G192="","",G192-TODAY())</f>
        <v/>
      </c>
      <c r="I192" s="11">
        <f>IF(G192="","",IF(J192="Oui","Terminé",IF(H192&lt;0,"PÉRIMÉ",IF(H192&lt;=1,"AUJOURD'HUI",IF(H192&lt;=3,"BIENTÔT","OK")))))</f>
        <v/>
      </c>
      <c r="J192" s="29" t="n"/>
    </row>
    <row r="193">
      <c r="A193" s="32" t="n"/>
      <c r="B193" s="28" t="n"/>
      <c r="C193" s="28" t="n"/>
      <c r="D193" s="29" t="n"/>
      <c r="E193" s="11">
        <f>IF(B193="","",IFERROR(INDEX(Produits!$H$5:$H$64,MATCH(B193,Produits!$G$5:$G$64,0)),""))</f>
        <v/>
      </c>
      <c r="F193" s="28" t="n"/>
      <c r="G193" s="32" t="n"/>
      <c r="H193" s="11">
        <f>IF(G193="","",G193-TODAY())</f>
        <v/>
      </c>
      <c r="I193" s="11">
        <f>IF(G193="","",IF(J193="Oui","Terminé",IF(H193&lt;0,"PÉRIMÉ",IF(H193&lt;=1,"AUJOURD'HUI",IF(H193&lt;=3,"BIENTÔT","OK")))))</f>
        <v/>
      </c>
      <c r="J193" s="29" t="n"/>
    </row>
    <row r="194">
      <c r="A194" s="32" t="n"/>
      <c r="B194" s="28" t="n"/>
      <c r="C194" s="28" t="n"/>
      <c r="D194" s="29" t="n"/>
      <c r="E194" s="11">
        <f>IF(B194="","",IFERROR(INDEX(Produits!$H$5:$H$64,MATCH(B194,Produits!$G$5:$G$64,0)),""))</f>
        <v/>
      </c>
      <c r="F194" s="28" t="n"/>
      <c r="G194" s="32" t="n"/>
      <c r="H194" s="11">
        <f>IF(G194="","",G194-TODAY())</f>
        <v/>
      </c>
      <c r="I194" s="11">
        <f>IF(G194="","",IF(J194="Oui","Terminé",IF(H194&lt;0,"PÉRIMÉ",IF(H194&lt;=1,"AUJOURD'HUI",IF(H194&lt;=3,"BIENTÔT","OK")))))</f>
        <v/>
      </c>
      <c r="J194" s="29" t="n"/>
    </row>
    <row r="195">
      <c r="A195" s="32" t="n"/>
      <c r="B195" s="28" t="n"/>
      <c r="C195" s="28" t="n"/>
      <c r="D195" s="29" t="n"/>
      <c r="E195" s="11">
        <f>IF(B195="","",IFERROR(INDEX(Produits!$H$5:$H$64,MATCH(B195,Produits!$G$5:$G$64,0)),""))</f>
        <v/>
      </c>
      <c r="F195" s="28" t="n"/>
      <c r="G195" s="32" t="n"/>
      <c r="H195" s="11">
        <f>IF(G195="","",G195-TODAY())</f>
        <v/>
      </c>
      <c r="I195" s="11">
        <f>IF(G195="","",IF(J195="Oui","Terminé",IF(H195&lt;0,"PÉRIMÉ",IF(H195&lt;=1,"AUJOURD'HUI",IF(H195&lt;=3,"BIENTÔT","OK")))))</f>
        <v/>
      </c>
      <c r="J195" s="29" t="n"/>
    </row>
    <row r="196">
      <c r="A196" s="32" t="n"/>
      <c r="B196" s="28" t="n"/>
      <c r="C196" s="28" t="n"/>
      <c r="D196" s="29" t="n"/>
      <c r="E196" s="11">
        <f>IF(B196="","",IFERROR(INDEX(Produits!$H$5:$H$64,MATCH(B196,Produits!$G$5:$G$64,0)),""))</f>
        <v/>
      </c>
      <c r="F196" s="28" t="n"/>
      <c r="G196" s="32" t="n"/>
      <c r="H196" s="11">
        <f>IF(G196="","",G196-TODAY())</f>
        <v/>
      </c>
      <c r="I196" s="11">
        <f>IF(G196="","",IF(J196="Oui","Terminé",IF(H196&lt;0,"PÉRIMÉ",IF(H196&lt;=1,"AUJOURD'HUI",IF(H196&lt;=3,"BIENTÔT","OK")))))</f>
        <v/>
      </c>
      <c r="J196" s="29" t="n"/>
    </row>
    <row r="197">
      <c r="A197" s="32" t="n"/>
      <c r="B197" s="28" t="n"/>
      <c r="C197" s="28" t="n"/>
      <c r="D197" s="29" t="n"/>
      <c r="E197" s="11">
        <f>IF(B197="","",IFERROR(INDEX(Produits!$H$5:$H$64,MATCH(B197,Produits!$G$5:$G$64,0)),""))</f>
        <v/>
      </c>
      <c r="F197" s="28" t="n"/>
      <c r="G197" s="32" t="n"/>
      <c r="H197" s="11">
        <f>IF(G197="","",G197-TODAY())</f>
        <v/>
      </c>
      <c r="I197" s="11">
        <f>IF(G197="","",IF(J197="Oui","Terminé",IF(H197&lt;0,"PÉRIMÉ",IF(H197&lt;=1,"AUJOURD'HUI",IF(H197&lt;=3,"BIENTÔT","OK")))))</f>
        <v/>
      </c>
      <c r="J197" s="29" t="n"/>
    </row>
    <row r="198">
      <c r="A198" s="32" t="n"/>
      <c r="B198" s="28" t="n"/>
      <c r="C198" s="28" t="n"/>
      <c r="D198" s="29" t="n"/>
      <c r="E198" s="11">
        <f>IF(B198="","",IFERROR(INDEX(Produits!$H$5:$H$64,MATCH(B198,Produits!$G$5:$G$64,0)),""))</f>
        <v/>
      </c>
      <c r="F198" s="28" t="n"/>
      <c r="G198" s="32" t="n"/>
      <c r="H198" s="11">
        <f>IF(G198="","",G198-TODAY())</f>
        <v/>
      </c>
      <c r="I198" s="11">
        <f>IF(G198="","",IF(J198="Oui","Terminé",IF(H198&lt;0,"PÉRIMÉ",IF(H198&lt;=1,"AUJOURD'HUI",IF(H198&lt;=3,"BIENTÔT","OK")))))</f>
        <v/>
      </c>
      <c r="J198" s="29" t="n"/>
    </row>
    <row r="199">
      <c r="A199" s="32" t="n"/>
      <c r="B199" s="28" t="n"/>
      <c r="C199" s="28" t="n"/>
      <c r="D199" s="29" t="n"/>
      <c r="E199" s="11">
        <f>IF(B199="","",IFERROR(INDEX(Produits!$H$5:$H$64,MATCH(B199,Produits!$G$5:$G$64,0)),""))</f>
        <v/>
      </c>
      <c r="F199" s="28" t="n"/>
      <c r="G199" s="32" t="n"/>
      <c r="H199" s="11">
        <f>IF(G199="","",G199-TODAY())</f>
        <v/>
      </c>
      <c r="I199" s="11">
        <f>IF(G199="","",IF(J199="Oui","Terminé",IF(H199&lt;0,"PÉRIMÉ",IF(H199&lt;=1,"AUJOURD'HUI",IF(H199&lt;=3,"BIENTÔT","OK")))))</f>
        <v/>
      </c>
      <c r="J199" s="29" t="n"/>
    </row>
    <row r="200">
      <c r="A200" s="32" t="n"/>
      <c r="B200" s="28" t="n"/>
      <c r="C200" s="28" t="n"/>
      <c r="D200" s="29" t="n"/>
      <c r="E200" s="11">
        <f>IF(B200="","",IFERROR(INDEX(Produits!$H$5:$H$64,MATCH(B200,Produits!$G$5:$G$64,0)),""))</f>
        <v/>
      </c>
      <c r="F200" s="28" t="n"/>
      <c r="G200" s="32" t="n"/>
      <c r="H200" s="11">
        <f>IF(G200="","",G200-TODAY())</f>
        <v/>
      </c>
      <c r="I200" s="11">
        <f>IF(G200="","",IF(J200="Oui","Terminé",IF(H200&lt;0,"PÉRIMÉ",IF(H200&lt;=1,"AUJOURD'HUI",IF(H200&lt;=3,"BIENTÔT","OK")))))</f>
        <v/>
      </c>
      <c r="J200" s="29" t="n"/>
    </row>
    <row r="201">
      <c r="A201" s="32" t="n"/>
      <c r="B201" s="28" t="n"/>
      <c r="C201" s="28" t="n"/>
      <c r="D201" s="29" t="n"/>
      <c r="E201" s="11">
        <f>IF(B201="","",IFERROR(INDEX(Produits!$H$5:$H$64,MATCH(B201,Produits!$G$5:$G$64,0)),""))</f>
        <v/>
      </c>
      <c r="F201" s="28" t="n"/>
      <c r="G201" s="32" t="n"/>
      <c r="H201" s="11">
        <f>IF(G201="","",G201-TODAY())</f>
        <v/>
      </c>
      <c r="I201" s="11">
        <f>IF(G201="","",IF(J201="Oui","Terminé",IF(H201&lt;0,"PÉRIMÉ",IF(H201&lt;=1,"AUJOURD'HUI",IF(H201&lt;=3,"BIENTÔT","OK")))))</f>
        <v/>
      </c>
      <c r="J201" s="29" t="n"/>
    </row>
    <row r="202">
      <c r="A202" s="32" t="n"/>
      <c r="B202" s="28" t="n"/>
      <c r="C202" s="28" t="n"/>
      <c r="D202" s="29" t="n"/>
      <c r="E202" s="11">
        <f>IF(B202="","",IFERROR(INDEX(Produits!$H$5:$H$64,MATCH(B202,Produits!$G$5:$G$64,0)),""))</f>
        <v/>
      </c>
      <c r="F202" s="28" t="n"/>
      <c r="G202" s="32" t="n"/>
      <c r="H202" s="11">
        <f>IF(G202="","",G202-TODAY())</f>
        <v/>
      </c>
      <c r="I202" s="11">
        <f>IF(G202="","",IF(J202="Oui","Terminé",IF(H202&lt;0,"PÉRIMÉ",IF(H202&lt;=1,"AUJOURD'HUI",IF(H202&lt;=3,"BIENTÔT","OK")))))</f>
        <v/>
      </c>
      <c r="J202" s="29" t="n"/>
    </row>
    <row r="203">
      <c r="A203" s="32" t="n"/>
      <c r="B203" s="28" t="n"/>
      <c r="C203" s="28" t="n"/>
      <c r="D203" s="29" t="n"/>
      <c r="E203" s="11">
        <f>IF(B203="","",IFERROR(INDEX(Produits!$H$5:$H$64,MATCH(B203,Produits!$G$5:$G$64,0)),""))</f>
        <v/>
      </c>
      <c r="F203" s="28" t="n"/>
      <c r="G203" s="32" t="n"/>
      <c r="H203" s="11">
        <f>IF(G203="","",G203-TODAY())</f>
        <v/>
      </c>
      <c r="I203" s="11">
        <f>IF(G203="","",IF(J203="Oui","Terminé",IF(H203&lt;0,"PÉRIMÉ",IF(H203&lt;=1,"AUJOURD'HUI",IF(H203&lt;=3,"BIENTÔT","OK")))))</f>
        <v/>
      </c>
      <c r="J203" s="29" t="n"/>
    </row>
    <row r="204">
      <c r="A204" s="32" t="n"/>
      <c r="B204" s="28" t="n"/>
      <c r="C204" s="28" t="n"/>
      <c r="D204" s="29" t="n"/>
      <c r="E204" s="11">
        <f>IF(B204="","",IFERROR(INDEX(Produits!$H$5:$H$64,MATCH(B204,Produits!$G$5:$G$64,0)),""))</f>
        <v/>
      </c>
      <c r="F204" s="28" t="n"/>
      <c r="G204" s="32" t="n"/>
      <c r="H204" s="11">
        <f>IF(G204="","",G204-TODAY())</f>
        <v/>
      </c>
      <c r="I204" s="11">
        <f>IF(G204="","",IF(J204="Oui","Terminé",IF(H204&lt;0,"PÉRIMÉ",IF(H204&lt;=1,"AUJOURD'HUI",IF(H204&lt;=3,"BIENTÔT","OK")))))</f>
        <v/>
      </c>
      <c r="J204" s="29" t="n"/>
    </row>
    <row r="205">
      <c r="A205" s="32" t="n"/>
      <c r="B205" s="28" t="n"/>
      <c r="C205" s="28" t="n"/>
      <c r="D205" s="29" t="n"/>
      <c r="E205" s="11">
        <f>IF(B205="","",IFERROR(INDEX(Produits!$H$5:$H$64,MATCH(B205,Produits!$G$5:$G$64,0)),""))</f>
        <v/>
      </c>
      <c r="F205" s="28" t="n"/>
      <c r="G205" s="32" t="n"/>
      <c r="H205" s="11">
        <f>IF(G205="","",G205-TODAY())</f>
        <v/>
      </c>
      <c r="I205" s="11">
        <f>IF(G205="","",IF(J205="Oui","Terminé",IF(H205&lt;0,"PÉRIMÉ",IF(H205&lt;=1,"AUJOURD'HUI",IF(H205&lt;=3,"BIENTÔT","OK")))))</f>
        <v/>
      </c>
      <c r="J205" s="29" t="n"/>
    </row>
    <row r="206">
      <c r="A206" s="32" t="n"/>
      <c r="B206" s="28" t="n"/>
      <c r="C206" s="28" t="n"/>
      <c r="D206" s="29" t="n"/>
      <c r="E206" s="11">
        <f>IF(B206="","",IFERROR(INDEX(Produits!$H$5:$H$64,MATCH(B206,Produits!$G$5:$G$64,0)),""))</f>
        <v/>
      </c>
      <c r="F206" s="28" t="n"/>
      <c r="G206" s="32" t="n"/>
      <c r="H206" s="11">
        <f>IF(G206="","",G206-TODAY())</f>
        <v/>
      </c>
      <c r="I206" s="11">
        <f>IF(G206="","",IF(J206="Oui","Terminé",IF(H206&lt;0,"PÉRIMÉ",IF(H206&lt;=1,"AUJOURD'HUI",IF(H206&lt;=3,"BIENTÔT","OK")))))</f>
        <v/>
      </c>
      <c r="J206" s="29" t="n"/>
    </row>
    <row r="207">
      <c r="A207" s="32" t="n"/>
      <c r="B207" s="28" t="n"/>
      <c r="C207" s="28" t="n"/>
      <c r="D207" s="29" t="n"/>
      <c r="E207" s="11">
        <f>IF(B207="","",IFERROR(INDEX(Produits!$H$5:$H$64,MATCH(B207,Produits!$G$5:$G$64,0)),""))</f>
        <v/>
      </c>
      <c r="F207" s="28" t="n"/>
      <c r="G207" s="32" t="n"/>
      <c r="H207" s="11">
        <f>IF(G207="","",G207-TODAY())</f>
        <v/>
      </c>
      <c r="I207" s="11">
        <f>IF(G207="","",IF(J207="Oui","Terminé",IF(H207&lt;0,"PÉRIMÉ",IF(H207&lt;=1,"AUJOURD'HUI",IF(H207&lt;=3,"BIENTÔT","OK")))))</f>
        <v/>
      </c>
      <c r="J207" s="29" t="n"/>
    </row>
    <row r="208">
      <c r="A208" s="32" t="n"/>
      <c r="B208" s="28" t="n"/>
      <c r="C208" s="28" t="n"/>
      <c r="D208" s="29" t="n"/>
      <c r="E208" s="11">
        <f>IF(B208="","",IFERROR(INDEX(Produits!$H$5:$H$64,MATCH(B208,Produits!$G$5:$G$64,0)),""))</f>
        <v/>
      </c>
      <c r="F208" s="28" t="n"/>
      <c r="G208" s="32" t="n"/>
      <c r="H208" s="11">
        <f>IF(G208="","",G208-TODAY())</f>
        <v/>
      </c>
      <c r="I208" s="11">
        <f>IF(G208="","",IF(J208="Oui","Terminé",IF(H208&lt;0,"PÉRIMÉ",IF(H208&lt;=1,"AUJOURD'HUI",IF(H208&lt;=3,"BIENTÔT","OK")))))</f>
        <v/>
      </c>
      <c r="J208" s="29" t="n"/>
    </row>
    <row r="209">
      <c r="A209" s="32" t="n"/>
      <c r="B209" s="28" t="n"/>
      <c r="C209" s="28" t="n"/>
      <c r="D209" s="29" t="n"/>
      <c r="E209" s="11">
        <f>IF(B209="","",IFERROR(INDEX(Produits!$H$5:$H$64,MATCH(B209,Produits!$G$5:$G$64,0)),""))</f>
        <v/>
      </c>
      <c r="F209" s="28" t="n"/>
      <c r="G209" s="32" t="n"/>
      <c r="H209" s="11">
        <f>IF(G209="","",G209-TODAY())</f>
        <v/>
      </c>
      <c r="I209" s="11">
        <f>IF(G209="","",IF(J209="Oui","Terminé",IF(H209&lt;0,"PÉRIMÉ",IF(H209&lt;=1,"AUJOURD'HUI",IF(H209&lt;=3,"BIENTÔT","OK")))))</f>
        <v/>
      </c>
      <c r="J209" s="29" t="n"/>
    </row>
    <row r="210">
      <c r="A210" s="32" t="n"/>
      <c r="B210" s="28" t="n"/>
      <c r="C210" s="28" t="n"/>
      <c r="D210" s="29" t="n"/>
      <c r="E210" s="11">
        <f>IF(B210="","",IFERROR(INDEX(Produits!$H$5:$H$64,MATCH(B210,Produits!$G$5:$G$64,0)),""))</f>
        <v/>
      </c>
      <c r="F210" s="28" t="n"/>
      <c r="G210" s="32" t="n"/>
      <c r="H210" s="11">
        <f>IF(G210="","",G210-TODAY())</f>
        <v/>
      </c>
      <c r="I210" s="11">
        <f>IF(G210="","",IF(J210="Oui","Terminé",IF(H210&lt;0,"PÉRIMÉ",IF(H210&lt;=1,"AUJOURD'HUI",IF(H210&lt;=3,"BIENTÔT","OK")))))</f>
        <v/>
      </c>
      <c r="J210" s="29" t="n"/>
    </row>
    <row r="211">
      <c r="A211" s="32" t="n"/>
      <c r="B211" s="28" t="n"/>
      <c r="C211" s="28" t="n"/>
      <c r="D211" s="29" t="n"/>
      <c r="E211" s="11">
        <f>IF(B211="","",IFERROR(INDEX(Produits!$H$5:$H$64,MATCH(B211,Produits!$G$5:$G$64,0)),""))</f>
        <v/>
      </c>
      <c r="F211" s="28" t="n"/>
      <c r="G211" s="32" t="n"/>
      <c r="H211" s="11">
        <f>IF(G211="","",G211-TODAY())</f>
        <v/>
      </c>
      <c r="I211" s="11">
        <f>IF(G211="","",IF(J211="Oui","Terminé",IF(H211&lt;0,"PÉRIMÉ",IF(H211&lt;=1,"AUJOURD'HUI",IF(H211&lt;=3,"BIENTÔT","OK")))))</f>
        <v/>
      </c>
      <c r="J211" s="29" t="n"/>
    </row>
    <row r="212">
      <c r="A212" s="32" t="n"/>
      <c r="B212" s="28" t="n"/>
      <c r="C212" s="28" t="n"/>
      <c r="D212" s="29" t="n"/>
      <c r="E212" s="11">
        <f>IF(B212="","",IFERROR(INDEX(Produits!$H$5:$H$64,MATCH(B212,Produits!$G$5:$G$64,0)),""))</f>
        <v/>
      </c>
      <c r="F212" s="28" t="n"/>
      <c r="G212" s="32" t="n"/>
      <c r="H212" s="11">
        <f>IF(G212="","",G212-TODAY())</f>
        <v/>
      </c>
      <c r="I212" s="11">
        <f>IF(G212="","",IF(J212="Oui","Terminé",IF(H212&lt;0,"PÉRIMÉ",IF(H212&lt;=1,"AUJOURD'HUI",IF(H212&lt;=3,"BIENTÔT","OK")))))</f>
        <v/>
      </c>
      <c r="J212" s="29" t="n"/>
    </row>
    <row r="213">
      <c r="A213" s="32" t="n"/>
      <c r="B213" s="28" t="n"/>
      <c r="C213" s="28" t="n"/>
      <c r="D213" s="29" t="n"/>
      <c r="E213" s="11">
        <f>IF(B213="","",IFERROR(INDEX(Produits!$H$5:$H$64,MATCH(B213,Produits!$G$5:$G$64,0)),""))</f>
        <v/>
      </c>
      <c r="F213" s="28" t="n"/>
      <c r="G213" s="32" t="n"/>
      <c r="H213" s="11">
        <f>IF(G213="","",G213-TODAY())</f>
        <v/>
      </c>
      <c r="I213" s="11">
        <f>IF(G213="","",IF(J213="Oui","Terminé",IF(H213&lt;0,"PÉRIMÉ",IF(H213&lt;=1,"AUJOURD'HUI",IF(H213&lt;=3,"BIENTÔT","OK")))))</f>
        <v/>
      </c>
      <c r="J213" s="29" t="n"/>
    </row>
    <row r="214">
      <c r="A214" s="32" t="n"/>
      <c r="B214" s="28" t="n"/>
      <c r="C214" s="28" t="n"/>
      <c r="D214" s="29" t="n"/>
      <c r="E214" s="11">
        <f>IF(B214="","",IFERROR(INDEX(Produits!$H$5:$H$64,MATCH(B214,Produits!$G$5:$G$64,0)),""))</f>
        <v/>
      </c>
      <c r="F214" s="28" t="n"/>
      <c r="G214" s="32" t="n"/>
      <c r="H214" s="11">
        <f>IF(G214="","",G214-TODAY())</f>
        <v/>
      </c>
      <c r="I214" s="11">
        <f>IF(G214="","",IF(J214="Oui","Terminé",IF(H214&lt;0,"PÉRIMÉ",IF(H214&lt;=1,"AUJOURD'HUI",IF(H214&lt;=3,"BIENTÔT","OK")))))</f>
        <v/>
      </c>
      <c r="J214" s="29" t="n"/>
    </row>
    <row r="215">
      <c r="A215" s="32" t="n"/>
      <c r="B215" s="28" t="n"/>
      <c r="C215" s="28" t="n"/>
      <c r="D215" s="29" t="n"/>
      <c r="E215" s="11">
        <f>IF(B215="","",IFERROR(INDEX(Produits!$H$5:$H$64,MATCH(B215,Produits!$G$5:$G$64,0)),""))</f>
        <v/>
      </c>
      <c r="F215" s="28" t="n"/>
      <c r="G215" s="32" t="n"/>
      <c r="H215" s="11">
        <f>IF(G215="","",G215-TODAY())</f>
        <v/>
      </c>
      <c r="I215" s="11">
        <f>IF(G215="","",IF(J215="Oui","Terminé",IF(H215&lt;0,"PÉRIMÉ",IF(H215&lt;=1,"AUJOURD'HUI",IF(H215&lt;=3,"BIENTÔT","OK")))))</f>
        <v/>
      </c>
      <c r="J215" s="29" t="n"/>
    </row>
    <row r="216">
      <c r="A216" s="32" t="n"/>
      <c r="B216" s="28" t="n"/>
      <c r="C216" s="28" t="n"/>
      <c r="D216" s="29" t="n"/>
      <c r="E216" s="11">
        <f>IF(B216="","",IFERROR(INDEX(Produits!$H$5:$H$64,MATCH(B216,Produits!$G$5:$G$64,0)),""))</f>
        <v/>
      </c>
      <c r="F216" s="28" t="n"/>
      <c r="G216" s="32" t="n"/>
      <c r="H216" s="11">
        <f>IF(G216="","",G216-TODAY())</f>
        <v/>
      </c>
      <c r="I216" s="11">
        <f>IF(G216="","",IF(J216="Oui","Terminé",IF(H216&lt;0,"PÉRIMÉ",IF(H216&lt;=1,"AUJOURD'HUI",IF(H216&lt;=3,"BIENTÔT","OK")))))</f>
        <v/>
      </c>
      <c r="J216" s="29" t="n"/>
    </row>
    <row r="217">
      <c r="A217" s="32" t="n"/>
      <c r="B217" s="28" t="n"/>
      <c r="C217" s="28" t="n"/>
      <c r="D217" s="29" t="n"/>
      <c r="E217" s="11">
        <f>IF(B217="","",IFERROR(INDEX(Produits!$H$5:$H$64,MATCH(B217,Produits!$G$5:$G$64,0)),""))</f>
        <v/>
      </c>
      <c r="F217" s="28" t="n"/>
      <c r="G217" s="32" t="n"/>
      <c r="H217" s="11">
        <f>IF(G217="","",G217-TODAY())</f>
        <v/>
      </c>
      <c r="I217" s="11">
        <f>IF(G217="","",IF(J217="Oui","Terminé",IF(H217&lt;0,"PÉRIMÉ",IF(H217&lt;=1,"AUJOURD'HUI",IF(H217&lt;=3,"BIENTÔT","OK")))))</f>
        <v/>
      </c>
      <c r="J217" s="29" t="n"/>
    </row>
    <row r="218">
      <c r="A218" s="32" t="n"/>
      <c r="B218" s="28" t="n"/>
      <c r="C218" s="28" t="n"/>
      <c r="D218" s="29" t="n"/>
      <c r="E218" s="11">
        <f>IF(B218="","",IFERROR(INDEX(Produits!$H$5:$H$64,MATCH(B218,Produits!$G$5:$G$64,0)),""))</f>
        <v/>
      </c>
      <c r="F218" s="28" t="n"/>
      <c r="G218" s="32" t="n"/>
      <c r="H218" s="11">
        <f>IF(G218="","",G218-TODAY())</f>
        <v/>
      </c>
      <c r="I218" s="11">
        <f>IF(G218="","",IF(J218="Oui","Terminé",IF(H218&lt;0,"PÉRIMÉ",IF(H218&lt;=1,"AUJOURD'HUI",IF(H218&lt;=3,"BIENTÔT","OK")))))</f>
        <v/>
      </c>
      <c r="J218" s="29" t="n"/>
    </row>
    <row r="219">
      <c r="A219" s="32" t="n"/>
      <c r="B219" s="28" t="n"/>
      <c r="C219" s="28" t="n"/>
      <c r="D219" s="29" t="n"/>
      <c r="E219" s="11">
        <f>IF(B219="","",IFERROR(INDEX(Produits!$H$5:$H$64,MATCH(B219,Produits!$G$5:$G$64,0)),""))</f>
        <v/>
      </c>
      <c r="F219" s="28" t="n"/>
      <c r="G219" s="32" t="n"/>
      <c r="H219" s="11">
        <f>IF(G219="","",G219-TODAY())</f>
        <v/>
      </c>
      <c r="I219" s="11">
        <f>IF(G219="","",IF(J219="Oui","Terminé",IF(H219&lt;0,"PÉRIMÉ",IF(H219&lt;=1,"AUJOURD'HUI",IF(H219&lt;=3,"BIENTÔT","OK")))))</f>
        <v/>
      </c>
      <c r="J219" s="29" t="n"/>
    </row>
    <row r="220">
      <c r="A220" s="32" t="n"/>
      <c r="B220" s="28" t="n"/>
      <c r="C220" s="28" t="n"/>
      <c r="D220" s="29" t="n"/>
      <c r="E220" s="11">
        <f>IF(B220="","",IFERROR(INDEX(Produits!$H$5:$H$64,MATCH(B220,Produits!$G$5:$G$64,0)),""))</f>
        <v/>
      </c>
      <c r="F220" s="28" t="n"/>
      <c r="G220" s="32" t="n"/>
      <c r="H220" s="11">
        <f>IF(G220="","",G220-TODAY())</f>
        <v/>
      </c>
      <c r="I220" s="11">
        <f>IF(G220="","",IF(J220="Oui","Terminé",IF(H220&lt;0,"PÉRIMÉ",IF(H220&lt;=1,"AUJOURD'HUI",IF(H220&lt;=3,"BIENTÔT","OK")))))</f>
        <v/>
      </c>
      <c r="J220" s="29" t="n"/>
    </row>
    <row r="221">
      <c r="A221" s="32" t="n"/>
      <c r="B221" s="28" t="n"/>
      <c r="C221" s="28" t="n"/>
      <c r="D221" s="29" t="n"/>
      <c r="E221" s="11">
        <f>IF(B221="","",IFERROR(INDEX(Produits!$H$5:$H$64,MATCH(B221,Produits!$G$5:$G$64,0)),""))</f>
        <v/>
      </c>
      <c r="F221" s="28" t="n"/>
      <c r="G221" s="32" t="n"/>
      <c r="H221" s="11">
        <f>IF(G221="","",G221-TODAY())</f>
        <v/>
      </c>
      <c r="I221" s="11">
        <f>IF(G221="","",IF(J221="Oui","Terminé",IF(H221&lt;0,"PÉRIMÉ",IF(H221&lt;=1,"AUJOURD'HUI",IF(H221&lt;=3,"BIENTÔT","OK")))))</f>
        <v/>
      </c>
      <c r="J221" s="29" t="n"/>
    </row>
    <row r="222">
      <c r="A222" s="32" t="n"/>
      <c r="B222" s="28" t="n"/>
      <c r="C222" s="28" t="n"/>
      <c r="D222" s="29" t="n"/>
      <c r="E222" s="11">
        <f>IF(B222="","",IFERROR(INDEX(Produits!$H$5:$H$64,MATCH(B222,Produits!$G$5:$G$64,0)),""))</f>
        <v/>
      </c>
      <c r="F222" s="28" t="n"/>
      <c r="G222" s="32" t="n"/>
      <c r="H222" s="11">
        <f>IF(G222="","",G222-TODAY())</f>
        <v/>
      </c>
      <c r="I222" s="11">
        <f>IF(G222="","",IF(J222="Oui","Terminé",IF(H222&lt;0,"PÉRIMÉ",IF(H222&lt;=1,"AUJOURD'HUI",IF(H222&lt;=3,"BIENTÔT","OK")))))</f>
        <v/>
      </c>
      <c r="J222" s="29" t="n"/>
    </row>
    <row r="223">
      <c r="A223" s="32" t="n"/>
      <c r="B223" s="28" t="n"/>
      <c r="C223" s="28" t="n"/>
      <c r="D223" s="29" t="n"/>
      <c r="E223" s="11">
        <f>IF(B223="","",IFERROR(INDEX(Produits!$H$5:$H$64,MATCH(B223,Produits!$G$5:$G$64,0)),""))</f>
        <v/>
      </c>
      <c r="F223" s="28" t="n"/>
      <c r="G223" s="32" t="n"/>
      <c r="H223" s="11">
        <f>IF(G223="","",G223-TODAY())</f>
        <v/>
      </c>
      <c r="I223" s="11">
        <f>IF(G223="","",IF(J223="Oui","Terminé",IF(H223&lt;0,"PÉRIMÉ",IF(H223&lt;=1,"AUJOURD'HUI",IF(H223&lt;=3,"BIENTÔT","OK")))))</f>
        <v/>
      </c>
      <c r="J223" s="29" t="n"/>
    </row>
    <row r="224">
      <c r="A224" s="32" t="n"/>
      <c r="B224" s="28" t="n"/>
      <c r="C224" s="28" t="n"/>
      <c r="D224" s="29" t="n"/>
      <c r="E224" s="11">
        <f>IF(B224="","",IFERROR(INDEX(Produits!$H$5:$H$64,MATCH(B224,Produits!$G$5:$G$64,0)),""))</f>
        <v/>
      </c>
      <c r="F224" s="28" t="n"/>
      <c r="G224" s="32" t="n"/>
      <c r="H224" s="11">
        <f>IF(G224="","",G224-TODAY())</f>
        <v/>
      </c>
      <c r="I224" s="11">
        <f>IF(G224="","",IF(J224="Oui","Terminé",IF(H224&lt;0,"PÉRIMÉ",IF(H224&lt;=1,"AUJOURD'HUI",IF(H224&lt;=3,"BIENTÔT","OK")))))</f>
        <v/>
      </c>
      <c r="J224" s="29" t="n"/>
    </row>
    <row r="225">
      <c r="A225" s="32" t="n"/>
      <c r="B225" s="28" t="n"/>
      <c r="C225" s="28" t="n"/>
      <c r="D225" s="29" t="n"/>
      <c r="E225" s="11">
        <f>IF(B225="","",IFERROR(INDEX(Produits!$H$5:$H$64,MATCH(B225,Produits!$G$5:$G$64,0)),""))</f>
        <v/>
      </c>
      <c r="F225" s="28" t="n"/>
      <c r="G225" s="32" t="n"/>
      <c r="H225" s="11">
        <f>IF(G225="","",G225-TODAY())</f>
        <v/>
      </c>
      <c r="I225" s="11">
        <f>IF(G225="","",IF(J225="Oui","Terminé",IF(H225&lt;0,"PÉRIMÉ",IF(H225&lt;=1,"AUJOURD'HUI",IF(H225&lt;=3,"BIENTÔT","OK")))))</f>
        <v/>
      </c>
      <c r="J225" s="29" t="n"/>
    </row>
    <row r="226">
      <c r="A226" s="32" t="n"/>
      <c r="B226" s="28" t="n"/>
      <c r="C226" s="28" t="n"/>
      <c r="D226" s="29" t="n"/>
      <c r="E226" s="11">
        <f>IF(B226="","",IFERROR(INDEX(Produits!$H$5:$H$64,MATCH(B226,Produits!$G$5:$G$64,0)),""))</f>
        <v/>
      </c>
      <c r="F226" s="28" t="n"/>
      <c r="G226" s="32" t="n"/>
      <c r="H226" s="11">
        <f>IF(G226="","",G226-TODAY())</f>
        <v/>
      </c>
      <c r="I226" s="11">
        <f>IF(G226="","",IF(J226="Oui","Terminé",IF(H226&lt;0,"PÉRIMÉ",IF(H226&lt;=1,"AUJOURD'HUI",IF(H226&lt;=3,"BIENTÔT","OK")))))</f>
        <v/>
      </c>
      <c r="J226" s="29" t="n"/>
    </row>
    <row r="227">
      <c r="A227" s="32" t="n"/>
      <c r="B227" s="28" t="n"/>
      <c r="C227" s="28" t="n"/>
      <c r="D227" s="29" t="n"/>
      <c r="E227" s="11">
        <f>IF(B227="","",IFERROR(INDEX(Produits!$H$5:$H$64,MATCH(B227,Produits!$G$5:$G$64,0)),""))</f>
        <v/>
      </c>
      <c r="F227" s="28" t="n"/>
      <c r="G227" s="32" t="n"/>
      <c r="H227" s="11">
        <f>IF(G227="","",G227-TODAY())</f>
        <v/>
      </c>
      <c r="I227" s="11">
        <f>IF(G227="","",IF(J227="Oui","Terminé",IF(H227&lt;0,"PÉRIMÉ",IF(H227&lt;=1,"AUJOURD'HUI",IF(H227&lt;=3,"BIENTÔT","OK")))))</f>
        <v/>
      </c>
      <c r="J227" s="29" t="n"/>
    </row>
    <row r="228">
      <c r="A228" s="32" t="n"/>
      <c r="B228" s="28" t="n"/>
      <c r="C228" s="28" t="n"/>
      <c r="D228" s="29" t="n"/>
      <c r="E228" s="11">
        <f>IF(B228="","",IFERROR(INDEX(Produits!$H$5:$H$64,MATCH(B228,Produits!$G$5:$G$64,0)),""))</f>
        <v/>
      </c>
      <c r="F228" s="28" t="n"/>
      <c r="G228" s="32" t="n"/>
      <c r="H228" s="11">
        <f>IF(G228="","",G228-TODAY())</f>
        <v/>
      </c>
      <c r="I228" s="11">
        <f>IF(G228="","",IF(J228="Oui","Terminé",IF(H228&lt;0,"PÉRIMÉ",IF(H228&lt;=1,"AUJOURD'HUI",IF(H228&lt;=3,"BIENTÔT","OK")))))</f>
        <v/>
      </c>
      <c r="J228" s="29" t="n"/>
    </row>
    <row r="229">
      <c r="A229" s="32" t="n"/>
      <c r="B229" s="28" t="n"/>
      <c r="C229" s="28" t="n"/>
      <c r="D229" s="29" t="n"/>
      <c r="E229" s="11">
        <f>IF(B229="","",IFERROR(INDEX(Produits!$H$5:$H$64,MATCH(B229,Produits!$G$5:$G$64,0)),""))</f>
        <v/>
      </c>
      <c r="F229" s="28" t="n"/>
      <c r="G229" s="32" t="n"/>
      <c r="H229" s="11">
        <f>IF(G229="","",G229-TODAY())</f>
        <v/>
      </c>
      <c r="I229" s="11">
        <f>IF(G229="","",IF(J229="Oui","Terminé",IF(H229&lt;0,"PÉRIMÉ",IF(H229&lt;=1,"AUJOURD'HUI",IF(H229&lt;=3,"BIENTÔT","OK")))))</f>
        <v/>
      </c>
      <c r="J229" s="29" t="n"/>
    </row>
    <row r="230">
      <c r="A230" s="32" t="n"/>
      <c r="B230" s="28" t="n"/>
      <c r="C230" s="28" t="n"/>
      <c r="D230" s="29" t="n"/>
      <c r="E230" s="11">
        <f>IF(B230="","",IFERROR(INDEX(Produits!$H$5:$H$64,MATCH(B230,Produits!$G$5:$G$64,0)),""))</f>
        <v/>
      </c>
      <c r="F230" s="28" t="n"/>
      <c r="G230" s="32" t="n"/>
      <c r="H230" s="11">
        <f>IF(G230="","",G230-TODAY())</f>
        <v/>
      </c>
      <c r="I230" s="11">
        <f>IF(G230="","",IF(J230="Oui","Terminé",IF(H230&lt;0,"PÉRIMÉ",IF(H230&lt;=1,"AUJOURD'HUI",IF(H230&lt;=3,"BIENTÔT","OK")))))</f>
        <v/>
      </c>
      <c r="J230" s="29" t="n"/>
    </row>
    <row r="231">
      <c r="A231" s="32" t="n"/>
      <c r="B231" s="28" t="n"/>
      <c r="C231" s="28" t="n"/>
      <c r="D231" s="29" t="n"/>
      <c r="E231" s="11">
        <f>IF(B231="","",IFERROR(INDEX(Produits!$H$5:$H$64,MATCH(B231,Produits!$G$5:$G$64,0)),""))</f>
        <v/>
      </c>
      <c r="F231" s="28" t="n"/>
      <c r="G231" s="32" t="n"/>
      <c r="H231" s="11">
        <f>IF(G231="","",G231-TODAY())</f>
        <v/>
      </c>
      <c r="I231" s="11">
        <f>IF(G231="","",IF(J231="Oui","Terminé",IF(H231&lt;0,"PÉRIMÉ",IF(H231&lt;=1,"AUJOURD'HUI",IF(H231&lt;=3,"BIENTÔT","OK")))))</f>
        <v/>
      </c>
      <c r="J231" s="29" t="n"/>
    </row>
    <row r="232">
      <c r="A232" s="32" t="n"/>
      <c r="B232" s="28" t="n"/>
      <c r="C232" s="28" t="n"/>
      <c r="D232" s="29" t="n"/>
      <c r="E232" s="11">
        <f>IF(B232="","",IFERROR(INDEX(Produits!$H$5:$H$64,MATCH(B232,Produits!$G$5:$G$64,0)),""))</f>
        <v/>
      </c>
      <c r="F232" s="28" t="n"/>
      <c r="G232" s="32" t="n"/>
      <c r="H232" s="11">
        <f>IF(G232="","",G232-TODAY())</f>
        <v/>
      </c>
      <c r="I232" s="11">
        <f>IF(G232="","",IF(J232="Oui","Terminé",IF(H232&lt;0,"PÉRIMÉ",IF(H232&lt;=1,"AUJOURD'HUI",IF(H232&lt;=3,"BIENTÔT","OK")))))</f>
        <v/>
      </c>
      <c r="J232" s="29" t="n"/>
    </row>
    <row r="233">
      <c r="A233" s="32" t="n"/>
      <c r="B233" s="28" t="n"/>
      <c r="C233" s="28" t="n"/>
      <c r="D233" s="29" t="n"/>
      <c r="E233" s="11">
        <f>IF(B233="","",IFERROR(INDEX(Produits!$H$5:$H$64,MATCH(B233,Produits!$G$5:$G$64,0)),""))</f>
        <v/>
      </c>
      <c r="F233" s="28" t="n"/>
      <c r="G233" s="32" t="n"/>
      <c r="H233" s="11">
        <f>IF(G233="","",G233-TODAY())</f>
        <v/>
      </c>
      <c r="I233" s="11">
        <f>IF(G233="","",IF(J233="Oui","Terminé",IF(H233&lt;0,"PÉRIMÉ",IF(H233&lt;=1,"AUJOURD'HUI",IF(H233&lt;=3,"BIENTÔT","OK")))))</f>
        <v/>
      </c>
      <c r="J233" s="29" t="n"/>
    </row>
    <row r="234">
      <c r="A234" s="32" t="n"/>
      <c r="B234" s="28" t="n"/>
      <c r="C234" s="28" t="n"/>
      <c r="D234" s="29" t="n"/>
      <c r="E234" s="11">
        <f>IF(B234="","",IFERROR(INDEX(Produits!$H$5:$H$64,MATCH(B234,Produits!$G$5:$G$64,0)),""))</f>
        <v/>
      </c>
      <c r="F234" s="28" t="n"/>
      <c r="G234" s="32" t="n"/>
      <c r="H234" s="11">
        <f>IF(G234="","",G234-TODAY())</f>
        <v/>
      </c>
      <c r="I234" s="11">
        <f>IF(G234="","",IF(J234="Oui","Terminé",IF(H234&lt;0,"PÉRIMÉ",IF(H234&lt;=1,"AUJOURD'HUI",IF(H234&lt;=3,"BIENTÔT","OK")))))</f>
        <v/>
      </c>
      <c r="J234" s="29" t="n"/>
    </row>
    <row r="235">
      <c r="A235" s="32" t="n"/>
      <c r="B235" s="28" t="n"/>
      <c r="C235" s="28" t="n"/>
      <c r="D235" s="29" t="n"/>
      <c r="E235" s="11">
        <f>IF(B235="","",IFERROR(INDEX(Produits!$H$5:$H$64,MATCH(B235,Produits!$G$5:$G$64,0)),""))</f>
        <v/>
      </c>
      <c r="F235" s="28" t="n"/>
      <c r="G235" s="32" t="n"/>
      <c r="H235" s="11">
        <f>IF(G235="","",G235-TODAY())</f>
        <v/>
      </c>
      <c r="I235" s="11">
        <f>IF(G235="","",IF(J235="Oui","Terminé",IF(H235&lt;0,"PÉRIMÉ",IF(H235&lt;=1,"AUJOURD'HUI",IF(H235&lt;=3,"BIENTÔT","OK")))))</f>
        <v/>
      </c>
      <c r="J235" s="29" t="n"/>
    </row>
    <row r="236">
      <c r="A236" s="32" t="n"/>
      <c r="B236" s="28" t="n"/>
      <c r="C236" s="28" t="n"/>
      <c r="D236" s="29" t="n"/>
      <c r="E236" s="11">
        <f>IF(B236="","",IFERROR(INDEX(Produits!$H$5:$H$64,MATCH(B236,Produits!$G$5:$G$64,0)),""))</f>
        <v/>
      </c>
      <c r="F236" s="28" t="n"/>
      <c r="G236" s="32" t="n"/>
      <c r="H236" s="11">
        <f>IF(G236="","",G236-TODAY())</f>
        <v/>
      </c>
      <c r="I236" s="11">
        <f>IF(G236="","",IF(J236="Oui","Terminé",IF(H236&lt;0,"PÉRIMÉ",IF(H236&lt;=1,"AUJOURD'HUI",IF(H236&lt;=3,"BIENTÔT","OK")))))</f>
        <v/>
      </c>
      <c r="J236" s="29" t="n"/>
    </row>
    <row r="237">
      <c r="A237" s="32" t="n"/>
      <c r="B237" s="28" t="n"/>
      <c r="C237" s="28" t="n"/>
      <c r="D237" s="29" t="n"/>
      <c r="E237" s="11">
        <f>IF(B237="","",IFERROR(INDEX(Produits!$H$5:$H$64,MATCH(B237,Produits!$G$5:$G$64,0)),""))</f>
        <v/>
      </c>
      <c r="F237" s="28" t="n"/>
      <c r="G237" s="32" t="n"/>
      <c r="H237" s="11">
        <f>IF(G237="","",G237-TODAY())</f>
        <v/>
      </c>
      <c r="I237" s="11">
        <f>IF(G237="","",IF(J237="Oui","Terminé",IF(H237&lt;0,"PÉRIMÉ",IF(H237&lt;=1,"AUJOURD'HUI",IF(H237&lt;=3,"BIENTÔT","OK")))))</f>
        <v/>
      </c>
      <c r="J237" s="29" t="n"/>
    </row>
    <row r="238">
      <c r="A238" s="32" t="n"/>
      <c r="B238" s="28" t="n"/>
      <c r="C238" s="28" t="n"/>
      <c r="D238" s="29" t="n"/>
      <c r="E238" s="11">
        <f>IF(B238="","",IFERROR(INDEX(Produits!$H$5:$H$64,MATCH(B238,Produits!$G$5:$G$64,0)),""))</f>
        <v/>
      </c>
      <c r="F238" s="28" t="n"/>
      <c r="G238" s="32" t="n"/>
      <c r="H238" s="11">
        <f>IF(G238="","",G238-TODAY())</f>
        <v/>
      </c>
      <c r="I238" s="11">
        <f>IF(G238="","",IF(J238="Oui","Terminé",IF(H238&lt;0,"PÉRIMÉ",IF(H238&lt;=1,"AUJOURD'HUI",IF(H238&lt;=3,"BIENTÔT","OK")))))</f>
        <v/>
      </c>
      <c r="J238" s="29" t="n"/>
    </row>
    <row r="239">
      <c r="A239" s="32" t="n"/>
      <c r="B239" s="28" t="n"/>
      <c r="C239" s="28" t="n"/>
      <c r="D239" s="29" t="n"/>
      <c r="E239" s="11">
        <f>IF(B239="","",IFERROR(INDEX(Produits!$H$5:$H$64,MATCH(B239,Produits!$G$5:$G$64,0)),""))</f>
        <v/>
      </c>
      <c r="F239" s="28" t="n"/>
      <c r="G239" s="32" t="n"/>
      <c r="H239" s="11">
        <f>IF(G239="","",G239-TODAY())</f>
        <v/>
      </c>
      <c r="I239" s="11">
        <f>IF(G239="","",IF(J239="Oui","Terminé",IF(H239&lt;0,"PÉRIMÉ",IF(H239&lt;=1,"AUJOURD'HUI",IF(H239&lt;=3,"BIENTÔT","OK")))))</f>
        <v/>
      </c>
      <c r="J239" s="29" t="n"/>
    </row>
    <row r="240">
      <c r="A240" s="32" t="n"/>
      <c r="B240" s="28" t="n"/>
      <c r="C240" s="28" t="n"/>
      <c r="D240" s="29" t="n"/>
      <c r="E240" s="11">
        <f>IF(B240="","",IFERROR(INDEX(Produits!$H$5:$H$64,MATCH(B240,Produits!$G$5:$G$64,0)),""))</f>
        <v/>
      </c>
      <c r="F240" s="28" t="n"/>
      <c r="G240" s="32" t="n"/>
      <c r="H240" s="11">
        <f>IF(G240="","",G240-TODAY())</f>
        <v/>
      </c>
      <c r="I240" s="11">
        <f>IF(G240="","",IF(J240="Oui","Terminé",IF(H240&lt;0,"PÉRIMÉ",IF(H240&lt;=1,"AUJOURD'HUI",IF(H240&lt;=3,"BIENTÔT","OK")))))</f>
        <v/>
      </c>
      <c r="J240" s="29" t="n"/>
    </row>
    <row r="241">
      <c r="A241" s="32" t="n"/>
      <c r="B241" s="28" t="n"/>
      <c r="C241" s="28" t="n"/>
      <c r="D241" s="29" t="n"/>
      <c r="E241" s="11">
        <f>IF(B241="","",IFERROR(INDEX(Produits!$H$5:$H$64,MATCH(B241,Produits!$G$5:$G$64,0)),""))</f>
        <v/>
      </c>
      <c r="F241" s="28" t="n"/>
      <c r="G241" s="32" t="n"/>
      <c r="H241" s="11">
        <f>IF(G241="","",G241-TODAY())</f>
        <v/>
      </c>
      <c r="I241" s="11">
        <f>IF(G241="","",IF(J241="Oui","Terminé",IF(H241&lt;0,"PÉRIMÉ",IF(H241&lt;=1,"AUJOURD'HUI",IF(H241&lt;=3,"BIENTÔT","OK")))))</f>
        <v/>
      </c>
      <c r="J241" s="29" t="n"/>
    </row>
    <row r="242">
      <c r="A242" s="32" t="n"/>
      <c r="B242" s="28" t="n"/>
      <c r="C242" s="28" t="n"/>
      <c r="D242" s="29" t="n"/>
      <c r="E242" s="11">
        <f>IF(B242="","",IFERROR(INDEX(Produits!$H$5:$H$64,MATCH(B242,Produits!$G$5:$G$64,0)),""))</f>
        <v/>
      </c>
      <c r="F242" s="28" t="n"/>
      <c r="G242" s="32" t="n"/>
      <c r="H242" s="11">
        <f>IF(G242="","",G242-TODAY())</f>
        <v/>
      </c>
      <c r="I242" s="11">
        <f>IF(G242="","",IF(J242="Oui","Terminé",IF(H242&lt;0,"PÉRIMÉ",IF(H242&lt;=1,"AUJOURD'HUI",IF(H242&lt;=3,"BIENTÔT","OK")))))</f>
        <v/>
      </c>
      <c r="J242" s="29" t="n"/>
    </row>
    <row r="243">
      <c r="A243" s="32" t="n"/>
      <c r="B243" s="28" t="n"/>
      <c r="C243" s="28" t="n"/>
      <c r="D243" s="29" t="n"/>
      <c r="E243" s="11">
        <f>IF(B243="","",IFERROR(INDEX(Produits!$H$5:$H$64,MATCH(B243,Produits!$G$5:$G$64,0)),""))</f>
        <v/>
      </c>
      <c r="F243" s="28" t="n"/>
      <c r="G243" s="32" t="n"/>
      <c r="H243" s="11">
        <f>IF(G243="","",G243-TODAY())</f>
        <v/>
      </c>
      <c r="I243" s="11">
        <f>IF(G243="","",IF(J243="Oui","Terminé",IF(H243&lt;0,"PÉRIMÉ",IF(H243&lt;=1,"AUJOURD'HUI",IF(H243&lt;=3,"BIENTÔT","OK")))))</f>
        <v/>
      </c>
      <c r="J243" s="29" t="n"/>
    </row>
    <row r="244">
      <c r="A244" s="32" t="n"/>
      <c r="B244" s="28" t="n"/>
      <c r="C244" s="28" t="n"/>
      <c r="D244" s="29" t="n"/>
      <c r="E244" s="11">
        <f>IF(B244="","",IFERROR(INDEX(Produits!$H$5:$H$64,MATCH(B244,Produits!$G$5:$G$64,0)),""))</f>
        <v/>
      </c>
      <c r="F244" s="28" t="n"/>
      <c r="G244" s="32" t="n"/>
      <c r="H244" s="11">
        <f>IF(G244="","",G244-TODAY())</f>
        <v/>
      </c>
      <c r="I244" s="11">
        <f>IF(G244="","",IF(J244="Oui","Terminé",IF(H244&lt;0,"PÉRIMÉ",IF(H244&lt;=1,"AUJOURD'HUI",IF(H244&lt;=3,"BIENTÔT","OK")))))</f>
        <v/>
      </c>
      <c r="J244" s="29" t="n"/>
    </row>
    <row r="245">
      <c r="A245" s="32" t="n"/>
      <c r="B245" s="28" t="n"/>
      <c r="C245" s="28" t="n"/>
      <c r="D245" s="29" t="n"/>
      <c r="E245" s="11">
        <f>IF(B245="","",IFERROR(INDEX(Produits!$H$5:$H$64,MATCH(B245,Produits!$G$5:$G$64,0)),""))</f>
        <v/>
      </c>
      <c r="F245" s="28" t="n"/>
      <c r="G245" s="32" t="n"/>
      <c r="H245" s="11">
        <f>IF(G245="","",G245-TODAY())</f>
        <v/>
      </c>
      <c r="I245" s="11">
        <f>IF(G245="","",IF(J245="Oui","Terminé",IF(H245&lt;0,"PÉRIMÉ",IF(H245&lt;=1,"AUJOURD'HUI",IF(H245&lt;=3,"BIENTÔT","OK")))))</f>
        <v/>
      </c>
      <c r="J245" s="29" t="n"/>
    </row>
    <row r="246">
      <c r="A246" s="32" t="n"/>
      <c r="B246" s="28" t="n"/>
      <c r="C246" s="28" t="n"/>
      <c r="D246" s="29" t="n"/>
      <c r="E246" s="11">
        <f>IF(B246="","",IFERROR(INDEX(Produits!$H$5:$H$64,MATCH(B246,Produits!$G$5:$G$64,0)),""))</f>
        <v/>
      </c>
      <c r="F246" s="28" t="n"/>
      <c r="G246" s="32" t="n"/>
      <c r="H246" s="11">
        <f>IF(G246="","",G246-TODAY())</f>
        <v/>
      </c>
      <c r="I246" s="11">
        <f>IF(G246="","",IF(J246="Oui","Terminé",IF(H246&lt;0,"PÉRIMÉ",IF(H246&lt;=1,"AUJOURD'HUI",IF(H246&lt;=3,"BIENTÔT","OK")))))</f>
        <v/>
      </c>
      <c r="J246" s="29" t="n"/>
    </row>
    <row r="247">
      <c r="A247" s="32" t="n"/>
      <c r="B247" s="28" t="n"/>
      <c r="C247" s="28" t="n"/>
      <c r="D247" s="29" t="n"/>
      <c r="E247" s="11">
        <f>IF(B247="","",IFERROR(INDEX(Produits!$H$5:$H$64,MATCH(B247,Produits!$G$5:$G$64,0)),""))</f>
        <v/>
      </c>
      <c r="F247" s="28" t="n"/>
      <c r="G247" s="32" t="n"/>
      <c r="H247" s="11">
        <f>IF(G247="","",G247-TODAY())</f>
        <v/>
      </c>
      <c r="I247" s="11">
        <f>IF(G247="","",IF(J247="Oui","Terminé",IF(H247&lt;0,"PÉRIMÉ",IF(H247&lt;=1,"AUJOURD'HUI",IF(H247&lt;=3,"BIENTÔT","OK")))))</f>
        <v/>
      </c>
      <c r="J247" s="29" t="n"/>
    </row>
    <row r="248">
      <c r="A248" s="32" t="n"/>
      <c r="B248" s="28" t="n"/>
      <c r="C248" s="28" t="n"/>
      <c r="D248" s="29" t="n"/>
      <c r="E248" s="11">
        <f>IF(B248="","",IFERROR(INDEX(Produits!$H$5:$H$64,MATCH(B248,Produits!$G$5:$G$64,0)),""))</f>
        <v/>
      </c>
      <c r="F248" s="28" t="n"/>
      <c r="G248" s="32" t="n"/>
      <c r="H248" s="11">
        <f>IF(G248="","",G248-TODAY())</f>
        <v/>
      </c>
      <c r="I248" s="11">
        <f>IF(G248="","",IF(J248="Oui","Terminé",IF(H248&lt;0,"PÉRIMÉ",IF(H248&lt;=1,"AUJOURD'HUI",IF(H248&lt;=3,"BIENTÔT","OK")))))</f>
        <v/>
      </c>
      <c r="J248" s="29" t="n"/>
    </row>
    <row r="249">
      <c r="A249" s="32" t="n"/>
      <c r="B249" s="28" t="n"/>
      <c r="C249" s="28" t="n"/>
      <c r="D249" s="29" t="n"/>
      <c r="E249" s="11">
        <f>IF(B249="","",IFERROR(INDEX(Produits!$H$5:$H$64,MATCH(B249,Produits!$G$5:$G$64,0)),""))</f>
        <v/>
      </c>
      <c r="F249" s="28" t="n"/>
      <c r="G249" s="32" t="n"/>
      <c r="H249" s="11">
        <f>IF(G249="","",G249-TODAY())</f>
        <v/>
      </c>
      <c r="I249" s="11">
        <f>IF(G249="","",IF(J249="Oui","Terminé",IF(H249&lt;0,"PÉRIMÉ",IF(H249&lt;=1,"AUJOURD'HUI",IF(H249&lt;=3,"BIENTÔT","OK")))))</f>
        <v/>
      </c>
      <c r="J249" s="29" t="n"/>
    </row>
    <row r="250">
      <c r="A250" s="32" t="n"/>
      <c r="B250" s="28" t="n"/>
      <c r="C250" s="28" t="n"/>
      <c r="D250" s="29" t="n"/>
      <c r="E250" s="11">
        <f>IF(B250="","",IFERROR(INDEX(Produits!$H$5:$H$64,MATCH(B250,Produits!$G$5:$G$64,0)),""))</f>
        <v/>
      </c>
      <c r="F250" s="28" t="n"/>
      <c r="G250" s="32" t="n"/>
      <c r="H250" s="11">
        <f>IF(G250="","",G250-TODAY())</f>
        <v/>
      </c>
      <c r="I250" s="11">
        <f>IF(G250="","",IF(J250="Oui","Terminé",IF(H250&lt;0,"PÉRIMÉ",IF(H250&lt;=1,"AUJOURD'HUI",IF(H250&lt;=3,"BIENTÔT","OK")))))</f>
        <v/>
      </c>
      <c r="J250" s="29" t="n"/>
    </row>
    <row r="251">
      <c r="A251" s="32" t="n"/>
      <c r="B251" s="28" t="n"/>
      <c r="C251" s="28" t="n"/>
      <c r="D251" s="29" t="n"/>
      <c r="E251" s="11">
        <f>IF(B251="","",IFERROR(INDEX(Produits!$H$5:$H$64,MATCH(B251,Produits!$G$5:$G$64,0)),""))</f>
        <v/>
      </c>
      <c r="F251" s="28" t="n"/>
      <c r="G251" s="32" t="n"/>
      <c r="H251" s="11">
        <f>IF(G251="","",G251-TODAY())</f>
        <v/>
      </c>
      <c r="I251" s="11">
        <f>IF(G251="","",IF(J251="Oui","Terminé",IF(H251&lt;0,"PÉRIMÉ",IF(H251&lt;=1,"AUJOURD'HUI",IF(H251&lt;=3,"BIENTÔT","OK")))))</f>
        <v/>
      </c>
      <c r="J251" s="29" t="n"/>
    </row>
    <row r="252">
      <c r="A252" s="32" t="n"/>
      <c r="B252" s="28" t="n"/>
      <c r="C252" s="28" t="n"/>
      <c r="D252" s="29" t="n"/>
      <c r="E252" s="11">
        <f>IF(B252="","",IFERROR(INDEX(Produits!$H$5:$H$64,MATCH(B252,Produits!$G$5:$G$64,0)),""))</f>
        <v/>
      </c>
      <c r="F252" s="28" t="n"/>
      <c r="G252" s="32" t="n"/>
      <c r="H252" s="11">
        <f>IF(G252="","",G252-TODAY())</f>
        <v/>
      </c>
      <c r="I252" s="11">
        <f>IF(G252="","",IF(J252="Oui","Terminé",IF(H252&lt;0,"PÉRIMÉ",IF(H252&lt;=1,"AUJOURD'HUI",IF(H252&lt;=3,"BIENTÔT","OK")))))</f>
        <v/>
      </c>
      <c r="J252" s="29" t="n"/>
    </row>
    <row r="253">
      <c r="A253" s="32" t="n"/>
      <c r="B253" s="28" t="n"/>
      <c r="C253" s="28" t="n"/>
      <c r="D253" s="29" t="n"/>
      <c r="E253" s="11">
        <f>IF(B253="","",IFERROR(INDEX(Produits!$H$5:$H$64,MATCH(B253,Produits!$G$5:$G$64,0)),""))</f>
        <v/>
      </c>
      <c r="F253" s="28" t="n"/>
      <c r="G253" s="32" t="n"/>
      <c r="H253" s="11">
        <f>IF(G253="","",G253-TODAY())</f>
        <v/>
      </c>
      <c r="I253" s="11">
        <f>IF(G253="","",IF(J253="Oui","Terminé",IF(H253&lt;0,"PÉRIMÉ",IF(H253&lt;=1,"AUJOURD'HUI",IF(H253&lt;=3,"BIENTÔT","OK")))))</f>
        <v/>
      </c>
      <c r="J253" s="29" t="n"/>
    </row>
    <row r="254">
      <c r="A254" s="32" t="n"/>
      <c r="B254" s="28" t="n"/>
      <c r="C254" s="28" t="n"/>
      <c r="D254" s="29" t="n"/>
      <c r="E254" s="11">
        <f>IF(B254="","",IFERROR(INDEX(Produits!$H$5:$H$64,MATCH(B254,Produits!$G$5:$G$64,0)),""))</f>
        <v/>
      </c>
      <c r="F254" s="28" t="n"/>
      <c r="G254" s="32" t="n"/>
      <c r="H254" s="11">
        <f>IF(G254="","",G254-TODAY())</f>
        <v/>
      </c>
      <c r="I254" s="11">
        <f>IF(G254="","",IF(J254="Oui","Terminé",IF(H254&lt;0,"PÉRIMÉ",IF(H254&lt;=1,"AUJOURD'HUI",IF(H254&lt;=3,"BIENTÔT","OK")))))</f>
        <v/>
      </c>
      <c r="J254" s="29" t="n"/>
    </row>
    <row r="255">
      <c r="A255" s="32" t="n"/>
      <c r="B255" s="28" t="n"/>
      <c r="C255" s="28" t="n"/>
      <c r="D255" s="29" t="n"/>
      <c r="E255" s="11">
        <f>IF(B255="","",IFERROR(INDEX(Produits!$H$5:$H$64,MATCH(B255,Produits!$G$5:$G$64,0)),""))</f>
        <v/>
      </c>
      <c r="F255" s="28" t="n"/>
      <c r="G255" s="32" t="n"/>
      <c r="H255" s="11">
        <f>IF(G255="","",G255-TODAY())</f>
        <v/>
      </c>
      <c r="I255" s="11">
        <f>IF(G255="","",IF(J255="Oui","Terminé",IF(H255&lt;0,"PÉRIMÉ",IF(H255&lt;=1,"AUJOURD'HUI",IF(H255&lt;=3,"BIENTÔT","OK")))))</f>
        <v/>
      </c>
      <c r="J255" s="29" t="n"/>
    </row>
    <row r="256">
      <c r="A256" s="32" t="n"/>
      <c r="B256" s="28" t="n"/>
      <c r="C256" s="28" t="n"/>
      <c r="D256" s="29" t="n"/>
      <c r="E256" s="11">
        <f>IF(B256="","",IFERROR(INDEX(Produits!$H$5:$H$64,MATCH(B256,Produits!$G$5:$G$64,0)),""))</f>
        <v/>
      </c>
      <c r="F256" s="28" t="n"/>
      <c r="G256" s="32" t="n"/>
      <c r="H256" s="11">
        <f>IF(G256="","",G256-TODAY())</f>
        <v/>
      </c>
      <c r="I256" s="11">
        <f>IF(G256="","",IF(J256="Oui","Terminé",IF(H256&lt;0,"PÉRIMÉ",IF(H256&lt;=1,"AUJOURD'HUI",IF(H256&lt;=3,"BIENTÔT","OK")))))</f>
        <v/>
      </c>
      <c r="J256" s="29" t="n"/>
    </row>
    <row r="257">
      <c r="A257" s="32" t="n"/>
      <c r="B257" s="28" t="n"/>
      <c r="C257" s="28" t="n"/>
      <c r="D257" s="29" t="n"/>
      <c r="E257" s="11">
        <f>IF(B257="","",IFERROR(INDEX(Produits!$H$5:$H$64,MATCH(B257,Produits!$G$5:$G$64,0)),""))</f>
        <v/>
      </c>
      <c r="F257" s="28" t="n"/>
      <c r="G257" s="32" t="n"/>
      <c r="H257" s="11">
        <f>IF(G257="","",G257-TODAY())</f>
        <v/>
      </c>
      <c r="I257" s="11">
        <f>IF(G257="","",IF(J257="Oui","Terminé",IF(H257&lt;0,"PÉRIMÉ",IF(H257&lt;=1,"AUJOURD'HUI",IF(H257&lt;=3,"BIENTÔT","OK")))))</f>
        <v/>
      </c>
      <c r="J257" s="29" t="n"/>
    </row>
    <row r="258">
      <c r="A258" s="32" t="n"/>
      <c r="B258" s="28" t="n"/>
      <c r="C258" s="28" t="n"/>
      <c r="D258" s="29" t="n"/>
      <c r="E258" s="11">
        <f>IF(B258="","",IFERROR(INDEX(Produits!$H$5:$H$64,MATCH(B258,Produits!$G$5:$G$64,0)),""))</f>
        <v/>
      </c>
      <c r="F258" s="28" t="n"/>
      <c r="G258" s="32" t="n"/>
      <c r="H258" s="11">
        <f>IF(G258="","",G258-TODAY())</f>
        <v/>
      </c>
      <c r="I258" s="11">
        <f>IF(G258="","",IF(J258="Oui","Terminé",IF(H258&lt;0,"PÉRIMÉ",IF(H258&lt;=1,"AUJOURD'HUI",IF(H258&lt;=3,"BIENTÔT","OK")))))</f>
        <v/>
      </c>
      <c r="J258" s="29" t="n"/>
    </row>
    <row r="259">
      <c r="A259" s="32" t="n"/>
      <c r="B259" s="28" t="n"/>
      <c r="C259" s="28" t="n"/>
      <c r="D259" s="29" t="n"/>
      <c r="E259" s="11">
        <f>IF(B259="","",IFERROR(INDEX(Produits!$H$5:$H$64,MATCH(B259,Produits!$G$5:$G$64,0)),""))</f>
        <v/>
      </c>
      <c r="F259" s="28" t="n"/>
      <c r="G259" s="32" t="n"/>
      <c r="H259" s="11">
        <f>IF(G259="","",G259-TODAY())</f>
        <v/>
      </c>
      <c r="I259" s="11">
        <f>IF(G259="","",IF(J259="Oui","Terminé",IF(H259&lt;0,"PÉRIMÉ",IF(H259&lt;=1,"AUJOURD'HUI",IF(H259&lt;=3,"BIENTÔT","OK")))))</f>
        <v/>
      </c>
      <c r="J259" s="29" t="n"/>
    </row>
    <row r="260">
      <c r="A260" s="32" t="n"/>
      <c r="B260" s="28" t="n"/>
      <c r="C260" s="28" t="n"/>
      <c r="D260" s="29" t="n"/>
      <c r="E260" s="11">
        <f>IF(B260="","",IFERROR(INDEX(Produits!$H$5:$H$64,MATCH(B260,Produits!$G$5:$G$64,0)),""))</f>
        <v/>
      </c>
      <c r="F260" s="28" t="n"/>
      <c r="G260" s="32" t="n"/>
      <c r="H260" s="11">
        <f>IF(G260="","",G260-TODAY())</f>
        <v/>
      </c>
      <c r="I260" s="11">
        <f>IF(G260="","",IF(J260="Oui","Terminé",IF(H260&lt;0,"PÉRIMÉ",IF(H260&lt;=1,"AUJOURD'HUI",IF(H260&lt;=3,"BIENTÔT","OK")))))</f>
        <v/>
      </c>
      <c r="J260" s="29" t="n"/>
    </row>
    <row r="261">
      <c r="A261" s="32" t="n"/>
      <c r="B261" s="28" t="n"/>
      <c r="C261" s="28" t="n"/>
      <c r="D261" s="29" t="n"/>
      <c r="E261" s="11">
        <f>IF(B261="","",IFERROR(INDEX(Produits!$H$5:$H$64,MATCH(B261,Produits!$G$5:$G$64,0)),""))</f>
        <v/>
      </c>
      <c r="F261" s="28" t="n"/>
      <c r="G261" s="32" t="n"/>
      <c r="H261" s="11">
        <f>IF(G261="","",G261-TODAY())</f>
        <v/>
      </c>
      <c r="I261" s="11">
        <f>IF(G261="","",IF(J261="Oui","Terminé",IF(H261&lt;0,"PÉRIMÉ",IF(H261&lt;=1,"AUJOURD'HUI",IF(H261&lt;=3,"BIENTÔT","OK")))))</f>
        <v/>
      </c>
      <c r="J261" s="29" t="n"/>
    </row>
    <row r="262">
      <c r="A262" s="32" t="n"/>
      <c r="B262" s="28" t="n"/>
      <c r="C262" s="28" t="n"/>
      <c r="D262" s="29" t="n"/>
      <c r="E262" s="11">
        <f>IF(B262="","",IFERROR(INDEX(Produits!$H$5:$H$64,MATCH(B262,Produits!$G$5:$G$64,0)),""))</f>
        <v/>
      </c>
      <c r="F262" s="28" t="n"/>
      <c r="G262" s="32" t="n"/>
      <c r="H262" s="11">
        <f>IF(G262="","",G262-TODAY())</f>
        <v/>
      </c>
      <c r="I262" s="11">
        <f>IF(G262="","",IF(J262="Oui","Terminé",IF(H262&lt;0,"PÉRIMÉ",IF(H262&lt;=1,"AUJOURD'HUI",IF(H262&lt;=3,"BIENTÔT","OK")))))</f>
        <v/>
      </c>
      <c r="J262" s="29" t="n"/>
    </row>
    <row r="263">
      <c r="A263" s="32" t="n"/>
      <c r="B263" s="28" t="n"/>
      <c r="C263" s="28" t="n"/>
      <c r="D263" s="29" t="n"/>
      <c r="E263" s="11">
        <f>IF(B263="","",IFERROR(INDEX(Produits!$H$5:$H$64,MATCH(B263,Produits!$G$5:$G$64,0)),""))</f>
        <v/>
      </c>
      <c r="F263" s="28" t="n"/>
      <c r="G263" s="32" t="n"/>
      <c r="H263" s="11">
        <f>IF(G263="","",G263-TODAY())</f>
        <v/>
      </c>
      <c r="I263" s="11">
        <f>IF(G263="","",IF(J263="Oui","Terminé",IF(H263&lt;0,"PÉRIMÉ",IF(H263&lt;=1,"AUJOURD'HUI",IF(H263&lt;=3,"BIENTÔT","OK")))))</f>
        <v/>
      </c>
      <c r="J263" s="29" t="n"/>
    </row>
    <row r="264">
      <c r="A264" s="32" t="n"/>
      <c r="B264" s="28" t="n"/>
      <c r="C264" s="28" t="n"/>
      <c r="D264" s="29" t="n"/>
      <c r="E264" s="11">
        <f>IF(B264="","",IFERROR(INDEX(Produits!$H$5:$H$64,MATCH(B264,Produits!$G$5:$G$64,0)),""))</f>
        <v/>
      </c>
      <c r="F264" s="28" t="n"/>
      <c r="G264" s="32" t="n"/>
      <c r="H264" s="11">
        <f>IF(G264="","",G264-TODAY())</f>
        <v/>
      </c>
      <c r="I264" s="11">
        <f>IF(G264="","",IF(J264="Oui","Terminé",IF(H264&lt;0,"PÉRIMÉ",IF(H264&lt;=1,"AUJOURD'HUI",IF(H264&lt;=3,"BIENTÔT","OK")))))</f>
        <v/>
      </c>
      <c r="J264" s="29" t="n"/>
    </row>
    <row r="265">
      <c r="A265" s="32" t="n"/>
      <c r="B265" s="28" t="n"/>
      <c r="C265" s="28" t="n"/>
      <c r="D265" s="29" t="n"/>
      <c r="E265" s="11">
        <f>IF(B265="","",IFERROR(INDEX(Produits!$H$5:$H$64,MATCH(B265,Produits!$G$5:$G$64,0)),""))</f>
        <v/>
      </c>
      <c r="F265" s="28" t="n"/>
      <c r="G265" s="32" t="n"/>
      <c r="H265" s="11">
        <f>IF(G265="","",G265-TODAY())</f>
        <v/>
      </c>
      <c r="I265" s="11">
        <f>IF(G265="","",IF(J265="Oui","Terminé",IF(H265&lt;0,"PÉRIMÉ",IF(H265&lt;=1,"AUJOURD'HUI",IF(H265&lt;=3,"BIENTÔT","OK")))))</f>
        <v/>
      </c>
      <c r="J265" s="29" t="n"/>
    </row>
    <row r="266">
      <c r="A266" s="32" t="n"/>
      <c r="B266" s="28" t="n"/>
      <c r="C266" s="28" t="n"/>
      <c r="D266" s="29" t="n"/>
      <c r="E266" s="11">
        <f>IF(B266="","",IFERROR(INDEX(Produits!$H$5:$H$64,MATCH(B266,Produits!$G$5:$G$64,0)),""))</f>
        <v/>
      </c>
      <c r="F266" s="28" t="n"/>
      <c r="G266" s="32" t="n"/>
      <c r="H266" s="11">
        <f>IF(G266="","",G266-TODAY())</f>
        <v/>
      </c>
      <c r="I266" s="11">
        <f>IF(G266="","",IF(J266="Oui","Terminé",IF(H266&lt;0,"PÉRIMÉ",IF(H266&lt;=1,"AUJOURD'HUI",IF(H266&lt;=3,"BIENTÔT","OK")))))</f>
        <v/>
      </c>
      <c r="J266" s="29" t="n"/>
    </row>
    <row r="267">
      <c r="A267" s="32" t="n"/>
      <c r="B267" s="28" t="n"/>
      <c r="C267" s="28" t="n"/>
      <c r="D267" s="29" t="n"/>
      <c r="E267" s="11">
        <f>IF(B267="","",IFERROR(INDEX(Produits!$H$5:$H$64,MATCH(B267,Produits!$G$5:$G$64,0)),""))</f>
        <v/>
      </c>
      <c r="F267" s="28" t="n"/>
      <c r="G267" s="32" t="n"/>
      <c r="H267" s="11">
        <f>IF(G267="","",G267-TODAY())</f>
        <v/>
      </c>
      <c r="I267" s="11">
        <f>IF(G267="","",IF(J267="Oui","Terminé",IF(H267&lt;0,"PÉRIMÉ",IF(H267&lt;=1,"AUJOURD'HUI",IF(H267&lt;=3,"BIENTÔT","OK")))))</f>
        <v/>
      </c>
      <c r="J267" s="29" t="n"/>
    </row>
    <row r="268">
      <c r="A268" s="32" t="n"/>
      <c r="B268" s="28" t="n"/>
      <c r="C268" s="28" t="n"/>
      <c r="D268" s="29" t="n"/>
      <c r="E268" s="11">
        <f>IF(B268="","",IFERROR(INDEX(Produits!$H$5:$H$64,MATCH(B268,Produits!$G$5:$G$64,0)),""))</f>
        <v/>
      </c>
      <c r="F268" s="28" t="n"/>
      <c r="G268" s="32" t="n"/>
      <c r="H268" s="11">
        <f>IF(G268="","",G268-TODAY())</f>
        <v/>
      </c>
      <c r="I268" s="11">
        <f>IF(G268="","",IF(J268="Oui","Terminé",IF(H268&lt;0,"PÉRIMÉ",IF(H268&lt;=1,"AUJOURD'HUI",IF(H268&lt;=3,"BIENTÔT","OK")))))</f>
        <v/>
      </c>
      <c r="J268" s="29" t="n"/>
    </row>
    <row r="269">
      <c r="A269" s="32" t="n"/>
      <c r="B269" s="28" t="n"/>
      <c r="C269" s="28" t="n"/>
      <c r="D269" s="29" t="n"/>
      <c r="E269" s="11">
        <f>IF(B269="","",IFERROR(INDEX(Produits!$H$5:$H$64,MATCH(B269,Produits!$G$5:$G$64,0)),""))</f>
        <v/>
      </c>
      <c r="F269" s="28" t="n"/>
      <c r="G269" s="32" t="n"/>
      <c r="H269" s="11">
        <f>IF(G269="","",G269-TODAY())</f>
        <v/>
      </c>
      <c r="I269" s="11">
        <f>IF(G269="","",IF(J269="Oui","Terminé",IF(H269&lt;0,"PÉRIMÉ",IF(H269&lt;=1,"AUJOURD'HUI",IF(H269&lt;=3,"BIENTÔT","OK")))))</f>
        <v/>
      </c>
      <c r="J269" s="29" t="n"/>
    </row>
    <row r="270">
      <c r="A270" s="32" t="n"/>
      <c r="B270" s="28" t="n"/>
      <c r="C270" s="28" t="n"/>
      <c r="D270" s="29" t="n"/>
      <c r="E270" s="11">
        <f>IF(B270="","",IFERROR(INDEX(Produits!$H$5:$H$64,MATCH(B270,Produits!$G$5:$G$64,0)),""))</f>
        <v/>
      </c>
      <c r="F270" s="28" t="n"/>
      <c r="G270" s="32" t="n"/>
      <c r="H270" s="11">
        <f>IF(G270="","",G270-TODAY())</f>
        <v/>
      </c>
      <c r="I270" s="11">
        <f>IF(G270="","",IF(J270="Oui","Terminé",IF(H270&lt;0,"PÉRIMÉ",IF(H270&lt;=1,"AUJOURD'HUI",IF(H270&lt;=3,"BIENTÔT","OK")))))</f>
        <v/>
      </c>
      <c r="J270" s="29" t="n"/>
    </row>
    <row r="271">
      <c r="A271" s="32" t="n"/>
      <c r="B271" s="28" t="n"/>
      <c r="C271" s="28" t="n"/>
      <c r="D271" s="29" t="n"/>
      <c r="E271" s="11">
        <f>IF(B271="","",IFERROR(INDEX(Produits!$H$5:$H$64,MATCH(B271,Produits!$G$5:$G$64,0)),""))</f>
        <v/>
      </c>
      <c r="F271" s="28" t="n"/>
      <c r="G271" s="32" t="n"/>
      <c r="H271" s="11">
        <f>IF(G271="","",G271-TODAY())</f>
        <v/>
      </c>
      <c r="I271" s="11">
        <f>IF(G271="","",IF(J271="Oui","Terminé",IF(H271&lt;0,"PÉRIMÉ",IF(H271&lt;=1,"AUJOURD'HUI",IF(H271&lt;=3,"BIENTÔT","OK")))))</f>
        <v/>
      </c>
      <c r="J271" s="29" t="n"/>
    </row>
    <row r="272">
      <c r="A272" s="32" t="n"/>
      <c r="B272" s="28" t="n"/>
      <c r="C272" s="28" t="n"/>
      <c r="D272" s="29" t="n"/>
      <c r="E272" s="11">
        <f>IF(B272="","",IFERROR(INDEX(Produits!$H$5:$H$64,MATCH(B272,Produits!$G$5:$G$64,0)),""))</f>
        <v/>
      </c>
      <c r="F272" s="28" t="n"/>
      <c r="G272" s="32" t="n"/>
      <c r="H272" s="11">
        <f>IF(G272="","",G272-TODAY())</f>
        <v/>
      </c>
      <c r="I272" s="11">
        <f>IF(G272="","",IF(J272="Oui","Terminé",IF(H272&lt;0,"PÉRIMÉ",IF(H272&lt;=1,"AUJOURD'HUI",IF(H272&lt;=3,"BIENTÔT","OK")))))</f>
        <v/>
      </c>
      <c r="J272" s="29" t="n"/>
    </row>
    <row r="273">
      <c r="A273" s="32" t="n"/>
      <c r="B273" s="28" t="n"/>
      <c r="C273" s="28" t="n"/>
      <c r="D273" s="29" t="n"/>
      <c r="E273" s="11">
        <f>IF(B273="","",IFERROR(INDEX(Produits!$H$5:$H$64,MATCH(B273,Produits!$G$5:$G$64,0)),""))</f>
        <v/>
      </c>
      <c r="F273" s="28" t="n"/>
      <c r="G273" s="32" t="n"/>
      <c r="H273" s="11">
        <f>IF(G273="","",G273-TODAY())</f>
        <v/>
      </c>
      <c r="I273" s="11">
        <f>IF(G273="","",IF(J273="Oui","Terminé",IF(H273&lt;0,"PÉRIMÉ",IF(H273&lt;=1,"AUJOURD'HUI",IF(H273&lt;=3,"BIENTÔT","OK")))))</f>
        <v/>
      </c>
      <c r="J273" s="29" t="n"/>
    </row>
    <row r="274">
      <c r="A274" s="32" t="n"/>
      <c r="B274" s="28" t="n"/>
      <c r="C274" s="28" t="n"/>
      <c r="D274" s="29" t="n"/>
      <c r="E274" s="11">
        <f>IF(B274="","",IFERROR(INDEX(Produits!$H$5:$H$64,MATCH(B274,Produits!$G$5:$G$64,0)),""))</f>
        <v/>
      </c>
      <c r="F274" s="28" t="n"/>
      <c r="G274" s="32" t="n"/>
      <c r="H274" s="11">
        <f>IF(G274="","",G274-TODAY())</f>
        <v/>
      </c>
      <c r="I274" s="11">
        <f>IF(G274="","",IF(J274="Oui","Terminé",IF(H274&lt;0,"PÉRIMÉ",IF(H274&lt;=1,"AUJOURD'HUI",IF(H274&lt;=3,"BIENTÔT","OK")))))</f>
        <v/>
      </c>
      <c r="J274" s="29" t="n"/>
    </row>
    <row r="275">
      <c r="A275" s="32" t="n"/>
      <c r="B275" s="28" t="n"/>
      <c r="C275" s="28" t="n"/>
      <c r="D275" s="29" t="n"/>
      <c r="E275" s="11">
        <f>IF(B275="","",IFERROR(INDEX(Produits!$H$5:$H$64,MATCH(B275,Produits!$G$5:$G$64,0)),""))</f>
        <v/>
      </c>
      <c r="F275" s="28" t="n"/>
      <c r="G275" s="32" t="n"/>
      <c r="H275" s="11">
        <f>IF(G275="","",G275-TODAY())</f>
        <v/>
      </c>
      <c r="I275" s="11">
        <f>IF(G275="","",IF(J275="Oui","Terminé",IF(H275&lt;0,"PÉRIMÉ",IF(H275&lt;=1,"AUJOURD'HUI",IF(H275&lt;=3,"BIENTÔT","OK")))))</f>
        <v/>
      </c>
      <c r="J275" s="29" t="n"/>
    </row>
    <row r="276">
      <c r="A276" s="32" t="n"/>
      <c r="B276" s="28" t="n"/>
      <c r="C276" s="28" t="n"/>
      <c r="D276" s="29" t="n"/>
      <c r="E276" s="11">
        <f>IF(B276="","",IFERROR(INDEX(Produits!$H$5:$H$64,MATCH(B276,Produits!$G$5:$G$64,0)),""))</f>
        <v/>
      </c>
      <c r="F276" s="28" t="n"/>
      <c r="G276" s="32" t="n"/>
      <c r="H276" s="11">
        <f>IF(G276="","",G276-TODAY())</f>
        <v/>
      </c>
      <c r="I276" s="11">
        <f>IF(G276="","",IF(J276="Oui","Terminé",IF(H276&lt;0,"PÉRIMÉ",IF(H276&lt;=1,"AUJOURD'HUI",IF(H276&lt;=3,"BIENTÔT","OK")))))</f>
        <v/>
      </c>
      <c r="J276" s="29" t="n"/>
    </row>
    <row r="277">
      <c r="A277" s="32" t="n"/>
      <c r="B277" s="28" t="n"/>
      <c r="C277" s="28" t="n"/>
      <c r="D277" s="29" t="n"/>
      <c r="E277" s="11">
        <f>IF(B277="","",IFERROR(INDEX(Produits!$H$5:$H$64,MATCH(B277,Produits!$G$5:$G$64,0)),""))</f>
        <v/>
      </c>
      <c r="F277" s="28" t="n"/>
      <c r="G277" s="32" t="n"/>
      <c r="H277" s="11">
        <f>IF(G277="","",G277-TODAY())</f>
        <v/>
      </c>
      <c r="I277" s="11">
        <f>IF(G277="","",IF(J277="Oui","Terminé",IF(H277&lt;0,"PÉRIMÉ",IF(H277&lt;=1,"AUJOURD'HUI",IF(H277&lt;=3,"BIENTÔT","OK")))))</f>
        <v/>
      </c>
      <c r="J277" s="29" t="n"/>
    </row>
    <row r="278">
      <c r="A278" s="32" t="n"/>
      <c r="B278" s="28" t="n"/>
      <c r="C278" s="28" t="n"/>
      <c r="D278" s="29" t="n"/>
      <c r="E278" s="11">
        <f>IF(B278="","",IFERROR(INDEX(Produits!$H$5:$H$64,MATCH(B278,Produits!$G$5:$G$64,0)),""))</f>
        <v/>
      </c>
      <c r="F278" s="28" t="n"/>
      <c r="G278" s="32" t="n"/>
      <c r="H278" s="11">
        <f>IF(G278="","",G278-TODAY())</f>
        <v/>
      </c>
      <c r="I278" s="11">
        <f>IF(G278="","",IF(J278="Oui","Terminé",IF(H278&lt;0,"PÉRIMÉ",IF(H278&lt;=1,"AUJOURD'HUI",IF(H278&lt;=3,"BIENTÔT","OK")))))</f>
        <v/>
      </c>
      <c r="J278" s="29" t="n"/>
    </row>
    <row r="279">
      <c r="A279" s="32" t="n"/>
      <c r="B279" s="28" t="n"/>
      <c r="C279" s="28" t="n"/>
      <c r="D279" s="29" t="n"/>
      <c r="E279" s="11">
        <f>IF(B279="","",IFERROR(INDEX(Produits!$H$5:$H$64,MATCH(B279,Produits!$G$5:$G$64,0)),""))</f>
        <v/>
      </c>
      <c r="F279" s="28" t="n"/>
      <c r="G279" s="32" t="n"/>
      <c r="H279" s="11">
        <f>IF(G279="","",G279-TODAY())</f>
        <v/>
      </c>
      <c r="I279" s="11">
        <f>IF(G279="","",IF(J279="Oui","Terminé",IF(H279&lt;0,"PÉRIMÉ",IF(H279&lt;=1,"AUJOURD'HUI",IF(H279&lt;=3,"BIENTÔT","OK")))))</f>
        <v/>
      </c>
      <c r="J279" s="29" t="n"/>
    </row>
    <row r="280">
      <c r="A280" s="32" t="n"/>
      <c r="B280" s="28" t="n"/>
      <c r="C280" s="28" t="n"/>
      <c r="D280" s="29" t="n"/>
      <c r="E280" s="11">
        <f>IF(B280="","",IFERROR(INDEX(Produits!$H$5:$H$64,MATCH(B280,Produits!$G$5:$G$64,0)),""))</f>
        <v/>
      </c>
      <c r="F280" s="28" t="n"/>
      <c r="G280" s="32" t="n"/>
      <c r="H280" s="11">
        <f>IF(G280="","",G280-TODAY())</f>
        <v/>
      </c>
      <c r="I280" s="11">
        <f>IF(G280="","",IF(J280="Oui","Terminé",IF(H280&lt;0,"PÉRIMÉ",IF(H280&lt;=1,"AUJOURD'HUI",IF(H280&lt;=3,"BIENTÔT","OK")))))</f>
        <v/>
      </c>
      <c r="J280" s="29" t="n"/>
    </row>
    <row r="281">
      <c r="A281" s="32" t="n"/>
      <c r="B281" s="28" t="n"/>
      <c r="C281" s="28" t="n"/>
      <c r="D281" s="29" t="n"/>
      <c r="E281" s="11">
        <f>IF(B281="","",IFERROR(INDEX(Produits!$H$5:$H$64,MATCH(B281,Produits!$G$5:$G$64,0)),""))</f>
        <v/>
      </c>
      <c r="F281" s="28" t="n"/>
      <c r="G281" s="32" t="n"/>
      <c r="H281" s="11">
        <f>IF(G281="","",G281-TODAY())</f>
        <v/>
      </c>
      <c r="I281" s="11">
        <f>IF(G281="","",IF(J281="Oui","Terminé",IF(H281&lt;0,"PÉRIMÉ",IF(H281&lt;=1,"AUJOURD'HUI",IF(H281&lt;=3,"BIENTÔT","OK")))))</f>
        <v/>
      </c>
      <c r="J281" s="29" t="n"/>
    </row>
    <row r="282">
      <c r="A282" s="32" t="n"/>
      <c r="B282" s="28" t="n"/>
      <c r="C282" s="28" t="n"/>
      <c r="D282" s="29" t="n"/>
      <c r="E282" s="11">
        <f>IF(B282="","",IFERROR(INDEX(Produits!$H$5:$H$64,MATCH(B282,Produits!$G$5:$G$64,0)),""))</f>
        <v/>
      </c>
      <c r="F282" s="28" t="n"/>
      <c r="G282" s="32" t="n"/>
      <c r="H282" s="11">
        <f>IF(G282="","",G282-TODAY())</f>
        <v/>
      </c>
      <c r="I282" s="11">
        <f>IF(G282="","",IF(J282="Oui","Terminé",IF(H282&lt;0,"PÉRIMÉ",IF(H282&lt;=1,"AUJOURD'HUI",IF(H282&lt;=3,"BIENTÔT","OK")))))</f>
        <v/>
      </c>
      <c r="J282" s="29" t="n"/>
    </row>
    <row r="283">
      <c r="A283" s="32" t="n"/>
      <c r="B283" s="28" t="n"/>
      <c r="C283" s="28" t="n"/>
      <c r="D283" s="29" t="n"/>
      <c r="E283" s="11">
        <f>IF(B283="","",IFERROR(INDEX(Produits!$H$5:$H$64,MATCH(B283,Produits!$G$5:$G$64,0)),""))</f>
        <v/>
      </c>
      <c r="F283" s="28" t="n"/>
      <c r="G283" s="32" t="n"/>
      <c r="H283" s="11">
        <f>IF(G283="","",G283-TODAY())</f>
        <v/>
      </c>
      <c r="I283" s="11">
        <f>IF(G283="","",IF(J283="Oui","Terminé",IF(H283&lt;0,"PÉRIMÉ",IF(H283&lt;=1,"AUJOURD'HUI",IF(H283&lt;=3,"BIENTÔT","OK")))))</f>
        <v/>
      </c>
      <c r="J283" s="29" t="n"/>
    </row>
    <row r="284">
      <c r="A284" s="32" t="n"/>
      <c r="B284" s="28" t="n"/>
      <c r="C284" s="28" t="n"/>
      <c r="D284" s="29" t="n"/>
      <c r="E284" s="11">
        <f>IF(B284="","",IFERROR(INDEX(Produits!$H$5:$H$64,MATCH(B284,Produits!$G$5:$G$64,0)),""))</f>
        <v/>
      </c>
      <c r="F284" s="28" t="n"/>
      <c r="G284" s="32" t="n"/>
      <c r="H284" s="11">
        <f>IF(G284="","",G284-TODAY())</f>
        <v/>
      </c>
      <c r="I284" s="11">
        <f>IF(G284="","",IF(J284="Oui","Terminé",IF(H284&lt;0,"PÉRIMÉ",IF(H284&lt;=1,"AUJOURD'HUI",IF(H284&lt;=3,"BIENTÔT","OK")))))</f>
        <v/>
      </c>
      <c r="J284" s="29" t="n"/>
    </row>
    <row r="285">
      <c r="A285" s="32" t="n"/>
      <c r="B285" s="28" t="n"/>
      <c r="C285" s="28" t="n"/>
      <c r="D285" s="29" t="n"/>
      <c r="E285" s="11">
        <f>IF(B285="","",IFERROR(INDEX(Produits!$H$5:$H$64,MATCH(B285,Produits!$G$5:$G$64,0)),""))</f>
        <v/>
      </c>
      <c r="F285" s="28" t="n"/>
      <c r="G285" s="32" t="n"/>
      <c r="H285" s="11">
        <f>IF(G285="","",G285-TODAY())</f>
        <v/>
      </c>
      <c r="I285" s="11">
        <f>IF(G285="","",IF(J285="Oui","Terminé",IF(H285&lt;0,"PÉRIMÉ",IF(H285&lt;=1,"AUJOURD'HUI",IF(H285&lt;=3,"BIENTÔT","OK")))))</f>
        <v/>
      </c>
      <c r="J285" s="29" t="n"/>
    </row>
    <row r="286">
      <c r="A286" s="32" t="n"/>
      <c r="B286" s="28" t="n"/>
      <c r="C286" s="28" t="n"/>
      <c r="D286" s="29" t="n"/>
      <c r="E286" s="11">
        <f>IF(B286="","",IFERROR(INDEX(Produits!$H$5:$H$64,MATCH(B286,Produits!$G$5:$G$64,0)),""))</f>
        <v/>
      </c>
      <c r="F286" s="28" t="n"/>
      <c r="G286" s="32" t="n"/>
      <c r="H286" s="11">
        <f>IF(G286="","",G286-TODAY())</f>
        <v/>
      </c>
      <c r="I286" s="11">
        <f>IF(G286="","",IF(J286="Oui","Terminé",IF(H286&lt;0,"PÉRIMÉ",IF(H286&lt;=1,"AUJOURD'HUI",IF(H286&lt;=3,"BIENTÔT","OK")))))</f>
        <v/>
      </c>
      <c r="J286" s="29" t="n"/>
    </row>
    <row r="287">
      <c r="A287" s="32" t="n"/>
      <c r="B287" s="28" t="n"/>
      <c r="C287" s="28" t="n"/>
      <c r="D287" s="29" t="n"/>
      <c r="E287" s="11">
        <f>IF(B287="","",IFERROR(INDEX(Produits!$H$5:$H$64,MATCH(B287,Produits!$G$5:$G$64,0)),""))</f>
        <v/>
      </c>
      <c r="F287" s="28" t="n"/>
      <c r="G287" s="32" t="n"/>
      <c r="H287" s="11">
        <f>IF(G287="","",G287-TODAY())</f>
        <v/>
      </c>
      <c r="I287" s="11">
        <f>IF(G287="","",IF(J287="Oui","Terminé",IF(H287&lt;0,"PÉRIMÉ",IF(H287&lt;=1,"AUJOURD'HUI",IF(H287&lt;=3,"BIENTÔT","OK")))))</f>
        <v/>
      </c>
      <c r="J287" s="29" t="n"/>
    </row>
    <row r="288">
      <c r="A288" s="32" t="n"/>
      <c r="B288" s="28" t="n"/>
      <c r="C288" s="28" t="n"/>
      <c r="D288" s="29" t="n"/>
      <c r="E288" s="11">
        <f>IF(B288="","",IFERROR(INDEX(Produits!$H$5:$H$64,MATCH(B288,Produits!$G$5:$G$64,0)),""))</f>
        <v/>
      </c>
      <c r="F288" s="28" t="n"/>
      <c r="G288" s="32" t="n"/>
      <c r="H288" s="11">
        <f>IF(G288="","",G288-TODAY())</f>
        <v/>
      </c>
      <c r="I288" s="11">
        <f>IF(G288="","",IF(J288="Oui","Terminé",IF(H288&lt;0,"PÉRIMÉ",IF(H288&lt;=1,"AUJOURD'HUI",IF(H288&lt;=3,"BIENTÔT","OK")))))</f>
        <v/>
      </c>
      <c r="J288" s="29" t="n"/>
    </row>
    <row r="289">
      <c r="A289" s="32" t="n"/>
      <c r="B289" s="28" t="n"/>
      <c r="C289" s="28" t="n"/>
      <c r="D289" s="29" t="n"/>
      <c r="E289" s="11">
        <f>IF(B289="","",IFERROR(INDEX(Produits!$H$5:$H$64,MATCH(B289,Produits!$G$5:$G$64,0)),""))</f>
        <v/>
      </c>
      <c r="F289" s="28" t="n"/>
      <c r="G289" s="32" t="n"/>
      <c r="H289" s="11">
        <f>IF(G289="","",G289-TODAY())</f>
        <v/>
      </c>
      <c r="I289" s="11">
        <f>IF(G289="","",IF(J289="Oui","Terminé",IF(H289&lt;0,"PÉRIMÉ",IF(H289&lt;=1,"AUJOURD'HUI",IF(H289&lt;=3,"BIENTÔT","OK")))))</f>
        <v/>
      </c>
      <c r="J289" s="29" t="n"/>
    </row>
    <row r="290">
      <c r="A290" s="32" t="n"/>
      <c r="B290" s="28" t="n"/>
      <c r="C290" s="28" t="n"/>
      <c r="D290" s="29" t="n"/>
      <c r="E290" s="11">
        <f>IF(B290="","",IFERROR(INDEX(Produits!$H$5:$H$64,MATCH(B290,Produits!$G$5:$G$64,0)),""))</f>
        <v/>
      </c>
      <c r="F290" s="28" t="n"/>
      <c r="G290" s="32" t="n"/>
      <c r="H290" s="11">
        <f>IF(G290="","",G290-TODAY())</f>
        <v/>
      </c>
      <c r="I290" s="11">
        <f>IF(G290="","",IF(J290="Oui","Terminé",IF(H290&lt;0,"PÉRIMÉ",IF(H290&lt;=1,"AUJOURD'HUI",IF(H290&lt;=3,"BIENTÔT","OK")))))</f>
        <v/>
      </c>
      <c r="J290" s="29" t="n"/>
    </row>
    <row r="291">
      <c r="A291" s="32" t="n"/>
      <c r="B291" s="28" t="n"/>
      <c r="C291" s="28" t="n"/>
      <c r="D291" s="29" t="n"/>
      <c r="E291" s="11">
        <f>IF(B291="","",IFERROR(INDEX(Produits!$H$5:$H$64,MATCH(B291,Produits!$G$5:$G$64,0)),""))</f>
        <v/>
      </c>
      <c r="F291" s="28" t="n"/>
      <c r="G291" s="32" t="n"/>
      <c r="H291" s="11">
        <f>IF(G291="","",G291-TODAY())</f>
        <v/>
      </c>
      <c r="I291" s="11">
        <f>IF(G291="","",IF(J291="Oui","Terminé",IF(H291&lt;0,"PÉRIMÉ",IF(H291&lt;=1,"AUJOURD'HUI",IF(H291&lt;=3,"BIENTÔT","OK")))))</f>
        <v/>
      </c>
      <c r="J291" s="29" t="n"/>
    </row>
    <row r="292">
      <c r="A292" s="32" t="n"/>
      <c r="B292" s="28" t="n"/>
      <c r="C292" s="28" t="n"/>
      <c r="D292" s="29" t="n"/>
      <c r="E292" s="11">
        <f>IF(B292="","",IFERROR(INDEX(Produits!$H$5:$H$64,MATCH(B292,Produits!$G$5:$G$64,0)),""))</f>
        <v/>
      </c>
      <c r="F292" s="28" t="n"/>
      <c r="G292" s="32" t="n"/>
      <c r="H292" s="11">
        <f>IF(G292="","",G292-TODAY())</f>
        <v/>
      </c>
      <c r="I292" s="11">
        <f>IF(G292="","",IF(J292="Oui","Terminé",IF(H292&lt;0,"PÉRIMÉ",IF(H292&lt;=1,"AUJOURD'HUI",IF(H292&lt;=3,"BIENTÔT","OK")))))</f>
        <v/>
      </c>
      <c r="J292" s="29" t="n"/>
    </row>
    <row r="293">
      <c r="A293" s="32" t="n"/>
      <c r="B293" s="28" t="n"/>
      <c r="C293" s="28" t="n"/>
      <c r="D293" s="29" t="n"/>
      <c r="E293" s="11">
        <f>IF(B293="","",IFERROR(INDEX(Produits!$H$5:$H$64,MATCH(B293,Produits!$G$5:$G$64,0)),""))</f>
        <v/>
      </c>
      <c r="F293" s="28" t="n"/>
      <c r="G293" s="32" t="n"/>
      <c r="H293" s="11">
        <f>IF(G293="","",G293-TODAY())</f>
        <v/>
      </c>
      <c r="I293" s="11">
        <f>IF(G293="","",IF(J293="Oui","Terminé",IF(H293&lt;0,"PÉRIMÉ",IF(H293&lt;=1,"AUJOURD'HUI",IF(H293&lt;=3,"BIENTÔT","OK")))))</f>
        <v/>
      </c>
      <c r="J293" s="29" t="n"/>
    </row>
    <row r="294">
      <c r="A294" s="32" t="n"/>
      <c r="B294" s="28" t="n"/>
      <c r="C294" s="28" t="n"/>
      <c r="D294" s="29" t="n"/>
      <c r="E294" s="11">
        <f>IF(B294="","",IFERROR(INDEX(Produits!$H$5:$H$64,MATCH(B294,Produits!$G$5:$G$64,0)),""))</f>
        <v/>
      </c>
      <c r="F294" s="28" t="n"/>
      <c r="G294" s="32" t="n"/>
      <c r="H294" s="11">
        <f>IF(G294="","",G294-TODAY())</f>
        <v/>
      </c>
      <c r="I294" s="11">
        <f>IF(G294="","",IF(J294="Oui","Terminé",IF(H294&lt;0,"PÉRIMÉ",IF(H294&lt;=1,"AUJOURD'HUI",IF(H294&lt;=3,"BIENTÔT","OK")))))</f>
        <v/>
      </c>
      <c r="J294" s="29" t="n"/>
    </row>
    <row r="295">
      <c r="A295" s="32" t="n"/>
      <c r="B295" s="28" t="n"/>
      <c r="C295" s="28" t="n"/>
      <c r="D295" s="29" t="n"/>
      <c r="E295" s="11">
        <f>IF(B295="","",IFERROR(INDEX(Produits!$H$5:$H$64,MATCH(B295,Produits!$G$5:$G$64,0)),""))</f>
        <v/>
      </c>
      <c r="F295" s="28" t="n"/>
      <c r="G295" s="32" t="n"/>
      <c r="H295" s="11">
        <f>IF(G295="","",G295-TODAY())</f>
        <v/>
      </c>
      <c r="I295" s="11">
        <f>IF(G295="","",IF(J295="Oui","Terminé",IF(H295&lt;0,"PÉRIMÉ",IF(H295&lt;=1,"AUJOURD'HUI",IF(H295&lt;=3,"BIENTÔT","OK")))))</f>
        <v/>
      </c>
      <c r="J295" s="29" t="n"/>
    </row>
    <row r="296">
      <c r="A296" s="32" t="n"/>
      <c r="B296" s="28" t="n"/>
      <c r="C296" s="28" t="n"/>
      <c r="D296" s="29" t="n"/>
      <c r="E296" s="11">
        <f>IF(B296="","",IFERROR(INDEX(Produits!$H$5:$H$64,MATCH(B296,Produits!$G$5:$G$64,0)),""))</f>
        <v/>
      </c>
      <c r="F296" s="28" t="n"/>
      <c r="G296" s="32" t="n"/>
      <c r="H296" s="11">
        <f>IF(G296="","",G296-TODAY())</f>
        <v/>
      </c>
      <c r="I296" s="11">
        <f>IF(G296="","",IF(J296="Oui","Terminé",IF(H296&lt;0,"PÉRIMÉ",IF(H296&lt;=1,"AUJOURD'HUI",IF(H296&lt;=3,"BIENTÔT","OK")))))</f>
        <v/>
      </c>
      <c r="J296" s="29" t="n"/>
    </row>
    <row r="297">
      <c r="A297" s="32" t="n"/>
      <c r="B297" s="28" t="n"/>
      <c r="C297" s="28" t="n"/>
      <c r="D297" s="29" t="n"/>
      <c r="E297" s="11">
        <f>IF(B297="","",IFERROR(INDEX(Produits!$H$5:$H$64,MATCH(B297,Produits!$G$5:$G$64,0)),""))</f>
        <v/>
      </c>
      <c r="F297" s="28" t="n"/>
      <c r="G297" s="32" t="n"/>
      <c r="H297" s="11">
        <f>IF(G297="","",G297-TODAY())</f>
        <v/>
      </c>
      <c r="I297" s="11">
        <f>IF(G297="","",IF(J297="Oui","Terminé",IF(H297&lt;0,"PÉRIMÉ",IF(H297&lt;=1,"AUJOURD'HUI",IF(H297&lt;=3,"BIENTÔT","OK")))))</f>
        <v/>
      </c>
      <c r="J297" s="29" t="n"/>
    </row>
    <row r="298">
      <c r="A298" s="32" t="n"/>
      <c r="B298" s="28" t="n"/>
      <c r="C298" s="28" t="n"/>
      <c r="D298" s="29" t="n"/>
      <c r="E298" s="11">
        <f>IF(B298="","",IFERROR(INDEX(Produits!$H$5:$H$64,MATCH(B298,Produits!$G$5:$G$64,0)),""))</f>
        <v/>
      </c>
      <c r="F298" s="28" t="n"/>
      <c r="G298" s="32" t="n"/>
      <c r="H298" s="11">
        <f>IF(G298="","",G298-TODAY())</f>
        <v/>
      </c>
      <c r="I298" s="11">
        <f>IF(G298="","",IF(J298="Oui","Terminé",IF(H298&lt;0,"PÉRIMÉ",IF(H298&lt;=1,"AUJOURD'HUI",IF(H298&lt;=3,"BIENTÔT","OK")))))</f>
        <v/>
      </c>
      <c r="J298" s="29" t="n"/>
    </row>
    <row r="299">
      <c r="A299" s="32" t="n"/>
      <c r="B299" s="28" t="n"/>
      <c r="C299" s="28" t="n"/>
      <c r="D299" s="29" t="n"/>
      <c r="E299" s="11">
        <f>IF(B299="","",IFERROR(INDEX(Produits!$H$5:$H$64,MATCH(B299,Produits!$G$5:$G$64,0)),""))</f>
        <v/>
      </c>
      <c r="F299" s="28" t="n"/>
      <c r="G299" s="32" t="n"/>
      <c r="H299" s="11">
        <f>IF(G299="","",G299-TODAY())</f>
        <v/>
      </c>
      <c r="I299" s="11">
        <f>IF(G299="","",IF(J299="Oui","Terminé",IF(H299&lt;0,"PÉRIMÉ",IF(H299&lt;=1,"AUJOURD'HUI",IF(H299&lt;=3,"BIENTÔT","OK")))))</f>
        <v/>
      </c>
      <c r="J299" s="29" t="n"/>
    </row>
    <row r="300">
      <c r="A300" s="32" t="n"/>
      <c r="B300" s="28" t="n"/>
      <c r="C300" s="28" t="n"/>
      <c r="D300" s="29" t="n"/>
      <c r="E300" s="11">
        <f>IF(B300="","",IFERROR(INDEX(Produits!$H$5:$H$64,MATCH(B300,Produits!$G$5:$G$64,0)),""))</f>
        <v/>
      </c>
      <c r="F300" s="28" t="n"/>
      <c r="G300" s="32" t="n"/>
      <c r="H300" s="11">
        <f>IF(G300="","",G300-TODAY())</f>
        <v/>
      </c>
      <c r="I300" s="11">
        <f>IF(G300="","",IF(J300="Oui","Terminé",IF(H300&lt;0,"PÉRIMÉ",IF(H300&lt;=1,"AUJOURD'HUI",IF(H300&lt;=3,"BIENTÔT","OK")))))</f>
        <v/>
      </c>
      <c r="J300" s="29" t="n"/>
    </row>
    <row r="301">
      <c r="A301" s="32" t="n"/>
      <c r="B301" s="28" t="n"/>
      <c r="C301" s="28" t="n"/>
      <c r="D301" s="29" t="n"/>
      <c r="E301" s="11">
        <f>IF(B301="","",IFERROR(INDEX(Produits!$H$5:$H$64,MATCH(B301,Produits!$G$5:$G$64,0)),""))</f>
        <v/>
      </c>
      <c r="F301" s="28" t="n"/>
      <c r="G301" s="32" t="n"/>
      <c r="H301" s="11">
        <f>IF(G301="","",G301-TODAY())</f>
        <v/>
      </c>
      <c r="I301" s="11">
        <f>IF(G301="","",IF(J301="Oui","Terminé",IF(H301&lt;0,"PÉRIMÉ",IF(H301&lt;=1,"AUJOURD'HUI",IF(H301&lt;=3,"BIENTÔT","OK")))))</f>
        <v/>
      </c>
      <c r="J301" s="29" t="n"/>
    </row>
    <row r="302">
      <c r="A302" s="32" t="n"/>
      <c r="B302" s="28" t="n"/>
      <c r="C302" s="28" t="n"/>
      <c r="D302" s="29" t="n"/>
      <c r="E302" s="11">
        <f>IF(B302="","",IFERROR(INDEX(Produits!$H$5:$H$64,MATCH(B302,Produits!$G$5:$G$64,0)),""))</f>
        <v/>
      </c>
      <c r="F302" s="28" t="n"/>
      <c r="G302" s="32" t="n"/>
      <c r="H302" s="11">
        <f>IF(G302="","",G302-TODAY())</f>
        <v/>
      </c>
      <c r="I302" s="11">
        <f>IF(G302="","",IF(J302="Oui","Terminé",IF(H302&lt;0,"PÉRIMÉ",IF(H302&lt;=1,"AUJOURD'HUI",IF(H302&lt;=3,"BIENTÔT","OK")))))</f>
        <v/>
      </c>
      <c r="J302" s="29" t="n"/>
    </row>
    <row r="303">
      <c r="A303" s="32" t="n"/>
      <c r="B303" s="28" t="n"/>
      <c r="C303" s="28" t="n"/>
      <c r="D303" s="29" t="n"/>
      <c r="E303" s="11">
        <f>IF(B303="","",IFERROR(INDEX(Produits!$H$5:$H$64,MATCH(B303,Produits!$G$5:$G$64,0)),""))</f>
        <v/>
      </c>
      <c r="F303" s="28" t="n"/>
      <c r="G303" s="32" t="n"/>
      <c r="H303" s="11">
        <f>IF(G303="","",G303-TODAY())</f>
        <v/>
      </c>
      <c r="I303" s="11">
        <f>IF(G303="","",IF(J303="Oui","Terminé",IF(H303&lt;0,"PÉRIMÉ",IF(H303&lt;=1,"AUJOURD'HUI",IF(H303&lt;=3,"BIENTÔT","OK")))))</f>
        <v/>
      </c>
      <c r="J303" s="29" t="n"/>
    </row>
    <row r="304">
      <c r="A304" s="32" t="n"/>
      <c r="B304" s="28" t="n"/>
      <c r="C304" s="28" t="n"/>
      <c r="D304" s="29" t="n"/>
      <c r="E304" s="11">
        <f>IF(B304="","",IFERROR(INDEX(Produits!$H$5:$H$64,MATCH(B304,Produits!$G$5:$G$64,0)),""))</f>
        <v/>
      </c>
      <c r="F304" s="28" t="n"/>
      <c r="G304" s="32" t="n"/>
      <c r="H304" s="11">
        <f>IF(G304="","",G304-TODAY())</f>
        <v/>
      </c>
      <c r="I304" s="11">
        <f>IF(G304="","",IF(J304="Oui","Terminé",IF(H304&lt;0,"PÉRIMÉ",IF(H304&lt;=1,"AUJOURD'HUI",IF(H304&lt;=3,"BIENTÔT","OK")))))</f>
        <v/>
      </c>
      <c r="J304" s="29" t="n"/>
    </row>
    <row r="305">
      <c r="A305" s="32" t="n"/>
      <c r="B305" s="28" t="n"/>
      <c r="C305" s="28" t="n"/>
      <c r="D305" s="29" t="n"/>
      <c r="E305" s="11">
        <f>IF(B305="","",IFERROR(INDEX(Produits!$H$5:$H$64,MATCH(B305,Produits!$G$5:$G$64,0)),""))</f>
        <v/>
      </c>
      <c r="F305" s="28" t="n"/>
      <c r="G305" s="32" t="n"/>
      <c r="H305" s="11">
        <f>IF(G305="","",G305-TODAY())</f>
        <v/>
      </c>
      <c r="I305" s="11">
        <f>IF(G305="","",IF(J305="Oui","Terminé",IF(H305&lt;0,"PÉRIMÉ",IF(H305&lt;=1,"AUJOURD'HUI",IF(H305&lt;=3,"BIENTÔT","OK")))))</f>
        <v/>
      </c>
      <c r="J305" s="29" t="n"/>
    </row>
    <row r="306">
      <c r="A306" s="32" t="n"/>
      <c r="B306" s="28" t="n"/>
      <c r="C306" s="28" t="n"/>
      <c r="D306" s="29" t="n"/>
      <c r="E306" s="11">
        <f>IF(B306="","",IFERROR(INDEX(Produits!$H$5:$H$64,MATCH(B306,Produits!$G$5:$G$64,0)),""))</f>
        <v/>
      </c>
      <c r="F306" s="28" t="n"/>
      <c r="G306" s="32" t="n"/>
      <c r="H306" s="11">
        <f>IF(G306="","",G306-TODAY())</f>
        <v/>
      </c>
      <c r="I306" s="11">
        <f>IF(G306="","",IF(J306="Oui","Terminé",IF(H306&lt;0,"PÉRIMÉ",IF(H306&lt;=1,"AUJOURD'HUI",IF(H306&lt;=3,"BIENTÔT","OK")))))</f>
        <v/>
      </c>
      <c r="J306" s="29" t="n"/>
    </row>
    <row r="307">
      <c r="A307" s="32" t="n"/>
      <c r="B307" s="28" t="n"/>
      <c r="C307" s="28" t="n"/>
      <c r="D307" s="29" t="n"/>
      <c r="E307" s="11">
        <f>IF(B307="","",IFERROR(INDEX(Produits!$H$5:$H$64,MATCH(B307,Produits!$G$5:$G$64,0)),""))</f>
        <v/>
      </c>
      <c r="F307" s="28" t="n"/>
      <c r="G307" s="32" t="n"/>
      <c r="H307" s="11">
        <f>IF(G307="","",G307-TODAY())</f>
        <v/>
      </c>
      <c r="I307" s="11">
        <f>IF(G307="","",IF(J307="Oui","Terminé",IF(H307&lt;0,"PÉRIMÉ",IF(H307&lt;=1,"AUJOURD'HUI",IF(H307&lt;=3,"BIENTÔT","OK")))))</f>
        <v/>
      </c>
      <c r="J307" s="29" t="n"/>
    </row>
    <row r="308">
      <c r="A308" s="32" t="n"/>
      <c r="B308" s="28" t="n"/>
      <c r="C308" s="28" t="n"/>
      <c r="D308" s="29" t="n"/>
      <c r="E308" s="11">
        <f>IF(B308="","",IFERROR(INDEX(Produits!$H$5:$H$64,MATCH(B308,Produits!$G$5:$G$64,0)),""))</f>
        <v/>
      </c>
      <c r="F308" s="28" t="n"/>
      <c r="G308" s="32" t="n"/>
      <c r="H308" s="11">
        <f>IF(G308="","",G308-TODAY())</f>
        <v/>
      </c>
      <c r="I308" s="11">
        <f>IF(G308="","",IF(J308="Oui","Terminé",IF(H308&lt;0,"PÉRIMÉ",IF(H308&lt;=1,"AUJOURD'HUI",IF(H308&lt;=3,"BIENTÔT","OK")))))</f>
        <v/>
      </c>
      <c r="J308" s="29" t="n"/>
    </row>
    <row r="309">
      <c r="A309" s="32" t="n"/>
      <c r="B309" s="28" t="n"/>
      <c r="C309" s="28" t="n"/>
      <c r="D309" s="29" t="n"/>
      <c r="E309" s="11">
        <f>IF(B309="","",IFERROR(INDEX(Produits!$H$5:$H$64,MATCH(B309,Produits!$G$5:$G$64,0)),""))</f>
        <v/>
      </c>
      <c r="F309" s="28" t="n"/>
      <c r="G309" s="32" t="n"/>
      <c r="H309" s="11">
        <f>IF(G309="","",G309-TODAY())</f>
        <v/>
      </c>
      <c r="I309" s="11">
        <f>IF(G309="","",IF(J309="Oui","Terminé",IF(H309&lt;0,"PÉRIMÉ",IF(H309&lt;=1,"AUJOURD'HUI",IF(H309&lt;=3,"BIENTÔT","OK")))))</f>
        <v/>
      </c>
      <c r="J309" s="29" t="n"/>
    </row>
    <row r="310">
      <c r="A310" s="32" t="n"/>
      <c r="B310" s="28" t="n"/>
      <c r="C310" s="28" t="n"/>
      <c r="D310" s="29" t="n"/>
      <c r="E310" s="11">
        <f>IF(B310="","",IFERROR(INDEX(Produits!$H$5:$H$64,MATCH(B310,Produits!$G$5:$G$64,0)),""))</f>
        <v/>
      </c>
      <c r="F310" s="28" t="n"/>
      <c r="G310" s="32" t="n"/>
      <c r="H310" s="11">
        <f>IF(G310="","",G310-TODAY())</f>
        <v/>
      </c>
      <c r="I310" s="11">
        <f>IF(G310="","",IF(J310="Oui","Terminé",IF(H310&lt;0,"PÉRIMÉ",IF(H310&lt;=1,"AUJOURD'HUI",IF(H310&lt;=3,"BIENTÔT","OK")))))</f>
        <v/>
      </c>
      <c r="J310" s="29" t="n"/>
    </row>
    <row r="311">
      <c r="A311" s="32" t="n"/>
      <c r="B311" s="28" t="n"/>
      <c r="C311" s="28" t="n"/>
      <c r="D311" s="29" t="n"/>
      <c r="E311" s="11">
        <f>IF(B311="","",IFERROR(INDEX(Produits!$H$5:$H$64,MATCH(B311,Produits!$G$5:$G$64,0)),""))</f>
        <v/>
      </c>
      <c r="F311" s="28" t="n"/>
      <c r="G311" s="32" t="n"/>
      <c r="H311" s="11">
        <f>IF(G311="","",G311-TODAY())</f>
        <v/>
      </c>
      <c r="I311" s="11">
        <f>IF(G311="","",IF(J311="Oui","Terminé",IF(H311&lt;0,"PÉRIMÉ",IF(H311&lt;=1,"AUJOURD'HUI",IF(H311&lt;=3,"BIENTÔT","OK")))))</f>
        <v/>
      </c>
      <c r="J311" s="29" t="n"/>
    </row>
    <row r="312">
      <c r="A312" s="32" t="n"/>
      <c r="B312" s="28" t="n"/>
      <c r="C312" s="28" t="n"/>
      <c r="D312" s="29" t="n"/>
      <c r="E312" s="11">
        <f>IF(B312="","",IFERROR(INDEX(Produits!$H$5:$H$64,MATCH(B312,Produits!$G$5:$G$64,0)),""))</f>
        <v/>
      </c>
      <c r="F312" s="28" t="n"/>
      <c r="G312" s="32" t="n"/>
      <c r="H312" s="11">
        <f>IF(G312="","",G312-TODAY())</f>
        <v/>
      </c>
      <c r="I312" s="11">
        <f>IF(G312="","",IF(J312="Oui","Terminé",IF(H312&lt;0,"PÉRIMÉ",IF(H312&lt;=1,"AUJOURD'HUI",IF(H312&lt;=3,"BIENTÔT","OK")))))</f>
        <v/>
      </c>
      <c r="J312" s="29" t="n"/>
    </row>
    <row r="313">
      <c r="A313" s="32" t="n"/>
      <c r="B313" s="28" t="n"/>
      <c r="C313" s="28" t="n"/>
      <c r="D313" s="29" t="n"/>
      <c r="E313" s="11">
        <f>IF(B313="","",IFERROR(INDEX(Produits!$H$5:$H$64,MATCH(B313,Produits!$G$5:$G$64,0)),""))</f>
        <v/>
      </c>
      <c r="F313" s="28" t="n"/>
      <c r="G313" s="32" t="n"/>
      <c r="H313" s="11">
        <f>IF(G313="","",G313-TODAY())</f>
        <v/>
      </c>
      <c r="I313" s="11">
        <f>IF(G313="","",IF(J313="Oui","Terminé",IF(H313&lt;0,"PÉRIMÉ",IF(H313&lt;=1,"AUJOURD'HUI",IF(H313&lt;=3,"BIENTÔT","OK")))))</f>
        <v/>
      </c>
      <c r="J313" s="29" t="n"/>
    </row>
    <row r="314">
      <c r="A314" s="32" t="n"/>
      <c r="B314" s="28" t="n"/>
      <c r="C314" s="28" t="n"/>
      <c r="D314" s="29" t="n"/>
      <c r="E314" s="11">
        <f>IF(B314="","",IFERROR(INDEX(Produits!$H$5:$H$64,MATCH(B314,Produits!$G$5:$G$64,0)),""))</f>
        <v/>
      </c>
      <c r="F314" s="28" t="n"/>
      <c r="G314" s="32" t="n"/>
      <c r="H314" s="11">
        <f>IF(G314="","",G314-TODAY())</f>
        <v/>
      </c>
      <c r="I314" s="11">
        <f>IF(G314="","",IF(J314="Oui","Terminé",IF(H314&lt;0,"PÉRIMÉ",IF(H314&lt;=1,"AUJOURD'HUI",IF(H314&lt;=3,"BIENTÔT","OK")))))</f>
        <v/>
      </c>
      <c r="J314" s="29" t="n"/>
    </row>
    <row r="315">
      <c r="A315" s="32" t="n"/>
      <c r="B315" s="28" t="n"/>
      <c r="C315" s="28" t="n"/>
      <c r="D315" s="29" t="n"/>
      <c r="E315" s="11">
        <f>IF(B315="","",IFERROR(INDEX(Produits!$H$5:$H$64,MATCH(B315,Produits!$G$5:$G$64,0)),""))</f>
        <v/>
      </c>
      <c r="F315" s="28" t="n"/>
      <c r="G315" s="32" t="n"/>
      <c r="H315" s="11">
        <f>IF(G315="","",G315-TODAY())</f>
        <v/>
      </c>
      <c r="I315" s="11">
        <f>IF(G315="","",IF(J315="Oui","Terminé",IF(H315&lt;0,"PÉRIMÉ",IF(H315&lt;=1,"AUJOURD'HUI",IF(H315&lt;=3,"BIENTÔT","OK")))))</f>
        <v/>
      </c>
      <c r="J315" s="29" t="n"/>
    </row>
    <row r="316">
      <c r="A316" s="32" t="n"/>
      <c r="B316" s="28" t="n"/>
      <c r="C316" s="28" t="n"/>
      <c r="D316" s="29" t="n"/>
      <c r="E316" s="11">
        <f>IF(B316="","",IFERROR(INDEX(Produits!$H$5:$H$64,MATCH(B316,Produits!$G$5:$G$64,0)),""))</f>
        <v/>
      </c>
      <c r="F316" s="28" t="n"/>
      <c r="G316" s="32" t="n"/>
      <c r="H316" s="11">
        <f>IF(G316="","",G316-TODAY())</f>
        <v/>
      </c>
      <c r="I316" s="11">
        <f>IF(G316="","",IF(J316="Oui","Terminé",IF(H316&lt;0,"PÉRIMÉ",IF(H316&lt;=1,"AUJOURD'HUI",IF(H316&lt;=3,"BIENTÔT","OK")))))</f>
        <v/>
      </c>
      <c r="J316" s="29" t="n"/>
    </row>
    <row r="317">
      <c r="A317" s="32" t="n"/>
      <c r="B317" s="28" t="n"/>
      <c r="C317" s="28" t="n"/>
      <c r="D317" s="29" t="n"/>
      <c r="E317" s="11">
        <f>IF(B317="","",IFERROR(INDEX(Produits!$H$5:$H$64,MATCH(B317,Produits!$G$5:$G$64,0)),""))</f>
        <v/>
      </c>
      <c r="F317" s="28" t="n"/>
      <c r="G317" s="32" t="n"/>
      <c r="H317" s="11">
        <f>IF(G317="","",G317-TODAY())</f>
        <v/>
      </c>
      <c r="I317" s="11">
        <f>IF(G317="","",IF(J317="Oui","Terminé",IF(H317&lt;0,"PÉRIMÉ",IF(H317&lt;=1,"AUJOURD'HUI",IF(H317&lt;=3,"BIENTÔT","OK")))))</f>
        <v/>
      </c>
      <c r="J317" s="29" t="n"/>
    </row>
    <row r="318">
      <c r="A318" s="32" t="n"/>
      <c r="B318" s="28" t="n"/>
      <c r="C318" s="28" t="n"/>
      <c r="D318" s="29" t="n"/>
      <c r="E318" s="11">
        <f>IF(B318="","",IFERROR(INDEX(Produits!$H$5:$H$64,MATCH(B318,Produits!$G$5:$G$64,0)),""))</f>
        <v/>
      </c>
      <c r="F318" s="28" t="n"/>
      <c r="G318" s="32" t="n"/>
      <c r="H318" s="11">
        <f>IF(G318="","",G318-TODAY())</f>
        <v/>
      </c>
      <c r="I318" s="11">
        <f>IF(G318="","",IF(J318="Oui","Terminé",IF(H318&lt;0,"PÉRIMÉ",IF(H318&lt;=1,"AUJOURD'HUI",IF(H318&lt;=3,"BIENTÔT","OK")))))</f>
        <v/>
      </c>
      <c r="J318" s="29" t="n"/>
    </row>
    <row r="319">
      <c r="A319" s="32" t="n"/>
      <c r="B319" s="28" t="n"/>
      <c r="C319" s="28" t="n"/>
      <c r="D319" s="29" t="n"/>
      <c r="E319" s="11">
        <f>IF(B319="","",IFERROR(INDEX(Produits!$H$5:$H$64,MATCH(B319,Produits!$G$5:$G$64,0)),""))</f>
        <v/>
      </c>
      <c r="F319" s="28" t="n"/>
      <c r="G319" s="32" t="n"/>
      <c r="H319" s="11">
        <f>IF(G319="","",G319-TODAY())</f>
        <v/>
      </c>
      <c r="I319" s="11">
        <f>IF(G319="","",IF(J319="Oui","Terminé",IF(H319&lt;0,"PÉRIMÉ",IF(H319&lt;=1,"AUJOURD'HUI",IF(H319&lt;=3,"BIENTÔT","OK")))))</f>
        <v/>
      </c>
      <c r="J319" s="29" t="n"/>
    </row>
    <row r="320">
      <c r="A320" s="32" t="n"/>
      <c r="B320" s="28" t="n"/>
      <c r="C320" s="28" t="n"/>
      <c r="D320" s="29" t="n"/>
      <c r="E320" s="11">
        <f>IF(B320="","",IFERROR(INDEX(Produits!$H$5:$H$64,MATCH(B320,Produits!$G$5:$G$64,0)),""))</f>
        <v/>
      </c>
      <c r="F320" s="28" t="n"/>
      <c r="G320" s="32" t="n"/>
      <c r="H320" s="11">
        <f>IF(G320="","",G320-TODAY())</f>
        <v/>
      </c>
      <c r="I320" s="11">
        <f>IF(G320="","",IF(J320="Oui","Terminé",IF(H320&lt;0,"PÉRIMÉ",IF(H320&lt;=1,"AUJOURD'HUI",IF(H320&lt;=3,"BIENTÔT","OK")))))</f>
        <v/>
      </c>
      <c r="J320" s="29" t="n"/>
    </row>
    <row r="321">
      <c r="A321" s="32" t="n"/>
      <c r="B321" s="28" t="n"/>
      <c r="C321" s="28" t="n"/>
      <c r="D321" s="29" t="n"/>
      <c r="E321" s="11">
        <f>IF(B321="","",IFERROR(INDEX(Produits!$H$5:$H$64,MATCH(B321,Produits!$G$5:$G$64,0)),""))</f>
        <v/>
      </c>
      <c r="F321" s="28" t="n"/>
      <c r="G321" s="32" t="n"/>
      <c r="H321" s="11">
        <f>IF(G321="","",G321-TODAY())</f>
        <v/>
      </c>
      <c r="I321" s="11">
        <f>IF(G321="","",IF(J321="Oui","Terminé",IF(H321&lt;0,"PÉRIMÉ",IF(H321&lt;=1,"AUJOURD'HUI",IF(H321&lt;=3,"BIENTÔT","OK")))))</f>
        <v/>
      </c>
      <c r="J321" s="29" t="n"/>
    </row>
    <row r="322">
      <c r="A322" s="32" t="n"/>
      <c r="B322" s="28" t="n"/>
      <c r="C322" s="28" t="n"/>
      <c r="D322" s="29" t="n"/>
      <c r="E322" s="11">
        <f>IF(B322="","",IFERROR(INDEX(Produits!$H$5:$H$64,MATCH(B322,Produits!$G$5:$G$64,0)),""))</f>
        <v/>
      </c>
      <c r="F322" s="28" t="n"/>
      <c r="G322" s="32" t="n"/>
      <c r="H322" s="11">
        <f>IF(G322="","",G322-TODAY())</f>
        <v/>
      </c>
      <c r="I322" s="11">
        <f>IF(G322="","",IF(J322="Oui","Terminé",IF(H322&lt;0,"PÉRIMÉ",IF(H322&lt;=1,"AUJOURD'HUI",IF(H322&lt;=3,"BIENTÔT","OK")))))</f>
        <v/>
      </c>
      <c r="J322" s="29" t="n"/>
    </row>
    <row r="323">
      <c r="A323" s="32" t="n"/>
      <c r="B323" s="28" t="n"/>
      <c r="C323" s="28" t="n"/>
      <c r="D323" s="29" t="n"/>
      <c r="E323" s="11">
        <f>IF(B323="","",IFERROR(INDEX(Produits!$H$5:$H$64,MATCH(B323,Produits!$G$5:$G$64,0)),""))</f>
        <v/>
      </c>
      <c r="F323" s="28" t="n"/>
      <c r="G323" s="32" t="n"/>
      <c r="H323" s="11">
        <f>IF(G323="","",G323-TODAY())</f>
        <v/>
      </c>
      <c r="I323" s="11">
        <f>IF(G323="","",IF(J323="Oui","Terminé",IF(H323&lt;0,"PÉRIMÉ",IF(H323&lt;=1,"AUJOURD'HUI",IF(H323&lt;=3,"BIENTÔT","OK")))))</f>
        <v/>
      </c>
      <c r="J323" s="29" t="n"/>
    </row>
    <row r="324">
      <c r="A324" s="32" t="n"/>
      <c r="B324" s="28" t="n"/>
      <c r="C324" s="28" t="n"/>
      <c r="D324" s="29" t="n"/>
      <c r="E324" s="11">
        <f>IF(B324="","",IFERROR(INDEX(Produits!$H$5:$H$64,MATCH(B324,Produits!$G$5:$G$64,0)),""))</f>
        <v/>
      </c>
      <c r="F324" s="28" t="n"/>
      <c r="G324" s="32" t="n"/>
      <c r="H324" s="11">
        <f>IF(G324="","",G324-TODAY())</f>
        <v/>
      </c>
      <c r="I324" s="11">
        <f>IF(G324="","",IF(J324="Oui","Terminé",IF(H324&lt;0,"PÉRIMÉ",IF(H324&lt;=1,"AUJOURD'HUI",IF(H324&lt;=3,"BIENTÔT","OK")))))</f>
        <v/>
      </c>
      <c r="J324" s="29" t="n"/>
    </row>
    <row r="325">
      <c r="A325" s="32" t="n"/>
      <c r="B325" s="28" t="n"/>
      <c r="C325" s="28" t="n"/>
      <c r="D325" s="29" t="n"/>
      <c r="E325" s="11">
        <f>IF(B325="","",IFERROR(INDEX(Produits!$H$5:$H$64,MATCH(B325,Produits!$G$5:$G$64,0)),""))</f>
        <v/>
      </c>
      <c r="F325" s="28" t="n"/>
      <c r="G325" s="32" t="n"/>
      <c r="H325" s="11">
        <f>IF(G325="","",G325-TODAY())</f>
        <v/>
      </c>
      <c r="I325" s="11">
        <f>IF(G325="","",IF(J325="Oui","Terminé",IF(H325&lt;0,"PÉRIMÉ",IF(H325&lt;=1,"AUJOURD'HUI",IF(H325&lt;=3,"BIENTÔT","OK")))))</f>
        <v/>
      </c>
      <c r="J325" s="29" t="n"/>
    </row>
    <row r="326">
      <c r="A326" s="32" t="n"/>
      <c r="B326" s="28" t="n"/>
      <c r="C326" s="28" t="n"/>
      <c r="D326" s="29" t="n"/>
      <c r="E326" s="11">
        <f>IF(B326="","",IFERROR(INDEX(Produits!$H$5:$H$64,MATCH(B326,Produits!$G$5:$G$64,0)),""))</f>
        <v/>
      </c>
      <c r="F326" s="28" t="n"/>
      <c r="G326" s="32" t="n"/>
      <c r="H326" s="11">
        <f>IF(G326="","",G326-TODAY())</f>
        <v/>
      </c>
      <c r="I326" s="11">
        <f>IF(G326="","",IF(J326="Oui","Terminé",IF(H326&lt;0,"PÉRIMÉ",IF(H326&lt;=1,"AUJOURD'HUI",IF(H326&lt;=3,"BIENTÔT","OK")))))</f>
        <v/>
      </c>
      <c r="J326" s="29" t="n"/>
    </row>
    <row r="327">
      <c r="A327" s="32" t="n"/>
      <c r="B327" s="28" t="n"/>
      <c r="C327" s="28" t="n"/>
      <c r="D327" s="29" t="n"/>
      <c r="E327" s="11">
        <f>IF(B327="","",IFERROR(INDEX(Produits!$H$5:$H$64,MATCH(B327,Produits!$G$5:$G$64,0)),""))</f>
        <v/>
      </c>
      <c r="F327" s="28" t="n"/>
      <c r="G327" s="32" t="n"/>
      <c r="H327" s="11">
        <f>IF(G327="","",G327-TODAY())</f>
        <v/>
      </c>
      <c r="I327" s="11">
        <f>IF(G327="","",IF(J327="Oui","Terminé",IF(H327&lt;0,"PÉRIMÉ",IF(H327&lt;=1,"AUJOURD'HUI",IF(H327&lt;=3,"BIENTÔT","OK")))))</f>
        <v/>
      </c>
      <c r="J327" s="29" t="n"/>
    </row>
    <row r="328">
      <c r="A328" s="32" t="n"/>
      <c r="B328" s="28" t="n"/>
      <c r="C328" s="28" t="n"/>
      <c r="D328" s="29" t="n"/>
      <c r="E328" s="11">
        <f>IF(B328="","",IFERROR(INDEX(Produits!$H$5:$H$64,MATCH(B328,Produits!$G$5:$G$64,0)),""))</f>
        <v/>
      </c>
      <c r="F328" s="28" t="n"/>
      <c r="G328" s="32" t="n"/>
      <c r="H328" s="11">
        <f>IF(G328="","",G328-TODAY())</f>
        <v/>
      </c>
      <c r="I328" s="11">
        <f>IF(G328="","",IF(J328="Oui","Terminé",IF(H328&lt;0,"PÉRIMÉ",IF(H328&lt;=1,"AUJOURD'HUI",IF(H328&lt;=3,"BIENTÔT","OK")))))</f>
        <v/>
      </c>
      <c r="J328" s="29" t="n"/>
    </row>
    <row r="329">
      <c r="A329" s="32" t="n"/>
      <c r="B329" s="28" t="n"/>
      <c r="C329" s="28" t="n"/>
      <c r="D329" s="29" t="n"/>
      <c r="E329" s="11">
        <f>IF(B329="","",IFERROR(INDEX(Produits!$H$5:$H$64,MATCH(B329,Produits!$G$5:$G$64,0)),""))</f>
        <v/>
      </c>
      <c r="F329" s="28" t="n"/>
      <c r="G329" s="32" t="n"/>
      <c r="H329" s="11">
        <f>IF(G329="","",G329-TODAY())</f>
        <v/>
      </c>
      <c r="I329" s="11">
        <f>IF(G329="","",IF(J329="Oui","Terminé",IF(H329&lt;0,"PÉRIMÉ",IF(H329&lt;=1,"AUJOURD'HUI",IF(H329&lt;=3,"BIENTÔT","OK")))))</f>
        <v/>
      </c>
      <c r="J329" s="29" t="n"/>
    </row>
    <row r="330">
      <c r="A330" s="32" t="n"/>
      <c r="B330" s="28" t="n"/>
      <c r="C330" s="28" t="n"/>
      <c r="D330" s="29" t="n"/>
      <c r="E330" s="11">
        <f>IF(B330="","",IFERROR(INDEX(Produits!$H$5:$H$64,MATCH(B330,Produits!$G$5:$G$64,0)),""))</f>
        <v/>
      </c>
      <c r="F330" s="28" t="n"/>
      <c r="G330" s="32" t="n"/>
      <c r="H330" s="11">
        <f>IF(G330="","",G330-TODAY())</f>
        <v/>
      </c>
      <c r="I330" s="11">
        <f>IF(G330="","",IF(J330="Oui","Terminé",IF(H330&lt;0,"PÉRIMÉ",IF(H330&lt;=1,"AUJOURD'HUI",IF(H330&lt;=3,"BIENTÔT","OK")))))</f>
        <v/>
      </c>
      <c r="J330" s="29" t="n"/>
    </row>
    <row r="331">
      <c r="A331" s="32" t="n"/>
      <c r="B331" s="28" t="n"/>
      <c r="C331" s="28" t="n"/>
      <c r="D331" s="29" t="n"/>
      <c r="E331" s="11">
        <f>IF(B331="","",IFERROR(INDEX(Produits!$H$5:$H$64,MATCH(B331,Produits!$G$5:$G$64,0)),""))</f>
        <v/>
      </c>
      <c r="F331" s="28" t="n"/>
      <c r="G331" s="32" t="n"/>
      <c r="H331" s="11">
        <f>IF(G331="","",G331-TODAY())</f>
        <v/>
      </c>
      <c r="I331" s="11">
        <f>IF(G331="","",IF(J331="Oui","Terminé",IF(H331&lt;0,"PÉRIMÉ",IF(H331&lt;=1,"AUJOURD'HUI",IF(H331&lt;=3,"BIENTÔT","OK")))))</f>
        <v/>
      </c>
      <c r="J331" s="29" t="n"/>
    </row>
    <row r="332">
      <c r="A332" s="32" t="n"/>
      <c r="B332" s="28" t="n"/>
      <c r="C332" s="28" t="n"/>
      <c r="D332" s="29" t="n"/>
      <c r="E332" s="11">
        <f>IF(B332="","",IFERROR(INDEX(Produits!$H$5:$H$64,MATCH(B332,Produits!$G$5:$G$64,0)),""))</f>
        <v/>
      </c>
      <c r="F332" s="28" t="n"/>
      <c r="G332" s="32" t="n"/>
      <c r="H332" s="11">
        <f>IF(G332="","",G332-TODAY())</f>
        <v/>
      </c>
      <c r="I332" s="11">
        <f>IF(G332="","",IF(J332="Oui","Terminé",IF(H332&lt;0,"PÉRIMÉ",IF(H332&lt;=1,"AUJOURD'HUI",IF(H332&lt;=3,"BIENTÔT","OK")))))</f>
        <v/>
      </c>
      <c r="J332" s="29" t="n"/>
    </row>
    <row r="333">
      <c r="A333" s="32" t="n"/>
      <c r="B333" s="28" t="n"/>
      <c r="C333" s="28" t="n"/>
      <c r="D333" s="29" t="n"/>
      <c r="E333" s="11">
        <f>IF(B333="","",IFERROR(INDEX(Produits!$H$5:$H$64,MATCH(B333,Produits!$G$5:$G$64,0)),""))</f>
        <v/>
      </c>
      <c r="F333" s="28" t="n"/>
      <c r="G333" s="32" t="n"/>
      <c r="H333" s="11">
        <f>IF(G333="","",G333-TODAY())</f>
        <v/>
      </c>
      <c r="I333" s="11">
        <f>IF(G333="","",IF(J333="Oui","Terminé",IF(H333&lt;0,"PÉRIMÉ",IF(H333&lt;=1,"AUJOURD'HUI",IF(H333&lt;=3,"BIENTÔT","OK")))))</f>
        <v/>
      </c>
      <c r="J333" s="29" t="n"/>
    </row>
    <row r="334">
      <c r="A334" s="32" t="n"/>
      <c r="B334" s="28" t="n"/>
      <c r="C334" s="28" t="n"/>
      <c r="D334" s="29" t="n"/>
      <c r="E334" s="11">
        <f>IF(B334="","",IFERROR(INDEX(Produits!$H$5:$H$64,MATCH(B334,Produits!$G$5:$G$64,0)),""))</f>
        <v/>
      </c>
      <c r="F334" s="28" t="n"/>
      <c r="G334" s="32" t="n"/>
      <c r="H334" s="11">
        <f>IF(G334="","",G334-TODAY())</f>
        <v/>
      </c>
      <c r="I334" s="11">
        <f>IF(G334="","",IF(J334="Oui","Terminé",IF(H334&lt;0,"PÉRIMÉ",IF(H334&lt;=1,"AUJOURD'HUI",IF(H334&lt;=3,"BIENTÔT","OK")))))</f>
        <v/>
      </c>
      <c r="J334" s="29" t="n"/>
    </row>
    <row r="335">
      <c r="A335" s="32" t="n"/>
      <c r="B335" s="28" t="n"/>
      <c r="C335" s="28" t="n"/>
      <c r="D335" s="29" t="n"/>
      <c r="E335" s="11">
        <f>IF(B335="","",IFERROR(INDEX(Produits!$H$5:$H$64,MATCH(B335,Produits!$G$5:$G$64,0)),""))</f>
        <v/>
      </c>
      <c r="F335" s="28" t="n"/>
      <c r="G335" s="32" t="n"/>
      <c r="H335" s="11">
        <f>IF(G335="","",G335-TODAY())</f>
        <v/>
      </c>
      <c r="I335" s="11">
        <f>IF(G335="","",IF(J335="Oui","Terminé",IF(H335&lt;0,"PÉRIMÉ",IF(H335&lt;=1,"AUJOURD'HUI",IF(H335&lt;=3,"BIENTÔT","OK")))))</f>
        <v/>
      </c>
      <c r="J335" s="29" t="n"/>
    </row>
    <row r="336">
      <c r="A336" s="32" t="n"/>
      <c r="B336" s="28" t="n"/>
      <c r="C336" s="28" t="n"/>
      <c r="D336" s="29" t="n"/>
      <c r="E336" s="11">
        <f>IF(B336="","",IFERROR(INDEX(Produits!$H$5:$H$64,MATCH(B336,Produits!$G$5:$G$64,0)),""))</f>
        <v/>
      </c>
      <c r="F336" s="28" t="n"/>
      <c r="G336" s="32" t="n"/>
      <c r="H336" s="11">
        <f>IF(G336="","",G336-TODAY())</f>
        <v/>
      </c>
      <c r="I336" s="11">
        <f>IF(G336="","",IF(J336="Oui","Terminé",IF(H336&lt;0,"PÉRIMÉ",IF(H336&lt;=1,"AUJOURD'HUI",IF(H336&lt;=3,"BIENTÔT","OK")))))</f>
        <v/>
      </c>
      <c r="J336" s="29" t="n"/>
    </row>
    <row r="337">
      <c r="A337" s="32" t="n"/>
      <c r="B337" s="28" t="n"/>
      <c r="C337" s="28" t="n"/>
      <c r="D337" s="29" t="n"/>
      <c r="E337" s="11">
        <f>IF(B337="","",IFERROR(INDEX(Produits!$H$5:$H$64,MATCH(B337,Produits!$G$5:$G$64,0)),""))</f>
        <v/>
      </c>
      <c r="F337" s="28" t="n"/>
      <c r="G337" s="32" t="n"/>
      <c r="H337" s="11">
        <f>IF(G337="","",G337-TODAY())</f>
        <v/>
      </c>
      <c r="I337" s="11">
        <f>IF(G337="","",IF(J337="Oui","Terminé",IF(H337&lt;0,"PÉRIMÉ",IF(H337&lt;=1,"AUJOURD'HUI",IF(H337&lt;=3,"BIENTÔT","OK")))))</f>
        <v/>
      </c>
      <c r="J337" s="29" t="n"/>
    </row>
    <row r="338">
      <c r="A338" s="32" t="n"/>
      <c r="B338" s="28" t="n"/>
      <c r="C338" s="28" t="n"/>
      <c r="D338" s="29" t="n"/>
      <c r="E338" s="11">
        <f>IF(B338="","",IFERROR(INDEX(Produits!$H$5:$H$64,MATCH(B338,Produits!$G$5:$G$64,0)),""))</f>
        <v/>
      </c>
      <c r="F338" s="28" t="n"/>
      <c r="G338" s="32" t="n"/>
      <c r="H338" s="11">
        <f>IF(G338="","",G338-TODAY())</f>
        <v/>
      </c>
      <c r="I338" s="11">
        <f>IF(G338="","",IF(J338="Oui","Terminé",IF(H338&lt;0,"PÉRIMÉ",IF(H338&lt;=1,"AUJOURD'HUI",IF(H338&lt;=3,"BIENTÔT","OK")))))</f>
        <v/>
      </c>
      <c r="J338" s="29" t="n"/>
    </row>
    <row r="339">
      <c r="A339" s="32" t="n"/>
      <c r="B339" s="28" t="n"/>
      <c r="C339" s="28" t="n"/>
      <c r="D339" s="29" t="n"/>
      <c r="E339" s="11">
        <f>IF(B339="","",IFERROR(INDEX(Produits!$H$5:$H$64,MATCH(B339,Produits!$G$5:$G$64,0)),""))</f>
        <v/>
      </c>
      <c r="F339" s="28" t="n"/>
      <c r="G339" s="32" t="n"/>
      <c r="H339" s="11">
        <f>IF(G339="","",G339-TODAY())</f>
        <v/>
      </c>
      <c r="I339" s="11">
        <f>IF(G339="","",IF(J339="Oui","Terminé",IF(H339&lt;0,"PÉRIMÉ",IF(H339&lt;=1,"AUJOURD'HUI",IF(H339&lt;=3,"BIENTÔT","OK")))))</f>
        <v/>
      </c>
      <c r="J339" s="29" t="n"/>
    </row>
    <row r="340">
      <c r="A340" s="32" t="n"/>
      <c r="B340" s="28" t="n"/>
      <c r="C340" s="28" t="n"/>
      <c r="D340" s="29" t="n"/>
      <c r="E340" s="11">
        <f>IF(B340="","",IFERROR(INDEX(Produits!$H$5:$H$64,MATCH(B340,Produits!$G$5:$G$64,0)),""))</f>
        <v/>
      </c>
      <c r="F340" s="28" t="n"/>
      <c r="G340" s="32" t="n"/>
      <c r="H340" s="11">
        <f>IF(G340="","",G340-TODAY())</f>
        <v/>
      </c>
      <c r="I340" s="11">
        <f>IF(G340="","",IF(J340="Oui","Terminé",IF(H340&lt;0,"PÉRIMÉ",IF(H340&lt;=1,"AUJOURD'HUI",IF(H340&lt;=3,"BIENTÔT","OK")))))</f>
        <v/>
      </c>
      <c r="J340" s="29" t="n"/>
    </row>
    <row r="341">
      <c r="A341" s="32" t="n"/>
      <c r="B341" s="28" t="n"/>
      <c r="C341" s="28" t="n"/>
      <c r="D341" s="29" t="n"/>
      <c r="E341" s="11">
        <f>IF(B341="","",IFERROR(INDEX(Produits!$H$5:$H$64,MATCH(B341,Produits!$G$5:$G$64,0)),""))</f>
        <v/>
      </c>
      <c r="F341" s="28" t="n"/>
      <c r="G341" s="32" t="n"/>
      <c r="H341" s="11">
        <f>IF(G341="","",G341-TODAY())</f>
        <v/>
      </c>
      <c r="I341" s="11">
        <f>IF(G341="","",IF(J341="Oui","Terminé",IF(H341&lt;0,"PÉRIMÉ",IF(H341&lt;=1,"AUJOURD'HUI",IF(H341&lt;=3,"BIENTÔT","OK")))))</f>
        <v/>
      </c>
      <c r="J341" s="29" t="n"/>
    </row>
    <row r="342">
      <c r="A342" s="32" t="n"/>
      <c r="B342" s="28" t="n"/>
      <c r="C342" s="28" t="n"/>
      <c r="D342" s="29" t="n"/>
      <c r="E342" s="11">
        <f>IF(B342="","",IFERROR(INDEX(Produits!$H$5:$H$64,MATCH(B342,Produits!$G$5:$G$64,0)),""))</f>
        <v/>
      </c>
      <c r="F342" s="28" t="n"/>
      <c r="G342" s="32" t="n"/>
      <c r="H342" s="11">
        <f>IF(G342="","",G342-TODAY())</f>
        <v/>
      </c>
      <c r="I342" s="11">
        <f>IF(G342="","",IF(J342="Oui","Terminé",IF(H342&lt;0,"PÉRIMÉ",IF(H342&lt;=1,"AUJOURD'HUI",IF(H342&lt;=3,"BIENTÔT","OK")))))</f>
        <v/>
      </c>
      <c r="J342" s="29" t="n"/>
    </row>
    <row r="343">
      <c r="A343" s="32" t="n"/>
      <c r="B343" s="28" t="n"/>
      <c r="C343" s="28" t="n"/>
      <c r="D343" s="29" t="n"/>
      <c r="E343" s="11">
        <f>IF(B343="","",IFERROR(INDEX(Produits!$H$5:$H$64,MATCH(B343,Produits!$G$5:$G$64,0)),""))</f>
        <v/>
      </c>
      <c r="F343" s="28" t="n"/>
      <c r="G343" s="32" t="n"/>
      <c r="H343" s="11">
        <f>IF(G343="","",G343-TODAY())</f>
        <v/>
      </c>
      <c r="I343" s="11">
        <f>IF(G343="","",IF(J343="Oui","Terminé",IF(H343&lt;0,"PÉRIMÉ",IF(H343&lt;=1,"AUJOURD'HUI",IF(H343&lt;=3,"BIENTÔT","OK")))))</f>
        <v/>
      </c>
      <c r="J343" s="29" t="n"/>
    </row>
    <row r="344">
      <c r="A344" s="32" t="n"/>
      <c r="B344" s="28" t="n"/>
      <c r="C344" s="28" t="n"/>
      <c r="D344" s="29" t="n"/>
      <c r="E344" s="11">
        <f>IF(B344="","",IFERROR(INDEX(Produits!$H$5:$H$64,MATCH(B344,Produits!$G$5:$G$64,0)),""))</f>
        <v/>
      </c>
      <c r="F344" s="28" t="n"/>
      <c r="G344" s="32" t="n"/>
      <c r="H344" s="11">
        <f>IF(G344="","",G344-TODAY())</f>
        <v/>
      </c>
      <c r="I344" s="11">
        <f>IF(G344="","",IF(J344="Oui","Terminé",IF(H344&lt;0,"PÉRIMÉ",IF(H344&lt;=1,"AUJOURD'HUI",IF(H344&lt;=3,"BIENTÔT","OK")))))</f>
        <v/>
      </c>
      <c r="J344" s="29" t="n"/>
    </row>
    <row r="345">
      <c r="A345" s="32" t="n"/>
      <c r="B345" s="28" t="n"/>
      <c r="C345" s="28" t="n"/>
      <c r="D345" s="29" t="n"/>
      <c r="E345" s="11">
        <f>IF(B345="","",IFERROR(INDEX(Produits!$H$5:$H$64,MATCH(B345,Produits!$G$5:$G$64,0)),""))</f>
        <v/>
      </c>
      <c r="F345" s="28" t="n"/>
      <c r="G345" s="32" t="n"/>
      <c r="H345" s="11">
        <f>IF(G345="","",G345-TODAY())</f>
        <v/>
      </c>
      <c r="I345" s="11">
        <f>IF(G345="","",IF(J345="Oui","Terminé",IF(H345&lt;0,"PÉRIMÉ",IF(H345&lt;=1,"AUJOURD'HUI",IF(H345&lt;=3,"BIENTÔT","OK")))))</f>
        <v/>
      </c>
      <c r="J345" s="29" t="n"/>
    </row>
    <row r="346">
      <c r="A346" s="32" t="n"/>
      <c r="B346" s="28" t="n"/>
      <c r="C346" s="28" t="n"/>
      <c r="D346" s="29" t="n"/>
      <c r="E346" s="11">
        <f>IF(B346="","",IFERROR(INDEX(Produits!$H$5:$H$64,MATCH(B346,Produits!$G$5:$G$64,0)),""))</f>
        <v/>
      </c>
      <c r="F346" s="28" t="n"/>
      <c r="G346" s="32" t="n"/>
      <c r="H346" s="11">
        <f>IF(G346="","",G346-TODAY())</f>
        <v/>
      </c>
      <c r="I346" s="11">
        <f>IF(G346="","",IF(J346="Oui","Terminé",IF(H346&lt;0,"PÉRIMÉ",IF(H346&lt;=1,"AUJOURD'HUI",IF(H346&lt;=3,"BIENTÔT","OK")))))</f>
        <v/>
      </c>
      <c r="J346" s="29" t="n"/>
    </row>
    <row r="347">
      <c r="A347" s="32" t="n"/>
      <c r="B347" s="28" t="n"/>
      <c r="C347" s="28" t="n"/>
      <c r="D347" s="29" t="n"/>
      <c r="E347" s="11">
        <f>IF(B347="","",IFERROR(INDEX(Produits!$H$5:$H$64,MATCH(B347,Produits!$G$5:$G$64,0)),""))</f>
        <v/>
      </c>
      <c r="F347" s="28" t="n"/>
      <c r="G347" s="32" t="n"/>
      <c r="H347" s="11">
        <f>IF(G347="","",G347-TODAY())</f>
        <v/>
      </c>
      <c r="I347" s="11">
        <f>IF(G347="","",IF(J347="Oui","Terminé",IF(H347&lt;0,"PÉRIMÉ",IF(H347&lt;=1,"AUJOURD'HUI",IF(H347&lt;=3,"BIENTÔT","OK")))))</f>
        <v/>
      </c>
      <c r="J347" s="29" t="n"/>
    </row>
    <row r="348">
      <c r="A348" s="32" t="n"/>
      <c r="B348" s="28" t="n"/>
      <c r="C348" s="28" t="n"/>
      <c r="D348" s="29" t="n"/>
      <c r="E348" s="11">
        <f>IF(B348="","",IFERROR(INDEX(Produits!$H$5:$H$64,MATCH(B348,Produits!$G$5:$G$64,0)),""))</f>
        <v/>
      </c>
      <c r="F348" s="28" t="n"/>
      <c r="G348" s="32" t="n"/>
      <c r="H348" s="11">
        <f>IF(G348="","",G348-TODAY())</f>
        <v/>
      </c>
      <c r="I348" s="11">
        <f>IF(G348="","",IF(J348="Oui","Terminé",IF(H348&lt;0,"PÉRIMÉ",IF(H348&lt;=1,"AUJOURD'HUI",IF(H348&lt;=3,"BIENTÔT","OK")))))</f>
        <v/>
      </c>
      <c r="J348" s="29" t="n"/>
    </row>
    <row r="349">
      <c r="A349" s="32" t="n"/>
      <c r="B349" s="28" t="n"/>
      <c r="C349" s="28" t="n"/>
      <c r="D349" s="29" t="n"/>
      <c r="E349" s="11">
        <f>IF(B349="","",IFERROR(INDEX(Produits!$H$5:$H$64,MATCH(B349,Produits!$G$5:$G$64,0)),""))</f>
        <v/>
      </c>
      <c r="F349" s="28" t="n"/>
      <c r="G349" s="32" t="n"/>
      <c r="H349" s="11">
        <f>IF(G349="","",G349-TODAY())</f>
        <v/>
      </c>
      <c r="I349" s="11">
        <f>IF(G349="","",IF(J349="Oui","Terminé",IF(H349&lt;0,"PÉRIMÉ",IF(H349&lt;=1,"AUJOURD'HUI",IF(H349&lt;=3,"BIENTÔT","OK")))))</f>
        <v/>
      </c>
      <c r="J349" s="29" t="n"/>
    </row>
    <row r="350">
      <c r="A350" s="32" t="n"/>
      <c r="B350" s="28" t="n"/>
      <c r="C350" s="28" t="n"/>
      <c r="D350" s="29" t="n"/>
      <c r="E350" s="11">
        <f>IF(B350="","",IFERROR(INDEX(Produits!$H$5:$H$64,MATCH(B350,Produits!$G$5:$G$64,0)),""))</f>
        <v/>
      </c>
      <c r="F350" s="28" t="n"/>
      <c r="G350" s="32" t="n"/>
      <c r="H350" s="11">
        <f>IF(G350="","",G350-TODAY())</f>
        <v/>
      </c>
      <c r="I350" s="11">
        <f>IF(G350="","",IF(J350="Oui","Terminé",IF(H350&lt;0,"PÉRIMÉ",IF(H350&lt;=1,"AUJOURD'HUI",IF(H350&lt;=3,"BIENTÔT","OK")))))</f>
        <v/>
      </c>
      <c r="J350" s="29" t="n"/>
    </row>
    <row r="351">
      <c r="A351" s="32" t="n"/>
      <c r="B351" s="28" t="n"/>
      <c r="C351" s="28" t="n"/>
      <c r="D351" s="29" t="n"/>
      <c r="E351" s="11">
        <f>IF(B351="","",IFERROR(INDEX(Produits!$H$5:$H$64,MATCH(B351,Produits!$G$5:$G$64,0)),""))</f>
        <v/>
      </c>
      <c r="F351" s="28" t="n"/>
      <c r="G351" s="32" t="n"/>
      <c r="H351" s="11">
        <f>IF(G351="","",G351-TODAY())</f>
        <v/>
      </c>
      <c r="I351" s="11">
        <f>IF(G351="","",IF(J351="Oui","Terminé",IF(H351&lt;0,"PÉRIMÉ",IF(H351&lt;=1,"AUJOURD'HUI",IF(H351&lt;=3,"BIENTÔT","OK")))))</f>
        <v/>
      </c>
      <c r="J351" s="29" t="n"/>
    </row>
    <row r="352">
      <c r="A352" s="32" t="n"/>
      <c r="B352" s="28" t="n"/>
      <c r="C352" s="28" t="n"/>
      <c r="D352" s="29" t="n"/>
      <c r="E352" s="11">
        <f>IF(B352="","",IFERROR(INDEX(Produits!$H$5:$H$64,MATCH(B352,Produits!$G$5:$G$64,0)),""))</f>
        <v/>
      </c>
      <c r="F352" s="28" t="n"/>
      <c r="G352" s="32" t="n"/>
      <c r="H352" s="11">
        <f>IF(G352="","",G352-TODAY())</f>
        <v/>
      </c>
      <c r="I352" s="11">
        <f>IF(G352="","",IF(J352="Oui","Terminé",IF(H352&lt;0,"PÉRIMÉ",IF(H352&lt;=1,"AUJOURD'HUI",IF(H352&lt;=3,"BIENTÔT","OK")))))</f>
        <v/>
      </c>
      <c r="J352" s="29" t="n"/>
    </row>
    <row r="353">
      <c r="A353" s="32" t="n"/>
      <c r="B353" s="28" t="n"/>
      <c r="C353" s="28" t="n"/>
      <c r="D353" s="29" t="n"/>
      <c r="E353" s="11">
        <f>IF(B353="","",IFERROR(INDEX(Produits!$H$5:$H$64,MATCH(B353,Produits!$G$5:$G$64,0)),""))</f>
        <v/>
      </c>
      <c r="F353" s="28" t="n"/>
      <c r="G353" s="32" t="n"/>
      <c r="H353" s="11">
        <f>IF(G353="","",G353-TODAY())</f>
        <v/>
      </c>
      <c r="I353" s="11">
        <f>IF(G353="","",IF(J353="Oui","Terminé",IF(H353&lt;0,"PÉRIMÉ",IF(H353&lt;=1,"AUJOURD'HUI",IF(H353&lt;=3,"BIENTÔT","OK")))))</f>
        <v/>
      </c>
      <c r="J353" s="29" t="n"/>
    </row>
    <row r="354">
      <c r="A354" s="32" t="n"/>
      <c r="B354" s="28" t="n"/>
      <c r="C354" s="28" t="n"/>
      <c r="D354" s="29" t="n"/>
      <c r="E354" s="11">
        <f>IF(B354="","",IFERROR(INDEX(Produits!$H$5:$H$64,MATCH(B354,Produits!$G$5:$G$64,0)),""))</f>
        <v/>
      </c>
      <c r="F354" s="28" t="n"/>
      <c r="G354" s="32" t="n"/>
      <c r="H354" s="11">
        <f>IF(G354="","",G354-TODAY())</f>
        <v/>
      </c>
      <c r="I354" s="11">
        <f>IF(G354="","",IF(J354="Oui","Terminé",IF(H354&lt;0,"PÉRIMÉ",IF(H354&lt;=1,"AUJOURD'HUI",IF(H354&lt;=3,"BIENTÔT","OK")))))</f>
        <v/>
      </c>
      <c r="J354" s="29" t="n"/>
    </row>
    <row r="355">
      <c r="A355" s="32" t="n"/>
      <c r="B355" s="28" t="n"/>
      <c r="C355" s="28" t="n"/>
      <c r="D355" s="29" t="n"/>
      <c r="E355" s="11">
        <f>IF(B355="","",IFERROR(INDEX(Produits!$H$5:$H$64,MATCH(B355,Produits!$G$5:$G$64,0)),""))</f>
        <v/>
      </c>
      <c r="F355" s="28" t="n"/>
      <c r="G355" s="32" t="n"/>
      <c r="H355" s="11">
        <f>IF(G355="","",G355-TODAY())</f>
        <v/>
      </c>
      <c r="I355" s="11">
        <f>IF(G355="","",IF(J355="Oui","Terminé",IF(H355&lt;0,"PÉRIMÉ",IF(H355&lt;=1,"AUJOURD'HUI",IF(H355&lt;=3,"BIENTÔT","OK")))))</f>
        <v/>
      </c>
      <c r="J355" s="29" t="n"/>
    </row>
    <row r="356">
      <c r="A356" s="32" t="n"/>
      <c r="B356" s="28" t="n"/>
      <c r="C356" s="28" t="n"/>
      <c r="D356" s="29" t="n"/>
      <c r="E356" s="11">
        <f>IF(B356="","",IFERROR(INDEX(Produits!$H$5:$H$64,MATCH(B356,Produits!$G$5:$G$64,0)),""))</f>
        <v/>
      </c>
      <c r="F356" s="28" t="n"/>
      <c r="G356" s="32" t="n"/>
      <c r="H356" s="11">
        <f>IF(G356="","",G356-TODAY())</f>
        <v/>
      </c>
      <c r="I356" s="11">
        <f>IF(G356="","",IF(J356="Oui","Terminé",IF(H356&lt;0,"PÉRIMÉ",IF(H356&lt;=1,"AUJOURD'HUI",IF(H356&lt;=3,"BIENTÔT","OK")))))</f>
        <v/>
      </c>
      <c r="J356" s="29" t="n"/>
    </row>
    <row r="357">
      <c r="A357" s="32" t="n"/>
      <c r="B357" s="28" t="n"/>
      <c r="C357" s="28" t="n"/>
      <c r="D357" s="29" t="n"/>
      <c r="E357" s="11">
        <f>IF(B357="","",IFERROR(INDEX(Produits!$H$5:$H$64,MATCH(B357,Produits!$G$5:$G$64,0)),""))</f>
        <v/>
      </c>
      <c r="F357" s="28" t="n"/>
      <c r="G357" s="32" t="n"/>
      <c r="H357" s="11">
        <f>IF(G357="","",G357-TODAY())</f>
        <v/>
      </c>
      <c r="I357" s="11">
        <f>IF(G357="","",IF(J357="Oui","Terminé",IF(H357&lt;0,"PÉRIMÉ",IF(H357&lt;=1,"AUJOURD'HUI",IF(H357&lt;=3,"BIENTÔT","OK")))))</f>
        <v/>
      </c>
      <c r="J357" s="29" t="n"/>
    </row>
    <row r="358">
      <c r="A358" s="32" t="n"/>
      <c r="B358" s="28" t="n"/>
      <c r="C358" s="28" t="n"/>
      <c r="D358" s="29" t="n"/>
      <c r="E358" s="11">
        <f>IF(B358="","",IFERROR(INDEX(Produits!$H$5:$H$64,MATCH(B358,Produits!$G$5:$G$64,0)),""))</f>
        <v/>
      </c>
      <c r="F358" s="28" t="n"/>
      <c r="G358" s="32" t="n"/>
      <c r="H358" s="11">
        <f>IF(G358="","",G358-TODAY())</f>
        <v/>
      </c>
      <c r="I358" s="11">
        <f>IF(G358="","",IF(J358="Oui","Terminé",IF(H358&lt;0,"PÉRIMÉ",IF(H358&lt;=1,"AUJOURD'HUI",IF(H358&lt;=3,"BIENTÔT","OK")))))</f>
        <v/>
      </c>
      <c r="J358" s="29" t="n"/>
    </row>
    <row r="359">
      <c r="A359" s="32" t="n"/>
      <c r="B359" s="28" t="n"/>
      <c r="C359" s="28" t="n"/>
      <c r="D359" s="29" t="n"/>
      <c r="E359" s="11">
        <f>IF(B359="","",IFERROR(INDEX(Produits!$H$5:$H$64,MATCH(B359,Produits!$G$5:$G$64,0)),""))</f>
        <v/>
      </c>
      <c r="F359" s="28" t="n"/>
      <c r="G359" s="32" t="n"/>
      <c r="H359" s="11">
        <f>IF(G359="","",G359-TODAY())</f>
        <v/>
      </c>
      <c r="I359" s="11">
        <f>IF(G359="","",IF(J359="Oui","Terminé",IF(H359&lt;0,"PÉRIMÉ",IF(H359&lt;=1,"AUJOURD'HUI",IF(H359&lt;=3,"BIENTÔT","OK")))))</f>
        <v/>
      </c>
      <c r="J359" s="29" t="n"/>
    </row>
    <row r="360">
      <c r="A360" s="32" t="n"/>
      <c r="B360" s="28" t="n"/>
      <c r="C360" s="28" t="n"/>
      <c r="D360" s="29" t="n"/>
      <c r="E360" s="11">
        <f>IF(B360="","",IFERROR(INDEX(Produits!$H$5:$H$64,MATCH(B360,Produits!$G$5:$G$64,0)),""))</f>
        <v/>
      </c>
      <c r="F360" s="28" t="n"/>
      <c r="G360" s="32" t="n"/>
      <c r="H360" s="11">
        <f>IF(G360="","",G360-TODAY())</f>
        <v/>
      </c>
      <c r="I360" s="11">
        <f>IF(G360="","",IF(J360="Oui","Terminé",IF(H360&lt;0,"PÉRIMÉ",IF(H360&lt;=1,"AUJOURD'HUI",IF(H360&lt;=3,"BIENTÔT","OK")))))</f>
        <v/>
      </c>
      <c r="J360" s="29" t="n"/>
    </row>
    <row r="361">
      <c r="A361" s="32" t="n"/>
      <c r="B361" s="28" t="n"/>
      <c r="C361" s="28" t="n"/>
      <c r="D361" s="29" t="n"/>
      <c r="E361" s="11">
        <f>IF(B361="","",IFERROR(INDEX(Produits!$H$5:$H$64,MATCH(B361,Produits!$G$5:$G$64,0)),""))</f>
        <v/>
      </c>
      <c r="F361" s="28" t="n"/>
      <c r="G361" s="32" t="n"/>
      <c r="H361" s="11">
        <f>IF(G361="","",G361-TODAY())</f>
        <v/>
      </c>
      <c r="I361" s="11">
        <f>IF(G361="","",IF(J361="Oui","Terminé",IF(H361&lt;0,"PÉRIMÉ",IF(H361&lt;=1,"AUJOURD'HUI",IF(H361&lt;=3,"BIENTÔT","OK")))))</f>
        <v/>
      </c>
      <c r="J361" s="29" t="n"/>
    </row>
    <row r="362">
      <c r="A362" s="32" t="n"/>
      <c r="B362" s="28" t="n"/>
      <c r="C362" s="28" t="n"/>
      <c r="D362" s="29" t="n"/>
      <c r="E362" s="11">
        <f>IF(B362="","",IFERROR(INDEX(Produits!$H$5:$H$64,MATCH(B362,Produits!$G$5:$G$64,0)),""))</f>
        <v/>
      </c>
      <c r="F362" s="28" t="n"/>
      <c r="G362" s="32" t="n"/>
      <c r="H362" s="11">
        <f>IF(G362="","",G362-TODAY())</f>
        <v/>
      </c>
      <c r="I362" s="11">
        <f>IF(G362="","",IF(J362="Oui","Terminé",IF(H362&lt;0,"PÉRIMÉ",IF(H362&lt;=1,"AUJOURD'HUI",IF(H362&lt;=3,"BIENTÔT","OK")))))</f>
        <v/>
      </c>
      <c r="J362" s="29" t="n"/>
    </row>
    <row r="363">
      <c r="A363" s="32" t="n"/>
      <c r="B363" s="28" t="n"/>
      <c r="C363" s="28" t="n"/>
      <c r="D363" s="29" t="n"/>
      <c r="E363" s="11">
        <f>IF(B363="","",IFERROR(INDEX(Produits!$H$5:$H$64,MATCH(B363,Produits!$G$5:$G$64,0)),""))</f>
        <v/>
      </c>
      <c r="F363" s="28" t="n"/>
      <c r="G363" s="32" t="n"/>
      <c r="H363" s="11">
        <f>IF(G363="","",G363-TODAY())</f>
        <v/>
      </c>
      <c r="I363" s="11">
        <f>IF(G363="","",IF(J363="Oui","Terminé",IF(H363&lt;0,"PÉRIMÉ",IF(H363&lt;=1,"AUJOURD'HUI",IF(H363&lt;=3,"BIENTÔT","OK")))))</f>
        <v/>
      </c>
      <c r="J363" s="29" t="n"/>
    </row>
    <row r="364">
      <c r="A364" s="32" t="n"/>
      <c r="B364" s="28" t="n"/>
      <c r="C364" s="28" t="n"/>
      <c r="D364" s="29" t="n"/>
      <c r="E364" s="11">
        <f>IF(B364="","",IFERROR(INDEX(Produits!$H$5:$H$64,MATCH(B364,Produits!$G$5:$G$64,0)),""))</f>
        <v/>
      </c>
      <c r="F364" s="28" t="n"/>
      <c r="G364" s="32" t="n"/>
      <c r="H364" s="11">
        <f>IF(G364="","",G364-TODAY())</f>
        <v/>
      </c>
      <c r="I364" s="11">
        <f>IF(G364="","",IF(J364="Oui","Terminé",IF(H364&lt;0,"PÉRIMÉ",IF(H364&lt;=1,"AUJOURD'HUI",IF(H364&lt;=3,"BIENTÔT","OK")))))</f>
        <v/>
      </c>
      <c r="J364" s="29" t="n"/>
    </row>
    <row r="365">
      <c r="A365" s="32" t="n"/>
      <c r="B365" s="28" t="n"/>
      <c r="C365" s="28" t="n"/>
      <c r="D365" s="29" t="n"/>
      <c r="E365" s="11">
        <f>IF(B365="","",IFERROR(INDEX(Produits!$H$5:$H$64,MATCH(B365,Produits!$G$5:$G$64,0)),""))</f>
        <v/>
      </c>
      <c r="F365" s="28" t="n"/>
      <c r="G365" s="32" t="n"/>
      <c r="H365" s="11">
        <f>IF(G365="","",G365-TODAY())</f>
        <v/>
      </c>
      <c r="I365" s="11">
        <f>IF(G365="","",IF(J365="Oui","Terminé",IF(H365&lt;0,"PÉRIMÉ",IF(H365&lt;=1,"AUJOURD'HUI",IF(H365&lt;=3,"BIENTÔT","OK")))))</f>
        <v/>
      </c>
      <c r="J365" s="29" t="n"/>
    </row>
    <row r="366">
      <c r="A366" s="32" t="n"/>
      <c r="B366" s="28" t="n"/>
      <c r="C366" s="28" t="n"/>
      <c r="D366" s="29" t="n"/>
      <c r="E366" s="11">
        <f>IF(B366="","",IFERROR(INDEX(Produits!$H$5:$H$64,MATCH(B366,Produits!$G$5:$G$64,0)),""))</f>
        <v/>
      </c>
      <c r="F366" s="28" t="n"/>
      <c r="G366" s="32" t="n"/>
      <c r="H366" s="11">
        <f>IF(G366="","",G366-TODAY())</f>
        <v/>
      </c>
      <c r="I366" s="11">
        <f>IF(G366="","",IF(J366="Oui","Terminé",IF(H366&lt;0,"PÉRIMÉ",IF(H366&lt;=1,"AUJOURD'HUI",IF(H366&lt;=3,"BIENTÔT","OK")))))</f>
        <v/>
      </c>
      <c r="J366" s="29" t="n"/>
    </row>
    <row r="367">
      <c r="A367" s="32" t="n"/>
      <c r="B367" s="28" t="n"/>
      <c r="C367" s="28" t="n"/>
      <c r="D367" s="29" t="n"/>
      <c r="E367" s="11">
        <f>IF(B367="","",IFERROR(INDEX(Produits!$H$5:$H$64,MATCH(B367,Produits!$G$5:$G$64,0)),""))</f>
        <v/>
      </c>
      <c r="F367" s="28" t="n"/>
      <c r="G367" s="32" t="n"/>
      <c r="H367" s="11">
        <f>IF(G367="","",G367-TODAY())</f>
        <v/>
      </c>
      <c r="I367" s="11">
        <f>IF(G367="","",IF(J367="Oui","Terminé",IF(H367&lt;0,"PÉRIMÉ",IF(H367&lt;=1,"AUJOURD'HUI",IF(H367&lt;=3,"BIENTÔT","OK")))))</f>
        <v/>
      </c>
      <c r="J367" s="29" t="n"/>
    </row>
    <row r="368">
      <c r="A368" s="32" t="n"/>
      <c r="B368" s="28" t="n"/>
      <c r="C368" s="28" t="n"/>
      <c r="D368" s="29" t="n"/>
      <c r="E368" s="11">
        <f>IF(B368="","",IFERROR(INDEX(Produits!$H$5:$H$64,MATCH(B368,Produits!$G$5:$G$64,0)),""))</f>
        <v/>
      </c>
      <c r="F368" s="28" t="n"/>
      <c r="G368" s="32" t="n"/>
      <c r="H368" s="11">
        <f>IF(G368="","",G368-TODAY())</f>
        <v/>
      </c>
      <c r="I368" s="11">
        <f>IF(G368="","",IF(J368="Oui","Terminé",IF(H368&lt;0,"PÉRIMÉ",IF(H368&lt;=1,"AUJOURD'HUI",IF(H368&lt;=3,"BIENTÔT","OK")))))</f>
        <v/>
      </c>
      <c r="J368" s="29" t="n"/>
    </row>
    <row r="369">
      <c r="A369" s="32" t="n"/>
      <c r="B369" s="28" t="n"/>
      <c r="C369" s="28" t="n"/>
      <c r="D369" s="29" t="n"/>
      <c r="E369" s="11">
        <f>IF(B369="","",IFERROR(INDEX(Produits!$H$5:$H$64,MATCH(B369,Produits!$G$5:$G$64,0)),""))</f>
        <v/>
      </c>
      <c r="F369" s="28" t="n"/>
      <c r="G369" s="32" t="n"/>
      <c r="H369" s="11">
        <f>IF(G369="","",G369-TODAY())</f>
        <v/>
      </c>
      <c r="I369" s="11">
        <f>IF(G369="","",IF(J369="Oui","Terminé",IF(H369&lt;0,"PÉRIMÉ",IF(H369&lt;=1,"AUJOURD'HUI",IF(H369&lt;=3,"BIENTÔT","OK")))))</f>
        <v/>
      </c>
      <c r="J369" s="29" t="n"/>
    </row>
    <row r="370">
      <c r="A370" s="32" t="n"/>
      <c r="B370" s="28" t="n"/>
      <c r="C370" s="28" t="n"/>
      <c r="D370" s="29" t="n"/>
      <c r="E370" s="11">
        <f>IF(B370="","",IFERROR(INDEX(Produits!$H$5:$H$64,MATCH(B370,Produits!$G$5:$G$64,0)),""))</f>
        <v/>
      </c>
      <c r="F370" s="28" t="n"/>
      <c r="G370" s="32" t="n"/>
      <c r="H370" s="11">
        <f>IF(G370="","",G370-TODAY())</f>
        <v/>
      </c>
      <c r="I370" s="11">
        <f>IF(G370="","",IF(J370="Oui","Terminé",IF(H370&lt;0,"PÉRIMÉ",IF(H370&lt;=1,"AUJOURD'HUI",IF(H370&lt;=3,"BIENTÔT","OK")))))</f>
        <v/>
      </c>
      <c r="J370" s="29" t="n"/>
    </row>
    <row r="371">
      <c r="A371" s="32" t="n"/>
      <c r="B371" s="28" t="n"/>
      <c r="C371" s="28" t="n"/>
      <c r="D371" s="29" t="n"/>
      <c r="E371" s="11">
        <f>IF(B371="","",IFERROR(INDEX(Produits!$H$5:$H$64,MATCH(B371,Produits!$G$5:$G$64,0)),""))</f>
        <v/>
      </c>
      <c r="F371" s="28" t="n"/>
      <c r="G371" s="32" t="n"/>
      <c r="H371" s="11">
        <f>IF(G371="","",G371-TODAY())</f>
        <v/>
      </c>
      <c r="I371" s="11">
        <f>IF(G371="","",IF(J371="Oui","Terminé",IF(H371&lt;0,"PÉRIMÉ",IF(H371&lt;=1,"AUJOURD'HUI",IF(H371&lt;=3,"BIENTÔT","OK")))))</f>
        <v/>
      </c>
      <c r="J371" s="29" t="n"/>
    </row>
    <row r="372">
      <c r="A372" s="32" t="n"/>
      <c r="B372" s="28" t="n"/>
      <c r="C372" s="28" t="n"/>
      <c r="D372" s="29" t="n"/>
      <c r="E372" s="11">
        <f>IF(B372="","",IFERROR(INDEX(Produits!$H$5:$H$64,MATCH(B372,Produits!$G$5:$G$64,0)),""))</f>
        <v/>
      </c>
      <c r="F372" s="28" t="n"/>
      <c r="G372" s="32" t="n"/>
      <c r="H372" s="11">
        <f>IF(G372="","",G372-TODAY())</f>
        <v/>
      </c>
      <c r="I372" s="11">
        <f>IF(G372="","",IF(J372="Oui","Terminé",IF(H372&lt;0,"PÉRIMÉ",IF(H372&lt;=1,"AUJOURD'HUI",IF(H372&lt;=3,"BIENTÔT","OK")))))</f>
        <v/>
      </c>
      <c r="J372" s="29" t="n"/>
    </row>
    <row r="373">
      <c r="A373" s="32" t="n"/>
      <c r="B373" s="28" t="n"/>
      <c r="C373" s="28" t="n"/>
      <c r="D373" s="29" t="n"/>
      <c r="E373" s="11">
        <f>IF(B373="","",IFERROR(INDEX(Produits!$H$5:$H$64,MATCH(B373,Produits!$G$5:$G$64,0)),""))</f>
        <v/>
      </c>
      <c r="F373" s="28" t="n"/>
      <c r="G373" s="32" t="n"/>
      <c r="H373" s="11">
        <f>IF(G373="","",G373-TODAY())</f>
        <v/>
      </c>
      <c r="I373" s="11">
        <f>IF(G373="","",IF(J373="Oui","Terminé",IF(H373&lt;0,"PÉRIMÉ",IF(H373&lt;=1,"AUJOURD'HUI",IF(H373&lt;=3,"BIENTÔT","OK")))))</f>
        <v/>
      </c>
      <c r="J373" s="29" t="n"/>
    </row>
    <row r="374">
      <c r="A374" s="32" t="n"/>
      <c r="B374" s="28" t="n"/>
      <c r="C374" s="28" t="n"/>
      <c r="D374" s="29" t="n"/>
      <c r="E374" s="11">
        <f>IF(B374="","",IFERROR(INDEX(Produits!$H$5:$H$64,MATCH(B374,Produits!$G$5:$G$64,0)),""))</f>
        <v/>
      </c>
      <c r="F374" s="28" t="n"/>
      <c r="G374" s="32" t="n"/>
      <c r="H374" s="11">
        <f>IF(G374="","",G374-TODAY())</f>
        <v/>
      </c>
      <c r="I374" s="11">
        <f>IF(G374="","",IF(J374="Oui","Terminé",IF(H374&lt;0,"PÉRIMÉ",IF(H374&lt;=1,"AUJOURD'HUI",IF(H374&lt;=3,"BIENTÔT","OK")))))</f>
        <v/>
      </c>
      <c r="J374" s="29" t="n"/>
    </row>
    <row r="375">
      <c r="A375" s="32" t="n"/>
      <c r="B375" s="28" t="n"/>
      <c r="C375" s="28" t="n"/>
      <c r="D375" s="29" t="n"/>
      <c r="E375" s="11">
        <f>IF(B375="","",IFERROR(INDEX(Produits!$H$5:$H$64,MATCH(B375,Produits!$G$5:$G$64,0)),""))</f>
        <v/>
      </c>
      <c r="F375" s="28" t="n"/>
      <c r="G375" s="32" t="n"/>
      <c r="H375" s="11">
        <f>IF(G375="","",G375-TODAY())</f>
        <v/>
      </c>
      <c r="I375" s="11">
        <f>IF(G375="","",IF(J375="Oui","Terminé",IF(H375&lt;0,"PÉRIMÉ",IF(H375&lt;=1,"AUJOURD'HUI",IF(H375&lt;=3,"BIENTÔT","OK")))))</f>
        <v/>
      </c>
      <c r="J375" s="29" t="n"/>
    </row>
    <row r="376">
      <c r="A376" s="32" t="n"/>
      <c r="B376" s="28" t="n"/>
      <c r="C376" s="28" t="n"/>
      <c r="D376" s="29" t="n"/>
      <c r="E376" s="11">
        <f>IF(B376="","",IFERROR(INDEX(Produits!$H$5:$H$64,MATCH(B376,Produits!$G$5:$G$64,0)),""))</f>
        <v/>
      </c>
      <c r="F376" s="28" t="n"/>
      <c r="G376" s="32" t="n"/>
      <c r="H376" s="11">
        <f>IF(G376="","",G376-TODAY())</f>
        <v/>
      </c>
      <c r="I376" s="11">
        <f>IF(G376="","",IF(J376="Oui","Terminé",IF(H376&lt;0,"PÉRIMÉ",IF(H376&lt;=1,"AUJOURD'HUI",IF(H376&lt;=3,"BIENTÔT","OK")))))</f>
        <v/>
      </c>
      <c r="J376" s="29" t="n"/>
    </row>
    <row r="377">
      <c r="A377" s="32" t="n"/>
      <c r="B377" s="28" t="n"/>
      <c r="C377" s="28" t="n"/>
      <c r="D377" s="29" t="n"/>
      <c r="E377" s="11">
        <f>IF(B377="","",IFERROR(INDEX(Produits!$H$5:$H$64,MATCH(B377,Produits!$G$5:$G$64,0)),""))</f>
        <v/>
      </c>
      <c r="F377" s="28" t="n"/>
      <c r="G377" s="32" t="n"/>
      <c r="H377" s="11">
        <f>IF(G377="","",G377-TODAY())</f>
        <v/>
      </c>
      <c r="I377" s="11">
        <f>IF(G377="","",IF(J377="Oui","Terminé",IF(H377&lt;0,"PÉRIMÉ",IF(H377&lt;=1,"AUJOURD'HUI",IF(H377&lt;=3,"BIENTÔT","OK")))))</f>
        <v/>
      </c>
      <c r="J377" s="29" t="n"/>
    </row>
    <row r="378">
      <c r="A378" s="32" t="n"/>
      <c r="B378" s="28" t="n"/>
      <c r="C378" s="28" t="n"/>
      <c r="D378" s="29" t="n"/>
      <c r="E378" s="11">
        <f>IF(B378="","",IFERROR(INDEX(Produits!$H$5:$H$64,MATCH(B378,Produits!$G$5:$G$64,0)),""))</f>
        <v/>
      </c>
      <c r="F378" s="28" t="n"/>
      <c r="G378" s="32" t="n"/>
      <c r="H378" s="11">
        <f>IF(G378="","",G378-TODAY())</f>
        <v/>
      </c>
      <c r="I378" s="11">
        <f>IF(G378="","",IF(J378="Oui","Terminé",IF(H378&lt;0,"PÉRIMÉ",IF(H378&lt;=1,"AUJOURD'HUI",IF(H378&lt;=3,"BIENTÔT","OK")))))</f>
        <v/>
      </c>
      <c r="J378" s="29" t="n"/>
    </row>
    <row r="379">
      <c r="A379" s="32" t="n"/>
      <c r="B379" s="28" t="n"/>
      <c r="C379" s="28" t="n"/>
      <c r="D379" s="29" t="n"/>
      <c r="E379" s="11">
        <f>IF(B379="","",IFERROR(INDEX(Produits!$H$5:$H$64,MATCH(B379,Produits!$G$5:$G$64,0)),""))</f>
        <v/>
      </c>
      <c r="F379" s="28" t="n"/>
      <c r="G379" s="32" t="n"/>
      <c r="H379" s="11">
        <f>IF(G379="","",G379-TODAY())</f>
        <v/>
      </c>
      <c r="I379" s="11">
        <f>IF(G379="","",IF(J379="Oui","Terminé",IF(H379&lt;0,"PÉRIMÉ",IF(H379&lt;=1,"AUJOURD'HUI",IF(H379&lt;=3,"BIENTÔT","OK")))))</f>
        <v/>
      </c>
      <c r="J379" s="29" t="n"/>
    </row>
    <row r="380">
      <c r="A380" s="32" t="n"/>
      <c r="B380" s="28" t="n"/>
      <c r="C380" s="28" t="n"/>
      <c r="D380" s="29" t="n"/>
      <c r="E380" s="11">
        <f>IF(B380="","",IFERROR(INDEX(Produits!$H$5:$H$64,MATCH(B380,Produits!$G$5:$G$64,0)),""))</f>
        <v/>
      </c>
      <c r="F380" s="28" t="n"/>
      <c r="G380" s="32" t="n"/>
      <c r="H380" s="11">
        <f>IF(G380="","",G380-TODAY())</f>
        <v/>
      </c>
      <c r="I380" s="11">
        <f>IF(G380="","",IF(J380="Oui","Terminé",IF(H380&lt;0,"PÉRIMÉ",IF(H380&lt;=1,"AUJOURD'HUI",IF(H380&lt;=3,"BIENTÔT","OK")))))</f>
        <v/>
      </c>
      <c r="J380" s="29" t="n"/>
    </row>
    <row r="381">
      <c r="A381" s="32" t="n"/>
      <c r="B381" s="28" t="n"/>
      <c r="C381" s="28" t="n"/>
      <c r="D381" s="29" t="n"/>
      <c r="E381" s="11">
        <f>IF(B381="","",IFERROR(INDEX(Produits!$H$5:$H$64,MATCH(B381,Produits!$G$5:$G$64,0)),""))</f>
        <v/>
      </c>
      <c r="F381" s="28" t="n"/>
      <c r="G381" s="32" t="n"/>
      <c r="H381" s="11">
        <f>IF(G381="","",G381-TODAY())</f>
        <v/>
      </c>
      <c r="I381" s="11">
        <f>IF(G381="","",IF(J381="Oui","Terminé",IF(H381&lt;0,"PÉRIMÉ",IF(H381&lt;=1,"AUJOURD'HUI",IF(H381&lt;=3,"BIENTÔT","OK")))))</f>
        <v/>
      </c>
      <c r="J381" s="29" t="n"/>
    </row>
    <row r="382">
      <c r="A382" s="32" t="n"/>
      <c r="B382" s="28" t="n"/>
      <c r="C382" s="28" t="n"/>
      <c r="D382" s="29" t="n"/>
      <c r="E382" s="11">
        <f>IF(B382="","",IFERROR(INDEX(Produits!$H$5:$H$64,MATCH(B382,Produits!$G$5:$G$64,0)),""))</f>
        <v/>
      </c>
      <c r="F382" s="28" t="n"/>
      <c r="G382" s="32" t="n"/>
      <c r="H382" s="11">
        <f>IF(G382="","",G382-TODAY())</f>
        <v/>
      </c>
      <c r="I382" s="11">
        <f>IF(G382="","",IF(J382="Oui","Terminé",IF(H382&lt;0,"PÉRIMÉ",IF(H382&lt;=1,"AUJOURD'HUI",IF(H382&lt;=3,"BIENTÔT","OK")))))</f>
        <v/>
      </c>
      <c r="J382" s="29" t="n"/>
    </row>
    <row r="383">
      <c r="A383" s="32" t="n"/>
      <c r="B383" s="28" t="n"/>
      <c r="C383" s="28" t="n"/>
      <c r="D383" s="29" t="n"/>
      <c r="E383" s="11">
        <f>IF(B383="","",IFERROR(INDEX(Produits!$H$5:$H$64,MATCH(B383,Produits!$G$5:$G$64,0)),""))</f>
        <v/>
      </c>
      <c r="F383" s="28" t="n"/>
      <c r="G383" s="32" t="n"/>
      <c r="H383" s="11">
        <f>IF(G383="","",G383-TODAY())</f>
        <v/>
      </c>
      <c r="I383" s="11">
        <f>IF(G383="","",IF(J383="Oui","Terminé",IF(H383&lt;0,"PÉRIMÉ",IF(H383&lt;=1,"AUJOURD'HUI",IF(H383&lt;=3,"BIENTÔT","OK")))))</f>
        <v/>
      </c>
      <c r="J383" s="29" t="n"/>
    </row>
    <row r="384">
      <c r="A384" s="32" t="n"/>
      <c r="B384" s="28" t="n"/>
      <c r="C384" s="28" t="n"/>
      <c r="D384" s="29" t="n"/>
      <c r="E384" s="11">
        <f>IF(B384="","",IFERROR(INDEX(Produits!$H$5:$H$64,MATCH(B384,Produits!$G$5:$G$64,0)),""))</f>
        <v/>
      </c>
      <c r="F384" s="28" t="n"/>
      <c r="G384" s="32" t="n"/>
      <c r="H384" s="11">
        <f>IF(G384="","",G384-TODAY())</f>
        <v/>
      </c>
      <c r="I384" s="11">
        <f>IF(G384="","",IF(J384="Oui","Terminé",IF(H384&lt;0,"PÉRIMÉ",IF(H384&lt;=1,"AUJOURD'HUI",IF(H384&lt;=3,"BIENTÔT","OK")))))</f>
        <v/>
      </c>
      <c r="J384" s="29" t="n"/>
    </row>
    <row r="385">
      <c r="A385" s="32" t="n"/>
      <c r="B385" s="28" t="n"/>
      <c r="C385" s="28" t="n"/>
      <c r="D385" s="29" t="n"/>
      <c r="E385" s="11">
        <f>IF(B385="","",IFERROR(INDEX(Produits!$H$5:$H$64,MATCH(B385,Produits!$G$5:$G$64,0)),""))</f>
        <v/>
      </c>
      <c r="F385" s="28" t="n"/>
      <c r="G385" s="32" t="n"/>
      <c r="H385" s="11">
        <f>IF(G385="","",G385-TODAY())</f>
        <v/>
      </c>
      <c r="I385" s="11">
        <f>IF(G385="","",IF(J385="Oui","Terminé",IF(H385&lt;0,"PÉRIMÉ",IF(H385&lt;=1,"AUJOURD'HUI",IF(H385&lt;=3,"BIENTÔT","OK")))))</f>
        <v/>
      </c>
      <c r="J385" s="29" t="n"/>
    </row>
    <row r="386">
      <c r="A386" s="32" t="n"/>
      <c r="B386" s="28" t="n"/>
      <c r="C386" s="28" t="n"/>
      <c r="D386" s="29" t="n"/>
      <c r="E386" s="11">
        <f>IF(B386="","",IFERROR(INDEX(Produits!$H$5:$H$64,MATCH(B386,Produits!$G$5:$G$64,0)),""))</f>
        <v/>
      </c>
      <c r="F386" s="28" t="n"/>
      <c r="G386" s="32" t="n"/>
      <c r="H386" s="11">
        <f>IF(G386="","",G386-TODAY())</f>
        <v/>
      </c>
      <c r="I386" s="11">
        <f>IF(G386="","",IF(J386="Oui","Terminé",IF(H386&lt;0,"PÉRIMÉ",IF(H386&lt;=1,"AUJOURD'HUI",IF(H386&lt;=3,"BIENTÔT","OK")))))</f>
        <v/>
      </c>
      <c r="J386" s="29" t="n"/>
    </row>
    <row r="387">
      <c r="A387" s="32" t="n"/>
      <c r="B387" s="28" t="n"/>
      <c r="C387" s="28" t="n"/>
      <c r="D387" s="29" t="n"/>
      <c r="E387" s="11">
        <f>IF(B387="","",IFERROR(INDEX(Produits!$H$5:$H$64,MATCH(B387,Produits!$G$5:$G$64,0)),""))</f>
        <v/>
      </c>
      <c r="F387" s="28" t="n"/>
      <c r="G387" s="32" t="n"/>
      <c r="H387" s="11">
        <f>IF(G387="","",G387-TODAY())</f>
        <v/>
      </c>
      <c r="I387" s="11">
        <f>IF(G387="","",IF(J387="Oui","Terminé",IF(H387&lt;0,"PÉRIMÉ",IF(H387&lt;=1,"AUJOURD'HUI",IF(H387&lt;=3,"BIENTÔT","OK")))))</f>
        <v/>
      </c>
      <c r="J387" s="29" t="n"/>
    </row>
    <row r="388">
      <c r="A388" s="32" t="n"/>
      <c r="B388" s="28" t="n"/>
      <c r="C388" s="28" t="n"/>
      <c r="D388" s="29" t="n"/>
      <c r="E388" s="11">
        <f>IF(B388="","",IFERROR(INDEX(Produits!$H$5:$H$64,MATCH(B388,Produits!$G$5:$G$64,0)),""))</f>
        <v/>
      </c>
      <c r="F388" s="28" t="n"/>
      <c r="G388" s="32" t="n"/>
      <c r="H388" s="11">
        <f>IF(G388="","",G388-TODAY())</f>
        <v/>
      </c>
      <c r="I388" s="11">
        <f>IF(G388="","",IF(J388="Oui","Terminé",IF(H388&lt;0,"PÉRIMÉ",IF(H388&lt;=1,"AUJOURD'HUI",IF(H388&lt;=3,"BIENTÔT","OK")))))</f>
        <v/>
      </c>
      <c r="J388" s="29" t="n"/>
    </row>
    <row r="389">
      <c r="A389" s="32" t="n"/>
      <c r="B389" s="28" t="n"/>
      <c r="C389" s="28" t="n"/>
      <c r="D389" s="29" t="n"/>
      <c r="E389" s="11">
        <f>IF(B389="","",IFERROR(INDEX(Produits!$H$5:$H$64,MATCH(B389,Produits!$G$5:$G$64,0)),""))</f>
        <v/>
      </c>
      <c r="F389" s="28" t="n"/>
      <c r="G389" s="32" t="n"/>
      <c r="H389" s="11">
        <f>IF(G389="","",G389-TODAY())</f>
        <v/>
      </c>
      <c r="I389" s="11">
        <f>IF(G389="","",IF(J389="Oui","Terminé",IF(H389&lt;0,"PÉRIMÉ",IF(H389&lt;=1,"AUJOURD'HUI",IF(H389&lt;=3,"BIENTÔT","OK")))))</f>
        <v/>
      </c>
      <c r="J389" s="29" t="n"/>
    </row>
    <row r="390">
      <c r="A390" s="32" t="n"/>
      <c r="B390" s="28" t="n"/>
      <c r="C390" s="28" t="n"/>
      <c r="D390" s="29" t="n"/>
      <c r="E390" s="11">
        <f>IF(B390="","",IFERROR(INDEX(Produits!$H$5:$H$64,MATCH(B390,Produits!$G$5:$G$64,0)),""))</f>
        <v/>
      </c>
      <c r="F390" s="28" t="n"/>
      <c r="G390" s="32" t="n"/>
      <c r="H390" s="11">
        <f>IF(G390="","",G390-TODAY())</f>
        <v/>
      </c>
      <c r="I390" s="11">
        <f>IF(G390="","",IF(J390="Oui","Terminé",IF(H390&lt;0,"PÉRIMÉ",IF(H390&lt;=1,"AUJOURD'HUI",IF(H390&lt;=3,"BIENTÔT","OK")))))</f>
        <v/>
      </c>
      <c r="J390" s="29" t="n"/>
    </row>
    <row r="391">
      <c r="A391" s="32" t="n"/>
      <c r="B391" s="28" t="n"/>
      <c r="C391" s="28" t="n"/>
      <c r="D391" s="29" t="n"/>
      <c r="E391" s="11">
        <f>IF(B391="","",IFERROR(INDEX(Produits!$H$5:$H$64,MATCH(B391,Produits!$G$5:$G$64,0)),""))</f>
        <v/>
      </c>
      <c r="F391" s="28" t="n"/>
      <c r="G391" s="32" t="n"/>
      <c r="H391" s="11">
        <f>IF(G391="","",G391-TODAY())</f>
        <v/>
      </c>
      <c r="I391" s="11">
        <f>IF(G391="","",IF(J391="Oui","Terminé",IF(H391&lt;0,"PÉRIMÉ",IF(H391&lt;=1,"AUJOURD'HUI",IF(H391&lt;=3,"BIENTÔT","OK")))))</f>
        <v/>
      </c>
      <c r="J391" s="29" t="n"/>
    </row>
    <row r="392">
      <c r="A392" s="32" t="n"/>
      <c r="B392" s="28" t="n"/>
      <c r="C392" s="28" t="n"/>
      <c r="D392" s="29" t="n"/>
      <c r="E392" s="11">
        <f>IF(B392="","",IFERROR(INDEX(Produits!$H$5:$H$64,MATCH(B392,Produits!$G$5:$G$64,0)),""))</f>
        <v/>
      </c>
      <c r="F392" s="28" t="n"/>
      <c r="G392" s="32" t="n"/>
      <c r="H392" s="11">
        <f>IF(G392="","",G392-TODAY())</f>
        <v/>
      </c>
      <c r="I392" s="11">
        <f>IF(G392="","",IF(J392="Oui","Terminé",IF(H392&lt;0,"PÉRIMÉ",IF(H392&lt;=1,"AUJOURD'HUI",IF(H392&lt;=3,"BIENTÔT","OK")))))</f>
        <v/>
      </c>
      <c r="J392" s="29" t="n"/>
    </row>
    <row r="393">
      <c r="A393" s="32" t="n"/>
      <c r="B393" s="28" t="n"/>
      <c r="C393" s="28" t="n"/>
      <c r="D393" s="29" t="n"/>
      <c r="E393" s="11">
        <f>IF(B393="","",IFERROR(INDEX(Produits!$H$5:$H$64,MATCH(B393,Produits!$G$5:$G$64,0)),""))</f>
        <v/>
      </c>
      <c r="F393" s="28" t="n"/>
      <c r="G393" s="32" t="n"/>
      <c r="H393" s="11">
        <f>IF(G393="","",G393-TODAY())</f>
        <v/>
      </c>
      <c r="I393" s="11">
        <f>IF(G393="","",IF(J393="Oui","Terminé",IF(H393&lt;0,"PÉRIMÉ",IF(H393&lt;=1,"AUJOURD'HUI",IF(H393&lt;=3,"BIENTÔT","OK")))))</f>
        <v/>
      </c>
      <c r="J393" s="29" t="n"/>
    </row>
    <row r="394">
      <c r="A394" s="32" t="n"/>
      <c r="B394" s="28" t="n"/>
      <c r="C394" s="28" t="n"/>
      <c r="D394" s="29" t="n"/>
      <c r="E394" s="11">
        <f>IF(B394="","",IFERROR(INDEX(Produits!$H$5:$H$64,MATCH(B394,Produits!$G$5:$G$64,0)),""))</f>
        <v/>
      </c>
      <c r="F394" s="28" t="n"/>
      <c r="G394" s="32" t="n"/>
      <c r="H394" s="11">
        <f>IF(G394="","",G394-TODAY())</f>
        <v/>
      </c>
      <c r="I394" s="11">
        <f>IF(G394="","",IF(J394="Oui","Terminé",IF(H394&lt;0,"PÉRIMÉ",IF(H394&lt;=1,"AUJOURD'HUI",IF(H394&lt;=3,"BIENTÔT","OK")))))</f>
        <v/>
      </c>
      <c r="J394" s="29" t="n"/>
    </row>
    <row r="395">
      <c r="A395" s="32" t="n"/>
      <c r="B395" s="28" t="n"/>
      <c r="C395" s="28" t="n"/>
      <c r="D395" s="29" t="n"/>
      <c r="E395" s="11">
        <f>IF(B395="","",IFERROR(INDEX(Produits!$H$5:$H$64,MATCH(B395,Produits!$G$5:$G$64,0)),""))</f>
        <v/>
      </c>
      <c r="F395" s="28" t="n"/>
      <c r="G395" s="32" t="n"/>
      <c r="H395" s="11">
        <f>IF(G395="","",G395-TODAY())</f>
        <v/>
      </c>
      <c r="I395" s="11">
        <f>IF(G395="","",IF(J395="Oui","Terminé",IF(H395&lt;0,"PÉRIMÉ",IF(H395&lt;=1,"AUJOURD'HUI",IF(H395&lt;=3,"BIENTÔT","OK")))))</f>
        <v/>
      </c>
      <c r="J395" s="29" t="n"/>
    </row>
    <row r="396">
      <c r="A396" s="32" t="n"/>
      <c r="B396" s="28" t="n"/>
      <c r="C396" s="28" t="n"/>
      <c r="D396" s="29" t="n"/>
      <c r="E396" s="11">
        <f>IF(B396="","",IFERROR(INDEX(Produits!$H$5:$H$64,MATCH(B396,Produits!$G$5:$G$64,0)),""))</f>
        <v/>
      </c>
      <c r="F396" s="28" t="n"/>
      <c r="G396" s="32" t="n"/>
      <c r="H396" s="11">
        <f>IF(G396="","",G396-TODAY())</f>
        <v/>
      </c>
      <c r="I396" s="11">
        <f>IF(G396="","",IF(J396="Oui","Terminé",IF(H396&lt;0,"PÉRIMÉ",IF(H396&lt;=1,"AUJOURD'HUI",IF(H396&lt;=3,"BIENTÔT","OK")))))</f>
        <v/>
      </c>
      <c r="J396" s="29" t="n"/>
    </row>
    <row r="397">
      <c r="A397" s="32" t="n"/>
      <c r="B397" s="28" t="n"/>
      <c r="C397" s="28" t="n"/>
      <c r="D397" s="29" t="n"/>
      <c r="E397" s="11">
        <f>IF(B397="","",IFERROR(INDEX(Produits!$H$5:$H$64,MATCH(B397,Produits!$G$5:$G$64,0)),""))</f>
        <v/>
      </c>
      <c r="F397" s="28" t="n"/>
      <c r="G397" s="32" t="n"/>
      <c r="H397" s="11">
        <f>IF(G397="","",G397-TODAY())</f>
        <v/>
      </c>
      <c r="I397" s="11">
        <f>IF(G397="","",IF(J397="Oui","Terminé",IF(H397&lt;0,"PÉRIMÉ",IF(H397&lt;=1,"AUJOURD'HUI",IF(H397&lt;=3,"BIENTÔT","OK")))))</f>
        <v/>
      </c>
      <c r="J397" s="29" t="n"/>
    </row>
    <row r="398">
      <c r="A398" s="32" t="n"/>
      <c r="B398" s="28" t="n"/>
      <c r="C398" s="28" t="n"/>
      <c r="D398" s="29" t="n"/>
      <c r="E398" s="11">
        <f>IF(B398="","",IFERROR(INDEX(Produits!$H$5:$H$64,MATCH(B398,Produits!$G$5:$G$64,0)),""))</f>
        <v/>
      </c>
      <c r="F398" s="28" t="n"/>
      <c r="G398" s="32" t="n"/>
      <c r="H398" s="11">
        <f>IF(G398="","",G398-TODAY())</f>
        <v/>
      </c>
      <c r="I398" s="11">
        <f>IF(G398="","",IF(J398="Oui","Terminé",IF(H398&lt;0,"PÉRIMÉ",IF(H398&lt;=1,"AUJOURD'HUI",IF(H398&lt;=3,"BIENTÔT","OK")))))</f>
        <v/>
      </c>
      <c r="J398" s="29" t="n"/>
    </row>
    <row r="399">
      <c r="A399" s="32" t="n"/>
      <c r="B399" s="28" t="n"/>
      <c r="C399" s="28" t="n"/>
      <c r="D399" s="29" t="n"/>
      <c r="E399" s="11">
        <f>IF(B399="","",IFERROR(INDEX(Produits!$H$5:$H$64,MATCH(B399,Produits!$G$5:$G$64,0)),""))</f>
        <v/>
      </c>
      <c r="F399" s="28" t="n"/>
      <c r="G399" s="32" t="n"/>
      <c r="H399" s="11">
        <f>IF(G399="","",G399-TODAY())</f>
        <v/>
      </c>
      <c r="I399" s="11">
        <f>IF(G399="","",IF(J399="Oui","Terminé",IF(H399&lt;0,"PÉRIMÉ",IF(H399&lt;=1,"AUJOURD'HUI",IF(H399&lt;=3,"BIENTÔT","OK")))))</f>
        <v/>
      </c>
      <c r="J399" s="29" t="n"/>
    </row>
    <row r="400">
      <c r="A400" s="32" t="n"/>
      <c r="B400" s="28" t="n"/>
      <c r="C400" s="28" t="n"/>
      <c r="D400" s="29" t="n"/>
      <c r="E400" s="11">
        <f>IF(B400="","",IFERROR(INDEX(Produits!$H$5:$H$64,MATCH(B400,Produits!$G$5:$G$64,0)),""))</f>
        <v/>
      </c>
      <c r="F400" s="28" t="n"/>
      <c r="G400" s="32" t="n"/>
      <c r="H400" s="11">
        <f>IF(G400="","",G400-TODAY())</f>
        <v/>
      </c>
      <c r="I400" s="11">
        <f>IF(G400="","",IF(J400="Oui","Terminé",IF(H400&lt;0,"PÉRIMÉ",IF(H400&lt;=1,"AUJOURD'HUI",IF(H400&lt;=3,"BIENTÔT","OK")))))</f>
        <v/>
      </c>
      <c r="J400" s="29" t="n"/>
    </row>
    <row r="401">
      <c r="A401" s="32" t="n"/>
      <c r="B401" s="28" t="n"/>
      <c r="C401" s="28" t="n"/>
      <c r="D401" s="29" t="n"/>
      <c r="E401" s="11">
        <f>IF(B401="","",IFERROR(INDEX(Produits!$H$5:$H$64,MATCH(B401,Produits!$G$5:$G$64,0)),""))</f>
        <v/>
      </c>
      <c r="F401" s="28" t="n"/>
      <c r="G401" s="32" t="n"/>
      <c r="H401" s="11">
        <f>IF(G401="","",G401-TODAY())</f>
        <v/>
      </c>
      <c r="I401" s="11">
        <f>IF(G401="","",IF(J401="Oui","Terminé",IF(H401&lt;0,"PÉRIMÉ",IF(H401&lt;=1,"AUJOURD'HUI",IF(H401&lt;=3,"BIENTÔT","OK")))))</f>
        <v/>
      </c>
      <c r="J401" s="29" t="n"/>
    </row>
    <row r="402">
      <c r="A402" s="32" t="n"/>
      <c r="B402" s="28" t="n"/>
      <c r="C402" s="28" t="n"/>
      <c r="D402" s="29" t="n"/>
      <c r="E402" s="11">
        <f>IF(B402="","",IFERROR(INDEX(Produits!$H$5:$H$64,MATCH(B402,Produits!$G$5:$G$64,0)),""))</f>
        <v/>
      </c>
      <c r="F402" s="28" t="n"/>
      <c r="G402" s="32" t="n"/>
      <c r="H402" s="11">
        <f>IF(G402="","",G402-TODAY())</f>
        <v/>
      </c>
      <c r="I402" s="11">
        <f>IF(G402="","",IF(J402="Oui","Terminé",IF(H402&lt;0,"PÉRIMÉ",IF(H402&lt;=1,"AUJOURD'HUI",IF(H402&lt;=3,"BIENTÔT","OK")))))</f>
        <v/>
      </c>
      <c r="J402" s="29" t="n"/>
    </row>
    <row r="403">
      <c r="A403" s="32" t="n"/>
      <c r="B403" s="28" t="n"/>
      <c r="C403" s="28" t="n"/>
      <c r="D403" s="29" t="n"/>
      <c r="E403" s="11">
        <f>IF(B403="","",IFERROR(INDEX(Produits!$H$5:$H$64,MATCH(B403,Produits!$G$5:$G$64,0)),""))</f>
        <v/>
      </c>
      <c r="F403" s="28" t="n"/>
      <c r="G403" s="32" t="n"/>
      <c r="H403" s="11">
        <f>IF(G403="","",G403-TODAY())</f>
        <v/>
      </c>
      <c r="I403" s="11">
        <f>IF(G403="","",IF(J403="Oui","Terminé",IF(H403&lt;0,"PÉRIMÉ",IF(H403&lt;=1,"AUJOURD'HUI",IF(H403&lt;=3,"BIENTÔT","OK")))))</f>
        <v/>
      </c>
      <c r="J403" s="29" t="n"/>
    </row>
    <row r="404">
      <c r="A404" s="32" t="n"/>
      <c r="B404" s="28" t="n"/>
      <c r="C404" s="28" t="n"/>
      <c r="D404" s="29" t="n"/>
      <c r="E404" s="11">
        <f>IF(B404="","",IFERROR(INDEX(Produits!$H$5:$H$64,MATCH(B404,Produits!$G$5:$G$64,0)),""))</f>
        <v/>
      </c>
      <c r="F404" s="28" t="n"/>
      <c r="G404" s="32" t="n"/>
      <c r="H404" s="11">
        <f>IF(G404="","",G404-TODAY())</f>
        <v/>
      </c>
      <c r="I404" s="11">
        <f>IF(G404="","",IF(J404="Oui","Terminé",IF(H404&lt;0,"PÉRIMÉ",IF(H404&lt;=1,"AUJOURD'HUI",IF(H404&lt;=3,"BIENTÔT","OK")))))</f>
        <v/>
      </c>
      <c r="J404" s="29" t="n"/>
    </row>
  </sheetData>
  <conditionalFormatting sqref="A5:J404">
    <cfRule type="expression" priority="1" dxfId="4">
      <formula>$J5="Oui"</formula>
    </cfRule>
  </conditionalFormatting>
  <conditionalFormatting sqref="I5:I404">
    <cfRule type="expression" priority="2" dxfId="0">
      <formula>I5="PÉRIMÉ"</formula>
    </cfRule>
    <cfRule type="expression" priority="3" dxfId="0">
      <formula>I5="AUJOURD'HUI"</formula>
    </cfRule>
    <cfRule type="expression" priority="4" dxfId="1">
      <formula>I5="BIENTÔT"</formula>
    </cfRule>
    <cfRule type="expression" priority="5" dxfId="5">
      <formula>I5="OK"</formula>
    </cfRule>
  </conditionalFormatting>
  <dataValidations count="4">
    <dataValidation sqref="B5:B404" showDropDown="0" showInputMessage="0" showErrorMessage="0" allowBlank="1" type="list">
      <formula1>=Produits!$G$5:$G$64</formula1>
    </dataValidation>
    <dataValidation sqref="C5:C404" showDropDown="0" showInputMessage="0" showErrorMessage="0" allowBlank="1" type="list">
      <formula1>=Fournisseurs!$A$5:$A$14</formula1>
    </dataValidation>
    <dataValidation sqref="J5:J404" showDropDown="0" showInputMessage="0" showErrorMessage="0" allowBlank="1" type="list">
      <formula1>"Oui,Non"</formula1>
    </dataValidation>
    <dataValidation sqref="D5:D404"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71"/>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24" customWidth="1" min="1" max="1"/>
    <col width="7" customWidth="1" min="2" max="2"/>
    <col width="7" customWidth="1" min="3" max="3"/>
    <col width="11" customWidth="1" min="4" max="4"/>
    <col width="10.5" customWidth="1" min="5" max="5"/>
    <col width="10.5" customWidth="1" min="6" max="6"/>
    <col width="10.5" customWidth="1" min="7" max="7"/>
    <col width="11" customWidth="1" min="8" max="8"/>
    <col width="10.5" customWidth="1" min="9" max="9"/>
    <col width="10.5" customWidth="1" min="10" max="10"/>
    <col width="10.5" customWidth="1" min="11" max="11"/>
    <col width="11" customWidth="1" min="12" max="12"/>
    <col width="10.5" customWidth="1" min="13" max="13"/>
    <col width="10.5" customWidth="1" min="14" max="14"/>
    <col width="10.5" customWidth="1" min="15" max="15"/>
    <col width="11" customWidth="1" min="16" max="16"/>
    <col width="10.5" customWidth="1" min="17" max="17"/>
    <col width="10.5" customWidth="1" min="18" max="18"/>
    <col width="10.5" customWidth="1" min="19" max="19"/>
    <col width="11" customWidth="1" min="20" max="20"/>
    <col width="11" customWidth="1" min="21" max="21"/>
    <col width="11" customWidth="1" min="22" max="22"/>
    <col width="11" customWidth="1" min="23" max="23"/>
    <col width="12" customWidth="1" min="24" max="24"/>
  </cols>
  <sheetData>
    <row r="1" ht="26" customHeight="1">
      <c r="A1" s="1" t="inlineStr">
        <is>
          <t>Janvier 2026</t>
        </is>
      </c>
    </row>
    <row r="2">
      <c r="A2" s="2" t="inlineStr">
        <is>
          <t>Date cmd = jour où tu passes la commande · Stock = ce qu'il reste · Commandé · Reçu = ce qui est arrivé</t>
        </is>
      </c>
    </row>
    <row r="4">
      <c r="A4" s="15" t="inlineStr">
        <is>
          <t>Produit</t>
        </is>
      </c>
      <c r="B4" s="15" t="inlineStr">
        <is>
          <t>Unité</t>
        </is>
      </c>
      <c r="C4" s="15" t="inlineStr">
        <is>
          <t>Mini</t>
        </is>
      </c>
      <c r="D4" s="15" t="inlineStr">
        <is>
          <t>Semaine 1</t>
        </is>
      </c>
      <c r="E4" s="19" t="n"/>
      <c r="F4" s="19" t="n"/>
      <c r="G4" s="19" t="n"/>
      <c r="H4" s="15" t="inlineStr">
        <is>
          <t>Semaine 2</t>
        </is>
      </c>
      <c r="I4" s="19" t="n"/>
      <c r="J4" s="19" t="n"/>
      <c r="K4" s="19" t="n"/>
      <c r="L4" s="15" t="inlineStr">
        <is>
          <t>Semaine 3</t>
        </is>
      </c>
      <c r="M4" s="19" t="n"/>
      <c r="N4" s="19" t="n"/>
      <c r="O4" s="19" t="n"/>
      <c r="P4" s="15" t="inlineStr">
        <is>
          <t>Semaine 4</t>
        </is>
      </c>
      <c r="Q4" s="19" t="n"/>
      <c r="R4" s="19" t="n"/>
      <c r="S4" s="19" t="n"/>
      <c r="T4" s="15" t="inlineStr">
        <is>
          <t>Total du mois</t>
        </is>
      </c>
      <c r="U4" s="19" t="n"/>
      <c r="V4" s="19" t="n"/>
      <c r="W4" s="19" t="n"/>
      <c r="X4" s="15" t="inlineStr">
        <is>
          <t>Dépense (€)</t>
        </is>
      </c>
    </row>
    <row r="5">
      <c r="A5" s="19" t="n"/>
      <c r="B5" s="19" t="n"/>
      <c r="C5" s="19" t="n"/>
      <c r="D5" s="8" t="inlineStr">
        <is>
          <t>Date cmd</t>
        </is>
      </c>
      <c r="E5" s="8" t="inlineStr">
        <is>
          <t>Stock</t>
        </is>
      </c>
      <c r="F5" s="8" t="inlineStr">
        <is>
          <t>Commandé</t>
        </is>
      </c>
      <c r="G5" s="8" t="inlineStr">
        <is>
          <t>Reçu</t>
        </is>
      </c>
      <c r="H5" s="8" t="inlineStr">
        <is>
          <t>Date cmd</t>
        </is>
      </c>
      <c r="I5" s="8" t="inlineStr">
        <is>
          <t>Stock</t>
        </is>
      </c>
      <c r="J5" s="8" t="inlineStr">
        <is>
          <t>Commandé</t>
        </is>
      </c>
      <c r="K5" s="8" t="inlineStr">
        <is>
          <t>Reçu</t>
        </is>
      </c>
      <c r="L5" s="8" t="inlineStr">
        <is>
          <t>Date cmd</t>
        </is>
      </c>
      <c r="M5" s="8" t="inlineStr">
        <is>
          <t>Stock</t>
        </is>
      </c>
      <c r="N5" s="8" t="inlineStr">
        <is>
          <t>Commandé</t>
        </is>
      </c>
      <c r="O5" s="8" t="inlineStr">
        <is>
          <t>Reçu</t>
        </is>
      </c>
      <c r="P5" s="8" t="inlineStr">
        <is>
          <t>Date cmd</t>
        </is>
      </c>
      <c r="Q5" s="8" t="inlineStr">
        <is>
          <t>Stock</t>
        </is>
      </c>
      <c r="R5" s="8" t="inlineStr">
        <is>
          <t>Commandé</t>
        </is>
      </c>
      <c r="S5" s="8" t="inlineStr">
        <is>
          <t>Reçu</t>
        </is>
      </c>
      <c r="T5" s="8" t="inlineStr">
        <is>
          <t>Commandé</t>
        </is>
      </c>
      <c r="U5" s="8" t="inlineStr">
        <is>
          <t>Reçu</t>
        </is>
      </c>
      <c r="V5" s="8" t="inlineStr">
        <is>
          <t>Écart</t>
        </is>
      </c>
      <c r="W5" s="8" t="inlineStr">
        <is>
          <t>Dernier stock</t>
        </is>
      </c>
      <c r="X5" s="19" t="n"/>
    </row>
    <row r="6" ht="20" customHeight="1">
      <c r="A6" s="23" t="inlineStr">
        <is>
          <t>RÉSERVE SÈCHE</t>
        </is>
      </c>
      <c r="B6" s="10" t="n"/>
      <c r="C6" s="10" t="n"/>
      <c r="D6" s="10" t="n"/>
      <c r="E6" s="10" t="n"/>
      <c r="F6" s="10" t="n"/>
      <c r="G6" s="10" t="n"/>
      <c r="H6" s="10" t="n"/>
      <c r="I6" s="10" t="n"/>
      <c r="J6" s="10" t="n"/>
      <c r="K6" s="10" t="n"/>
      <c r="L6" s="10" t="n"/>
      <c r="M6" s="10" t="n"/>
      <c r="N6" s="10" t="n"/>
      <c r="O6" s="10" t="n"/>
      <c r="P6" s="10" t="n"/>
      <c r="Q6" s="10" t="n"/>
      <c r="R6" s="10" t="n"/>
      <c r="S6" s="10" t="n"/>
      <c r="T6" s="10" t="n"/>
      <c r="U6" s="10" t="n"/>
      <c r="V6" s="10" t="n"/>
      <c r="W6" s="10" t="n"/>
      <c r="X6" s="10" t="n"/>
    </row>
    <row r="7">
      <c r="A7" s="33">
        <f>IF(Produits!$A$6="","",Produits!$A$6)</f>
        <v/>
      </c>
      <c r="B7" s="34">
        <f>IF(Produits!$A$6="","",Produits!$C$6)</f>
        <v/>
      </c>
      <c r="C7" s="34">
        <f>IF(Produits!$A$6="","",Produits!$D$6)</f>
        <v/>
      </c>
      <c r="D7" s="32" t="n"/>
      <c r="E7" s="29" t="n"/>
      <c r="F7" s="29" t="n"/>
      <c r="G7" s="29" t="n"/>
      <c r="H7" s="32" t="n"/>
      <c r="I7" s="29" t="n"/>
      <c r="J7" s="29" t="n"/>
      <c r="K7" s="29" t="n"/>
      <c r="L7" s="32" t="n"/>
      <c r="M7" s="29" t="n"/>
      <c r="N7" s="29" t="n"/>
      <c r="O7" s="29" t="n"/>
      <c r="P7" s="32" t="n"/>
      <c r="Q7" s="29" t="n"/>
      <c r="R7" s="29" t="n"/>
      <c r="S7" s="29" t="n"/>
      <c r="T7" s="22">
        <f>IF(COUNT(F7,J7,N7,R7)=0,"",SUM(F7,J7,N7,R7))</f>
        <v/>
      </c>
      <c r="U7" s="22">
        <f>IF(COUNT(G7,K7,O7,S7)=0,"",SUM(G7,K7,O7,S7))</f>
        <v/>
      </c>
      <c r="V7" s="22">
        <f>IF(OR(T7="",U7=""),"",U7-T7)</f>
        <v/>
      </c>
      <c r="W7" s="22">
        <f>IF(Q7&lt;&gt;"",Q7,IF(M7&lt;&gt;"",M7,IF(I7&lt;&gt;"",I7,IF(E7&lt;&gt;"",E7,""))))</f>
        <v/>
      </c>
      <c r="X7" s="18">
        <f>IF(U7="","",U7*N(Produits!$E$6))</f>
        <v/>
      </c>
    </row>
    <row r="8">
      <c r="A8" s="33">
        <f>IF(Produits!$A$7="","",Produits!$A$7)</f>
        <v/>
      </c>
      <c r="B8" s="34">
        <f>IF(Produits!$A$7="","",Produits!$C$7)</f>
        <v/>
      </c>
      <c r="C8" s="34">
        <f>IF(Produits!$A$7="","",Produits!$D$7)</f>
        <v/>
      </c>
      <c r="D8" s="32" t="n"/>
      <c r="E8" s="29" t="n"/>
      <c r="F8" s="29" t="n"/>
      <c r="G8" s="29" t="n"/>
      <c r="H8" s="32" t="n"/>
      <c r="I8" s="29" t="n"/>
      <c r="J8" s="29" t="n"/>
      <c r="K8" s="29" t="n"/>
      <c r="L8" s="32" t="n"/>
      <c r="M8" s="29" t="n"/>
      <c r="N8" s="29" t="n"/>
      <c r="O8" s="29" t="n"/>
      <c r="P8" s="32" t="n"/>
      <c r="Q8" s="29" t="n"/>
      <c r="R8" s="29" t="n"/>
      <c r="S8" s="29" t="n"/>
      <c r="T8" s="22">
        <f>IF(COUNT(F8,J8,N8,R8)=0,"",SUM(F8,J8,N8,R8))</f>
        <v/>
      </c>
      <c r="U8" s="22">
        <f>IF(COUNT(G8,K8,O8,S8)=0,"",SUM(G8,K8,O8,S8))</f>
        <v/>
      </c>
      <c r="V8" s="22">
        <f>IF(OR(T8="",U8=""),"",U8-T8)</f>
        <v/>
      </c>
      <c r="W8" s="22">
        <f>IF(Q8&lt;&gt;"",Q8,IF(M8&lt;&gt;"",M8,IF(I8&lt;&gt;"",I8,IF(E8&lt;&gt;"",E8,""))))</f>
        <v/>
      </c>
      <c r="X8" s="18">
        <f>IF(U8="","",U8*N(Produits!$E$7))</f>
        <v/>
      </c>
    </row>
    <row r="9">
      <c r="A9" s="33">
        <f>IF(Produits!$A$8="","",Produits!$A$8)</f>
        <v/>
      </c>
      <c r="B9" s="34">
        <f>IF(Produits!$A$8="","",Produits!$C$8)</f>
        <v/>
      </c>
      <c r="C9" s="34">
        <f>IF(Produits!$A$8="","",Produits!$D$8)</f>
        <v/>
      </c>
      <c r="D9" s="32" t="n"/>
      <c r="E9" s="29" t="n"/>
      <c r="F9" s="29" t="n"/>
      <c r="G9" s="29" t="n"/>
      <c r="H9" s="32" t="n"/>
      <c r="I9" s="29" t="n"/>
      <c r="J9" s="29" t="n"/>
      <c r="K9" s="29" t="n"/>
      <c r="L9" s="32" t="n"/>
      <c r="M9" s="29" t="n"/>
      <c r="N9" s="29" t="n"/>
      <c r="O9" s="29" t="n"/>
      <c r="P9" s="32" t="n"/>
      <c r="Q9" s="29" t="n"/>
      <c r="R9" s="29" t="n"/>
      <c r="S9" s="29" t="n"/>
      <c r="T9" s="22">
        <f>IF(COUNT(F9,J9,N9,R9)=0,"",SUM(F9,J9,N9,R9))</f>
        <v/>
      </c>
      <c r="U9" s="22">
        <f>IF(COUNT(G9,K9,O9,S9)=0,"",SUM(G9,K9,O9,S9))</f>
        <v/>
      </c>
      <c r="V9" s="22">
        <f>IF(OR(T9="",U9=""),"",U9-T9)</f>
        <v/>
      </c>
      <c r="W9" s="22">
        <f>IF(Q9&lt;&gt;"",Q9,IF(M9&lt;&gt;"",M9,IF(I9&lt;&gt;"",I9,IF(E9&lt;&gt;"",E9,""))))</f>
        <v/>
      </c>
      <c r="X9" s="18">
        <f>IF(U9="","",U9*N(Produits!$E$8))</f>
        <v/>
      </c>
    </row>
    <row r="10">
      <c r="A10" s="33">
        <f>IF(Produits!$A$9="","",Produits!$A$9)</f>
        <v/>
      </c>
      <c r="B10" s="34">
        <f>IF(Produits!$A$9="","",Produits!$C$9)</f>
        <v/>
      </c>
      <c r="C10" s="34">
        <f>IF(Produits!$A$9="","",Produits!$D$9)</f>
        <v/>
      </c>
      <c r="D10" s="32" t="n"/>
      <c r="E10" s="29" t="n"/>
      <c r="F10" s="29" t="n"/>
      <c r="G10" s="29" t="n"/>
      <c r="H10" s="32" t="n"/>
      <c r="I10" s="29" t="n"/>
      <c r="J10" s="29" t="n"/>
      <c r="K10" s="29" t="n"/>
      <c r="L10" s="32" t="n"/>
      <c r="M10" s="29" t="n"/>
      <c r="N10" s="29" t="n"/>
      <c r="O10" s="29" t="n"/>
      <c r="P10" s="32" t="n"/>
      <c r="Q10" s="29" t="n"/>
      <c r="R10" s="29" t="n"/>
      <c r="S10" s="29" t="n"/>
      <c r="T10" s="22">
        <f>IF(COUNT(F10,J10,N10,R10)=0,"",SUM(F10,J10,N10,R10))</f>
        <v/>
      </c>
      <c r="U10" s="22">
        <f>IF(COUNT(G10,K10,O10,S10)=0,"",SUM(G10,K10,O10,S10))</f>
        <v/>
      </c>
      <c r="V10" s="22">
        <f>IF(OR(T10="",U10=""),"",U10-T10)</f>
        <v/>
      </c>
      <c r="W10" s="22">
        <f>IF(Q10&lt;&gt;"",Q10,IF(M10&lt;&gt;"",M10,IF(I10&lt;&gt;"",I10,IF(E10&lt;&gt;"",E10,""))))</f>
        <v/>
      </c>
      <c r="X10" s="18">
        <f>IF(U10="","",U10*N(Produits!$E$9))</f>
        <v/>
      </c>
    </row>
    <row r="11">
      <c r="A11" s="33">
        <f>IF(Produits!$A$10="","",Produits!$A$10)</f>
        <v/>
      </c>
      <c r="B11" s="34">
        <f>IF(Produits!$A$10="","",Produits!$C$10)</f>
        <v/>
      </c>
      <c r="C11" s="34">
        <f>IF(Produits!$A$10="","",Produits!$D$10)</f>
        <v/>
      </c>
      <c r="D11" s="32" t="n"/>
      <c r="E11" s="29" t="n"/>
      <c r="F11" s="29" t="n"/>
      <c r="G11" s="29" t="n"/>
      <c r="H11" s="32" t="n"/>
      <c r="I11" s="29" t="n"/>
      <c r="J11" s="29" t="n"/>
      <c r="K11" s="29" t="n"/>
      <c r="L11" s="32" t="n"/>
      <c r="M11" s="29" t="n"/>
      <c r="N11" s="29" t="n"/>
      <c r="O11" s="29" t="n"/>
      <c r="P11" s="32" t="n"/>
      <c r="Q11" s="29" t="n"/>
      <c r="R11" s="29" t="n"/>
      <c r="S11" s="29" t="n"/>
      <c r="T11" s="22">
        <f>IF(COUNT(F11,J11,N11,R11)=0,"",SUM(F11,J11,N11,R11))</f>
        <v/>
      </c>
      <c r="U11" s="22">
        <f>IF(COUNT(G11,K11,O11,S11)=0,"",SUM(G11,K11,O11,S11))</f>
        <v/>
      </c>
      <c r="V11" s="22">
        <f>IF(OR(T11="",U11=""),"",U11-T11)</f>
        <v/>
      </c>
      <c r="W11" s="22">
        <f>IF(Q11&lt;&gt;"",Q11,IF(M11&lt;&gt;"",M11,IF(I11&lt;&gt;"",I11,IF(E11&lt;&gt;"",E11,""))))</f>
        <v/>
      </c>
      <c r="X11" s="18">
        <f>IF(U11="","",U11*N(Produits!$E$10))</f>
        <v/>
      </c>
    </row>
    <row r="12">
      <c r="A12" s="33">
        <f>IF(Produits!$A$11="","",Produits!$A$11)</f>
        <v/>
      </c>
      <c r="B12" s="34">
        <f>IF(Produits!$A$11="","",Produits!$C$11)</f>
        <v/>
      </c>
      <c r="C12" s="34">
        <f>IF(Produits!$A$11="","",Produits!$D$11)</f>
        <v/>
      </c>
      <c r="D12" s="32" t="n"/>
      <c r="E12" s="29" t="n"/>
      <c r="F12" s="29" t="n"/>
      <c r="G12" s="29" t="n"/>
      <c r="H12" s="32" t="n"/>
      <c r="I12" s="29" t="n"/>
      <c r="J12" s="29" t="n"/>
      <c r="K12" s="29" t="n"/>
      <c r="L12" s="32" t="n"/>
      <c r="M12" s="29" t="n"/>
      <c r="N12" s="29" t="n"/>
      <c r="O12" s="29" t="n"/>
      <c r="P12" s="32" t="n"/>
      <c r="Q12" s="29" t="n"/>
      <c r="R12" s="29" t="n"/>
      <c r="S12" s="29" t="n"/>
      <c r="T12" s="22">
        <f>IF(COUNT(F12,J12,N12,R12)=0,"",SUM(F12,J12,N12,R12))</f>
        <v/>
      </c>
      <c r="U12" s="22">
        <f>IF(COUNT(G12,K12,O12,S12)=0,"",SUM(G12,K12,O12,S12))</f>
        <v/>
      </c>
      <c r="V12" s="22">
        <f>IF(OR(T12="",U12=""),"",U12-T12)</f>
        <v/>
      </c>
      <c r="W12" s="22">
        <f>IF(Q12&lt;&gt;"",Q12,IF(M12&lt;&gt;"",M12,IF(I12&lt;&gt;"",I12,IF(E12&lt;&gt;"",E12,""))))</f>
        <v/>
      </c>
      <c r="X12" s="18">
        <f>IF(U12="","",U12*N(Produits!$E$11))</f>
        <v/>
      </c>
    </row>
    <row r="13">
      <c r="A13" s="33">
        <f>IF(Produits!$A$12="","",Produits!$A$12)</f>
        <v/>
      </c>
      <c r="B13" s="34">
        <f>IF(Produits!$A$12="","",Produits!$C$12)</f>
        <v/>
      </c>
      <c r="C13" s="34">
        <f>IF(Produits!$A$12="","",Produits!$D$12)</f>
        <v/>
      </c>
      <c r="D13" s="32" t="n"/>
      <c r="E13" s="29" t="n"/>
      <c r="F13" s="29" t="n"/>
      <c r="G13" s="29" t="n"/>
      <c r="H13" s="32" t="n"/>
      <c r="I13" s="29" t="n"/>
      <c r="J13" s="29" t="n"/>
      <c r="K13" s="29" t="n"/>
      <c r="L13" s="32" t="n"/>
      <c r="M13" s="29" t="n"/>
      <c r="N13" s="29" t="n"/>
      <c r="O13" s="29" t="n"/>
      <c r="P13" s="32" t="n"/>
      <c r="Q13" s="29" t="n"/>
      <c r="R13" s="29" t="n"/>
      <c r="S13" s="29" t="n"/>
      <c r="T13" s="22">
        <f>IF(COUNT(F13,J13,N13,R13)=0,"",SUM(F13,J13,N13,R13))</f>
        <v/>
      </c>
      <c r="U13" s="22">
        <f>IF(COUNT(G13,K13,O13,S13)=0,"",SUM(G13,K13,O13,S13))</f>
        <v/>
      </c>
      <c r="V13" s="22">
        <f>IF(OR(T13="",U13=""),"",U13-T13)</f>
        <v/>
      </c>
      <c r="W13" s="22">
        <f>IF(Q13&lt;&gt;"",Q13,IF(M13&lt;&gt;"",M13,IF(I13&lt;&gt;"",I13,IF(E13&lt;&gt;"",E13,""))))</f>
        <v/>
      </c>
      <c r="X13" s="18">
        <f>IF(U13="","",U13*N(Produits!$E$12))</f>
        <v/>
      </c>
    </row>
    <row r="14">
      <c r="A14" s="33">
        <f>IF(Produits!$A$13="","",Produits!$A$13)</f>
        <v/>
      </c>
      <c r="B14" s="34">
        <f>IF(Produits!$A$13="","",Produits!$C$13)</f>
        <v/>
      </c>
      <c r="C14" s="34">
        <f>IF(Produits!$A$13="","",Produits!$D$13)</f>
        <v/>
      </c>
      <c r="D14" s="32" t="n"/>
      <c r="E14" s="29" t="n"/>
      <c r="F14" s="29" t="n"/>
      <c r="G14" s="29" t="n"/>
      <c r="H14" s="32" t="n"/>
      <c r="I14" s="29" t="n"/>
      <c r="J14" s="29" t="n"/>
      <c r="K14" s="29" t="n"/>
      <c r="L14" s="32" t="n"/>
      <c r="M14" s="29" t="n"/>
      <c r="N14" s="29" t="n"/>
      <c r="O14" s="29" t="n"/>
      <c r="P14" s="32" t="n"/>
      <c r="Q14" s="29" t="n"/>
      <c r="R14" s="29" t="n"/>
      <c r="S14" s="29" t="n"/>
      <c r="T14" s="22">
        <f>IF(COUNT(F14,J14,N14,R14)=0,"",SUM(F14,J14,N14,R14))</f>
        <v/>
      </c>
      <c r="U14" s="22">
        <f>IF(COUNT(G14,K14,O14,S14)=0,"",SUM(G14,K14,O14,S14))</f>
        <v/>
      </c>
      <c r="V14" s="22">
        <f>IF(OR(T14="",U14=""),"",U14-T14)</f>
        <v/>
      </c>
      <c r="W14" s="22">
        <f>IF(Q14&lt;&gt;"",Q14,IF(M14&lt;&gt;"",M14,IF(I14&lt;&gt;"",I14,IF(E14&lt;&gt;"",E14,""))))</f>
        <v/>
      </c>
      <c r="X14" s="18">
        <f>IF(U14="","",U14*N(Produits!$E$13))</f>
        <v/>
      </c>
    </row>
    <row r="15">
      <c r="A15" s="33">
        <f>IF(Produits!$A$14="","",Produits!$A$14)</f>
        <v/>
      </c>
      <c r="B15" s="34">
        <f>IF(Produits!$A$14="","",Produits!$C$14)</f>
        <v/>
      </c>
      <c r="C15" s="34">
        <f>IF(Produits!$A$14="","",Produits!$D$14)</f>
        <v/>
      </c>
      <c r="D15" s="32" t="n"/>
      <c r="E15" s="29" t="n"/>
      <c r="F15" s="29" t="n"/>
      <c r="G15" s="29" t="n"/>
      <c r="H15" s="32" t="n"/>
      <c r="I15" s="29" t="n"/>
      <c r="J15" s="29" t="n"/>
      <c r="K15" s="29" t="n"/>
      <c r="L15" s="32" t="n"/>
      <c r="M15" s="29" t="n"/>
      <c r="N15" s="29" t="n"/>
      <c r="O15" s="29" t="n"/>
      <c r="P15" s="32" t="n"/>
      <c r="Q15" s="29" t="n"/>
      <c r="R15" s="29" t="n"/>
      <c r="S15" s="29" t="n"/>
      <c r="T15" s="22">
        <f>IF(COUNT(F15,J15,N15,R15)=0,"",SUM(F15,J15,N15,R15))</f>
        <v/>
      </c>
      <c r="U15" s="22">
        <f>IF(COUNT(G15,K15,O15,S15)=0,"",SUM(G15,K15,O15,S15))</f>
        <v/>
      </c>
      <c r="V15" s="22">
        <f>IF(OR(T15="",U15=""),"",U15-T15)</f>
        <v/>
      </c>
      <c r="W15" s="22">
        <f>IF(Q15&lt;&gt;"",Q15,IF(M15&lt;&gt;"",M15,IF(I15&lt;&gt;"",I15,IF(E15&lt;&gt;"",E15,""))))</f>
        <v/>
      </c>
      <c r="X15" s="18">
        <f>IF(U15="","",U15*N(Produits!$E$14))</f>
        <v/>
      </c>
    </row>
    <row r="16">
      <c r="A16" s="33">
        <f>IF(Produits!$A$15="","",Produits!$A$15)</f>
        <v/>
      </c>
      <c r="B16" s="34">
        <f>IF(Produits!$A$15="","",Produits!$C$15)</f>
        <v/>
      </c>
      <c r="C16" s="34">
        <f>IF(Produits!$A$15="","",Produits!$D$15)</f>
        <v/>
      </c>
      <c r="D16" s="32" t="n"/>
      <c r="E16" s="29" t="n"/>
      <c r="F16" s="29" t="n"/>
      <c r="G16" s="29" t="n"/>
      <c r="H16" s="32" t="n"/>
      <c r="I16" s="29" t="n"/>
      <c r="J16" s="29" t="n"/>
      <c r="K16" s="29" t="n"/>
      <c r="L16" s="32" t="n"/>
      <c r="M16" s="29" t="n"/>
      <c r="N16" s="29" t="n"/>
      <c r="O16" s="29" t="n"/>
      <c r="P16" s="32" t="n"/>
      <c r="Q16" s="29" t="n"/>
      <c r="R16" s="29" t="n"/>
      <c r="S16" s="29" t="n"/>
      <c r="T16" s="22">
        <f>IF(COUNT(F16,J16,N16,R16)=0,"",SUM(F16,J16,N16,R16))</f>
        <v/>
      </c>
      <c r="U16" s="22">
        <f>IF(COUNT(G16,K16,O16,S16)=0,"",SUM(G16,K16,O16,S16))</f>
        <v/>
      </c>
      <c r="V16" s="22">
        <f>IF(OR(T16="",U16=""),"",U16-T16)</f>
        <v/>
      </c>
      <c r="W16" s="22">
        <f>IF(Q16&lt;&gt;"",Q16,IF(M16&lt;&gt;"",M16,IF(I16&lt;&gt;"",I16,IF(E16&lt;&gt;"",E16,""))))</f>
        <v/>
      </c>
      <c r="X16" s="18">
        <f>IF(U16="","",U16*N(Produits!$E$15))</f>
        <v/>
      </c>
    </row>
    <row r="17">
      <c r="A17" s="33">
        <f>IF(Produits!$A$16="","",Produits!$A$16)</f>
        <v/>
      </c>
      <c r="B17" s="34">
        <f>IF(Produits!$A$16="","",Produits!$C$16)</f>
        <v/>
      </c>
      <c r="C17" s="34">
        <f>IF(Produits!$A$16="","",Produits!$D$16)</f>
        <v/>
      </c>
      <c r="D17" s="32" t="n"/>
      <c r="E17" s="29" t="n"/>
      <c r="F17" s="29" t="n"/>
      <c r="G17" s="29" t="n"/>
      <c r="H17" s="32" t="n"/>
      <c r="I17" s="29" t="n"/>
      <c r="J17" s="29" t="n"/>
      <c r="K17" s="29" t="n"/>
      <c r="L17" s="32" t="n"/>
      <c r="M17" s="29" t="n"/>
      <c r="N17" s="29" t="n"/>
      <c r="O17" s="29" t="n"/>
      <c r="P17" s="32" t="n"/>
      <c r="Q17" s="29" t="n"/>
      <c r="R17" s="29" t="n"/>
      <c r="S17" s="29" t="n"/>
      <c r="T17" s="22">
        <f>IF(COUNT(F17,J17,N17,R17)=0,"",SUM(F17,J17,N17,R17))</f>
        <v/>
      </c>
      <c r="U17" s="22">
        <f>IF(COUNT(G17,K17,O17,S17)=0,"",SUM(G17,K17,O17,S17))</f>
        <v/>
      </c>
      <c r="V17" s="22">
        <f>IF(OR(T17="",U17=""),"",U17-T17)</f>
        <v/>
      </c>
      <c r="W17" s="22">
        <f>IF(Q17&lt;&gt;"",Q17,IF(M17&lt;&gt;"",M17,IF(I17&lt;&gt;"",I17,IF(E17&lt;&gt;"",E17,""))))</f>
        <v/>
      </c>
      <c r="X17" s="18">
        <f>IF(U17="","",U17*N(Produits!$E$16))</f>
        <v/>
      </c>
    </row>
    <row r="18">
      <c r="A18" s="33">
        <f>IF(Produits!$A$17="","",Produits!$A$17)</f>
        <v/>
      </c>
      <c r="B18" s="34">
        <f>IF(Produits!$A$17="","",Produits!$C$17)</f>
        <v/>
      </c>
      <c r="C18" s="34">
        <f>IF(Produits!$A$17="","",Produits!$D$17)</f>
        <v/>
      </c>
      <c r="D18" s="32" t="n"/>
      <c r="E18" s="29" t="n"/>
      <c r="F18" s="29" t="n"/>
      <c r="G18" s="29" t="n"/>
      <c r="H18" s="32" t="n"/>
      <c r="I18" s="29" t="n"/>
      <c r="J18" s="29" t="n"/>
      <c r="K18" s="29" t="n"/>
      <c r="L18" s="32" t="n"/>
      <c r="M18" s="29" t="n"/>
      <c r="N18" s="29" t="n"/>
      <c r="O18" s="29" t="n"/>
      <c r="P18" s="32" t="n"/>
      <c r="Q18" s="29" t="n"/>
      <c r="R18" s="29" t="n"/>
      <c r="S18" s="29" t="n"/>
      <c r="T18" s="22">
        <f>IF(COUNT(F18,J18,N18,R18)=0,"",SUM(F18,J18,N18,R18))</f>
        <v/>
      </c>
      <c r="U18" s="22">
        <f>IF(COUNT(G18,K18,O18,S18)=0,"",SUM(G18,K18,O18,S18))</f>
        <v/>
      </c>
      <c r="V18" s="22">
        <f>IF(OR(T18="",U18=""),"",U18-T18)</f>
        <v/>
      </c>
      <c r="W18" s="22">
        <f>IF(Q18&lt;&gt;"",Q18,IF(M18&lt;&gt;"",M18,IF(I18&lt;&gt;"",I18,IF(E18&lt;&gt;"",E18,""))))</f>
        <v/>
      </c>
      <c r="X18" s="18">
        <f>IF(U18="","",U18*N(Produits!$E$17))</f>
        <v/>
      </c>
    </row>
    <row r="19">
      <c r="A19" s="33">
        <f>IF(Produits!$A$18="","",Produits!$A$18)</f>
        <v/>
      </c>
      <c r="B19" s="34">
        <f>IF(Produits!$A$18="","",Produits!$C$18)</f>
        <v/>
      </c>
      <c r="C19" s="34">
        <f>IF(Produits!$A$18="","",Produits!$D$18)</f>
        <v/>
      </c>
      <c r="D19" s="32" t="n"/>
      <c r="E19" s="29" t="n"/>
      <c r="F19" s="29" t="n"/>
      <c r="G19" s="29" t="n"/>
      <c r="H19" s="32" t="n"/>
      <c r="I19" s="29" t="n"/>
      <c r="J19" s="29" t="n"/>
      <c r="K19" s="29" t="n"/>
      <c r="L19" s="32" t="n"/>
      <c r="M19" s="29" t="n"/>
      <c r="N19" s="29" t="n"/>
      <c r="O19" s="29" t="n"/>
      <c r="P19" s="32" t="n"/>
      <c r="Q19" s="29" t="n"/>
      <c r="R19" s="29" t="n"/>
      <c r="S19" s="29" t="n"/>
      <c r="T19" s="22">
        <f>IF(COUNT(F19,J19,N19,R19)=0,"",SUM(F19,J19,N19,R19))</f>
        <v/>
      </c>
      <c r="U19" s="22">
        <f>IF(COUNT(G19,K19,O19,S19)=0,"",SUM(G19,K19,O19,S19))</f>
        <v/>
      </c>
      <c r="V19" s="22">
        <f>IF(OR(T19="",U19=""),"",U19-T19)</f>
        <v/>
      </c>
      <c r="W19" s="22">
        <f>IF(Q19&lt;&gt;"",Q19,IF(M19&lt;&gt;"",M19,IF(I19&lt;&gt;"",I19,IF(E19&lt;&gt;"",E19,""))))</f>
        <v/>
      </c>
      <c r="X19" s="18">
        <f>IF(U19="","",U19*N(Produits!$E$18))</f>
        <v/>
      </c>
    </row>
    <row r="20">
      <c r="A20" s="33">
        <f>IF(Produits!$A$19="","",Produits!$A$19)</f>
        <v/>
      </c>
      <c r="B20" s="34">
        <f>IF(Produits!$A$19="","",Produits!$C$19)</f>
        <v/>
      </c>
      <c r="C20" s="34">
        <f>IF(Produits!$A$19="","",Produits!$D$19)</f>
        <v/>
      </c>
      <c r="D20" s="32" t="n"/>
      <c r="E20" s="29" t="n"/>
      <c r="F20" s="29" t="n"/>
      <c r="G20" s="29" t="n"/>
      <c r="H20" s="32" t="n"/>
      <c r="I20" s="29" t="n"/>
      <c r="J20" s="29" t="n"/>
      <c r="K20" s="29" t="n"/>
      <c r="L20" s="32" t="n"/>
      <c r="M20" s="29" t="n"/>
      <c r="N20" s="29" t="n"/>
      <c r="O20" s="29" t="n"/>
      <c r="P20" s="32" t="n"/>
      <c r="Q20" s="29" t="n"/>
      <c r="R20" s="29" t="n"/>
      <c r="S20" s="29" t="n"/>
      <c r="T20" s="22">
        <f>IF(COUNT(F20,J20,N20,R20)=0,"",SUM(F20,J20,N20,R20))</f>
        <v/>
      </c>
      <c r="U20" s="22">
        <f>IF(COUNT(G20,K20,O20,S20)=0,"",SUM(G20,K20,O20,S20))</f>
        <v/>
      </c>
      <c r="V20" s="22">
        <f>IF(OR(T20="",U20=""),"",U20-T20)</f>
        <v/>
      </c>
      <c r="W20" s="22">
        <f>IF(Q20&lt;&gt;"",Q20,IF(M20&lt;&gt;"",M20,IF(I20&lt;&gt;"",I20,IF(E20&lt;&gt;"",E20,""))))</f>
        <v/>
      </c>
      <c r="X20" s="18">
        <f>IF(U20="","",U20*N(Produits!$E$19))</f>
        <v/>
      </c>
    </row>
    <row r="21">
      <c r="A21" s="33">
        <f>IF(Produits!$A$20="","",Produits!$A$20)</f>
        <v/>
      </c>
      <c r="B21" s="34">
        <f>IF(Produits!$A$20="","",Produits!$C$20)</f>
        <v/>
      </c>
      <c r="C21" s="34">
        <f>IF(Produits!$A$20="","",Produits!$D$20)</f>
        <v/>
      </c>
      <c r="D21" s="32" t="n"/>
      <c r="E21" s="29" t="n"/>
      <c r="F21" s="29" t="n"/>
      <c r="G21" s="29" t="n"/>
      <c r="H21" s="32" t="n"/>
      <c r="I21" s="29" t="n"/>
      <c r="J21" s="29" t="n"/>
      <c r="K21" s="29" t="n"/>
      <c r="L21" s="32" t="n"/>
      <c r="M21" s="29" t="n"/>
      <c r="N21" s="29" t="n"/>
      <c r="O21" s="29" t="n"/>
      <c r="P21" s="32" t="n"/>
      <c r="Q21" s="29" t="n"/>
      <c r="R21" s="29" t="n"/>
      <c r="S21" s="29" t="n"/>
      <c r="T21" s="22">
        <f>IF(COUNT(F21,J21,N21,R21)=0,"",SUM(F21,J21,N21,R21))</f>
        <v/>
      </c>
      <c r="U21" s="22">
        <f>IF(COUNT(G21,K21,O21,S21)=0,"",SUM(G21,K21,O21,S21))</f>
        <v/>
      </c>
      <c r="V21" s="22">
        <f>IF(OR(T21="",U21=""),"",U21-T21)</f>
        <v/>
      </c>
      <c r="W21" s="22">
        <f>IF(Q21&lt;&gt;"",Q21,IF(M21&lt;&gt;"",M21,IF(I21&lt;&gt;"",I21,IF(E21&lt;&gt;"",E21,""))))</f>
        <v/>
      </c>
      <c r="X21" s="18">
        <f>IF(U21="","",U21*N(Produits!$E$20))</f>
        <v/>
      </c>
    </row>
    <row r="22" ht="20" customHeight="1">
      <c r="A22" s="23" t="inlineStr">
        <is>
          <t>CHAMBRE FROIDE POSITIVE</t>
        </is>
      </c>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row>
    <row r="23">
      <c r="A23" s="33">
        <f>IF(Produits!$A$22="","",Produits!$A$22)</f>
        <v/>
      </c>
      <c r="B23" s="34">
        <f>IF(Produits!$A$22="","",Produits!$C$22)</f>
        <v/>
      </c>
      <c r="C23" s="34">
        <f>IF(Produits!$A$22="","",Produits!$D$22)</f>
        <v/>
      </c>
      <c r="D23" s="32" t="n"/>
      <c r="E23" s="29" t="n"/>
      <c r="F23" s="29" t="n"/>
      <c r="G23" s="29" t="n"/>
      <c r="H23" s="32" t="n"/>
      <c r="I23" s="29" t="n"/>
      <c r="J23" s="29" t="n"/>
      <c r="K23" s="29" t="n"/>
      <c r="L23" s="32" t="n"/>
      <c r="M23" s="29" t="n"/>
      <c r="N23" s="29" t="n"/>
      <c r="O23" s="29" t="n"/>
      <c r="P23" s="32" t="n"/>
      <c r="Q23" s="29" t="n"/>
      <c r="R23" s="29" t="n"/>
      <c r="S23" s="29" t="n"/>
      <c r="T23" s="22">
        <f>IF(COUNT(F23,J23,N23,R23)=0,"",SUM(F23,J23,N23,R23))</f>
        <v/>
      </c>
      <c r="U23" s="22">
        <f>IF(COUNT(G23,K23,O23,S23)=0,"",SUM(G23,K23,O23,S23))</f>
        <v/>
      </c>
      <c r="V23" s="22">
        <f>IF(OR(T23="",U23=""),"",U23-T23)</f>
        <v/>
      </c>
      <c r="W23" s="22">
        <f>IF(Q23&lt;&gt;"",Q23,IF(M23&lt;&gt;"",M23,IF(I23&lt;&gt;"",I23,IF(E23&lt;&gt;"",E23,""))))</f>
        <v/>
      </c>
      <c r="X23" s="18">
        <f>IF(U23="","",U23*N(Produits!$E$22))</f>
        <v/>
      </c>
    </row>
    <row r="24">
      <c r="A24" s="33">
        <f>IF(Produits!$A$23="","",Produits!$A$23)</f>
        <v/>
      </c>
      <c r="B24" s="34">
        <f>IF(Produits!$A$23="","",Produits!$C$23)</f>
        <v/>
      </c>
      <c r="C24" s="34">
        <f>IF(Produits!$A$23="","",Produits!$D$23)</f>
        <v/>
      </c>
      <c r="D24" s="32" t="n"/>
      <c r="E24" s="29" t="n"/>
      <c r="F24" s="29" t="n"/>
      <c r="G24" s="29" t="n"/>
      <c r="H24" s="32" t="n"/>
      <c r="I24" s="29" t="n"/>
      <c r="J24" s="29" t="n"/>
      <c r="K24" s="29" t="n"/>
      <c r="L24" s="32" t="n"/>
      <c r="M24" s="29" t="n"/>
      <c r="N24" s="29" t="n"/>
      <c r="O24" s="29" t="n"/>
      <c r="P24" s="32" t="n"/>
      <c r="Q24" s="29" t="n"/>
      <c r="R24" s="29" t="n"/>
      <c r="S24" s="29" t="n"/>
      <c r="T24" s="22">
        <f>IF(COUNT(F24,J24,N24,R24)=0,"",SUM(F24,J24,N24,R24))</f>
        <v/>
      </c>
      <c r="U24" s="22">
        <f>IF(COUNT(G24,K24,O24,S24)=0,"",SUM(G24,K24,O24,S24))</f>
        <v/>
      </c>
      <c r="V24" s="22">
        <f>IF(OR(T24="",U24=""),"",U24-T24)</f>
        <v/>
      </c>
      <c r="W24" s="22">
        <f>IF(Q24&lt;&gt;"",Q24,IF(M24&lt;&gt;"",M24,IF(I24&lt;&gt;"",I24,IF(E24&lt;&gt;"",E24,""))))</f>
        <v/>
      </c>
      <c r="X24" s="18">
        <f>IF(U24="","",U24*N(Produits!$E$23))</f>
        <v/>
      </c>
    </row>
    <row r="25">
      <c r="A25" s="33">
        <f>IF(Produits!$A$24="","",Produits!$A$24)</f>
        <v/>
      </c>
      <c r="B25" s="34">
        <f>IF(Produits!$A$24="","",Produits!$C$24)</f>
        <v/>
      </c>
      <c r="C25" s="34">
        <f>IF(Produits!$A$24="","",Produits!$D$24)</f>
        <v/>
      </c>
      <c r="D25" s="32" t="n"/>
      <c r="E25" s="29" t="n"/>
      <c r="F25" s="29" t="n"/>
      <c r="G25" s="29" t="n"/>
      <c r="H25" s="32" t="n"/>
      <c r="I25" s="29" t="n"/>
      <c r="J25" s="29" t="n"/>
      <c r="K25" s="29" t="n"/>
      <c r="L25" s="32" t="n"/>
      <c r="M25" s="29" t="n"/>
      <c r="N25" s="29" t="n"/>
      <c r="O25" s="29" t="n"/>
      <c r="P25" s="32" t="n"/>
      <c r="Q25" s="29" t="n"/>
      <c r="R25" s="29" t="n"/>
      <c r="S25" s="29" t="n"/>
      <c r="T25" s="22">
        <f>IF(COUNT(F25,J25,N25,R25)=0,"",SUM(F25,J25,N25,R25))</f>
        <v/>
      </c>
      <c r="U25" s="22">
        <f>IF(COUNT(G25,K25,O25,S25)=0,"",SUM(G25,K25,O25,S25))</f>
        <v/>
      </c>
      <c r="V25" s="22">
        <f>IF(OR(T25="",U25=""),"",U25-T25)</f>
        <v/>
      </c>
      <c r="W25" s="22">
        <f>IF(Q25&lt;&gt;"",Q25,IF(M25&lt;&gt;"",M25,IF(I25&lt;&gt;"",I25,IF(E25&lt;&gt;"",E25,""))))</f>
        <v/>
      </c>
      <c r="X25" s="18">
        <f>IF(U25="","",U25*N(Produits!$E$24))</f>
        <v/>
      </c>
    </row>
    <row r="26">
      <c r="A26" s="33">
        <f>IF(Produits!$A$25="","",Produits!$A$25)</f>
        <v/>
      </c>
      <c r="B26" s="34">
        <f>IF(Produits!$A$25="","",Produits!$C$25)</f>
        <v/>
      </c>
      <c r="C26" s="34">
        <f>IF(Produits!$A$25="","",Produits!$D$25)</f>
        <v/>
      </c>
      <c r="D26" s="32" t="n"/>
      <c r="E26" s="29" t="n"/>
      <c r="F26" s="29" t="n"/>
      <c r="G26" s="29" t="n"/>
      <c r="H26" s="32" t="n"/>
      <c r="I26" s="29" t="n"/>
      <c r="J26" s="29" t="n"/>
      <c r="K26" s="29" t="n"/>
      <c r="L26" s="32" t="n"/>
      <c r="M26" s="29" t="n"/>
      <c r="N26" s="29" t="n"/>
      <c r="O26" s="29" t="n"/>
      <c r="P26" s="32" t="n"/>
      <c r="Q26" s="29" t="n"/>
      <c r="R26" s="29" t="n"/>
      <c r="S26" s="29" t="n"/>
      <c r="T26" s="22">
        <f>IF(COUNT(F26,J26,N26,R26)=0,"",SUM(F26,J26,N26,R26))</f>
        <v/>
      </c>
      <c r="U26" s="22">
        <f>IF(COUNT(G26,K26,O26,S26)=0,"",SUM(G26,K26,O26,S26))</f>
        <v/>
      </c>
      <c r="V26" s="22">
        <f>IF(OR(T26="",U26=""),"",U26-T26)</f>
        <v/>
      </c>
      <c r="W26" s="22">
        <f>IF(Q26&lt;&gt;"",Q26,IF(M26&lt;&gt;"",M26,IF(I26&lt;&gt;"",I26,IF(E26&lt;&gt;"",E26,""))))</f>
        <v/>
      </c>
      <c r="X26" s="18">
        <f>IF(U26="","",U26*N(Produits!$E$25))</f>
        <v/>
      </c>
    </row>
    <row r="27">
      <c r="A27" s="33">
        <f>IF(Produits!$A$26="","",Produits!$A$26)</f>
        <v/>
      </c>
      <c r="B27" s="34">
        <f>IF(Produits!$A$26="","",Produits!$C$26)</f>
        <v/>
      </c>
      <c r="C27" s="34">
        <f>IF(Produits!$A$26="","",Produits!$D$26)</f>
        <v/>
      </c>
      <c r="D27" s="32" t="n"/>
      <c r="E27" s="29" t="n"/>
      <c r="F27" s="29" t="n"/>
      <c r="G27" s="29" t="n"/>
      <c r="H27" s="32" t="n"/>
      <c r="I27" s="29" t="n"/>
      <c r="J27" s="29" t="n"/>
      <c r="K27" s="29" t="n"/>
      <c r="L27" s="32" t="n"/>
      <c r="M27" s="29" t="n"/>
      <c r="N27" s="29" t="n"/>
      <c r="O27" s="29" t="n"/>
      <c r="P27" s="32" t="n"/>
      <c r="Q27" s="29" t="n"/>
      <c r="R27" s="29" t="n"/>
      <c r="S27" s="29" t="n"/>
      <c r="T27" s="22">
        <f>IF(COUNT(F27,J27,N27,R27)=0,"",SUM(F27,J27,N27,R27))</f>
        <v/>
      </c>
      <c r="U27" s="22">
        <f>IF(COUNT(G27,K27,O27,S27)=0,"",SUM(G27,K27,O27,S27))</f>
        <v/>
      </c>
      <c r="V27" s="22">
        <f>IF(OR(T27="",U27=""),"",U27-T27)</f>
        <v/>
      </c>
      <c r="W27" s="22">
        <f>IF(Q27&lt;&gt;"",Q27,IF(M27&lt;&gt;"",M27,IF(I27&lt;&gt;"",I27,IF(E27&lt;&gt;"",E27,""))))</f>
        <v/>
      </c>
      <c r="X27" s="18">
        <f>IF(U27="","",U27*N(Produits!$E$26))</f>
        <v/>
      </c>
    </row>
    <row r="28">
      <c r="A28" s="33">
        <f>IF(Produits!$A$27="","",Produits!$A$27)</f>
        <v/>
      </c>
      <c r="B28" s="34">
        <f>IF(Produits!$A$27="","",Produits!$C$27)</f>
        <v/>
      </c>
      <c r="C28" s="34">
        <f>IF(Produits!$A$27="","",Produits!$D$27)</f>
        <v/>
      </c>
      <c r="D28" s="32" t="n"/>
      <c r="E28" s="29" t="n"/>
      <c r="F28" s="29" t="n"/>
      <c r="G28" s="29" t="n"/>
      <c r="H28" s="32" t="n"/>
      <c r="I28" s="29" t="n"/>
      <c r="J28" s="29" t="n"/>
      <c r="K28" s="29" t="n"/>
      <c r="L28" s="32" t="n"/>
      <c r="M28" s="29" t="n"/>
      <c r="N28" s="29" t="n"/>
      <c r="O28" s="29" t="n"/>
      <c r="P28" s="32" t="n"/>
      <c r="Q28" s="29" t="n"/>
      <c r="R28" s="29" t="n"/>
      <c r="S28" s="29" t="n"/>
      <c r="T28" s="22">
        <f>IF(COUNT(F28,J28,N28,R28)=0,"",SUM(F28,J28,N28,R28))</f>
        <v/>
      </c>
      <c r="U28" s="22">
        <f>IF(COUNT(G28,K28,O28,S28)=0,"",SUM(G28,K28,O28,S28))</f>
        <v/>
      </c>
      <c r="V28" s="22">
        <f>IF(OR(T28="",U28=""),"",U28-T28)</f>
        <v/>
      </c>
      <c r="W28" s="22">
        <f>IF(Q28&lt;&gt;"",Q28,IF(M28&lt;&gt;"",M28,IF(I28&lt;&gt;"",I28,IF(E28&lt;&gt;"",E28,""))))</f>
        <v/>
      </c>
      <c r="X28" s="18">
        <f>IF(U28="","",U28*N(Produits!$E$27))</f>
        <v/>
      </c>
    </row>
    <row r="29">
      <c r="A29" s="33">
        <f>IF(Produits!$A$28="","",Produits!$A$28)</f>
        <v/>
      </c>
      <c r="B29" s="34">
        <f>IF(Produits!$A$28="","",Produits!$C$28)</f>
        <v/>
      </c>
      <c r="C29" s="34">
        <f>IF(Produits!$A$28="","",Produits!$D$28)</f>
        <v/>
      </c>
      <c r="D29" s="32" t="n"/>
      <c r="E29" s="29" t="n"/>
      <c r="F29" s="29" t="n"/>
      <c r="G29" s="29" t="n"/>
      <c r="H29" s="32" t="n"/>
      <c r="I29" s="29" t="n"/>
      <c r="J29" s="29" t="n"/>
      <c r="K29" s="29" t="n"/>
      <c r="L29" s="32" t="n"/>
      <c r="M29" s="29" t="n"/>
      <c r="N29" s="29" t="n"/>
      <c r="O29" s="29" t="n"/>
      <c r="P29" s="32" t="n"/>
      <c r="Q29" s="29" t="n"/>
      <c r="R29" s="29" t="n"/>
      <c r="S29" s="29" t="n"/>
      <c r="T29" s="22">
        <f>IF(COUNT(F29,J29,N29,R29)=0,"",SUM(F29,J29,N29,R29))</f>
        <v/>
      </c>
      <c r="U29" s="22">
        <f>IF(COUNT(G29,K29,O29,S29)=0,"",SUM(G29,K29,O29,S29))</f>
        <v/>
      </c>
      <c r="V29" s="22">
        <f>IF(OR(T29="",U29=""),"",U29-T29)</f>
        <v/>
      </c>
      <c r="W29" s="22">
        <f>IF(Q29&lt;&gt;"",Q29,IF(M29&lt;&gt;"",M29,IF(I29&lt;&gt;"",I29,IF(E29&lt;&gt;"",E29,""))))</f>
        <v/>
      </c>
      <c r="X29" s="18">
        <f>IF(U29="","",U29*N(Produits!$E$28))</f>
        <v/>
      </c>
    </row>
    <row r="30">
      <c r="A30" s="33">
        <f>IF(Produits!$A$29="","",Produits!$A$29)</f>
        <v/>
      </c>
      <c r="B30" s="34">
        <f>IF(Produits!$A$29="","",Produits!$C$29)</f>
        <v/>
      </c>
      <c r="C30" s="34">
        <f>IF(Produits!$A$29="","",Produits!$D$29)</f>
        <v/>
      </c>
      <c r="D30" s="32" t="n"/>
      <c r="E30" s="29" t="n"/>
      <c r="F30" s="29" t="n"/>
      <c r="G30" s="29" t="n"/>
      <c r="H30" s="32" t="n"/>
      <c r="I30" s="29" t="n"/>
      <c r="J30" s="29" t="n"/>
      <c r="K30" s="29" t="n"/>
      <c r="L30" s="32" t="n"/>
      <c r="M30" s="29" t="n"/>
      <c r="N30" s="29" t="n"/>
      <c r="O30" s="29" t="n"/>
      <c r="P30" s="32" t="n"/>
      <c r="Q30" s="29" t="n"/>
      <c r="R30" s="29" t="n"/>
      <c r="S30" s="29" t="n"/>
      <c r="T30" s="22">
        <f>IF(COUNT(F30,J30,N30,R30)=0,"",SUM(F30,J30,N30,R30))</f>
        <v/>
      </c>
      <c r="U30" s="22">
        <f>IF(COUNT(G30,K30,O30,S30)=0,"",SUM(G30,K30,O30,S30))</f>
        <v/>
      </c>
      <c r="V30" s="22">
        <f>IF(OR(T30="",U30=""),"",U30-T30)</f>
        <v/>
      </c>
      <c r="W30" s="22">
        <f>IF(Q30&lt;&gt;"",Q30,IF(M30&lt;&gt;"",M30,IF(I30&lt;&gt;"",I30,IF(E30&lt;&gt;"",E30,""))))</f>
        <v/>
      </c>
      <c r="X30" s="18">
        <f>IF(U30="","",U30*N(Produits!$E$29))</f>
        <v/>
      </c>
    </row>
    <row r="31">
      <c r="A31" s="33">
        <f>IF(Produits!$A$30="","",Produits!$A$30)</f>
        <v/>
      </c>
      <c r="B31" s="34">
        <f>IF(Produits!$A$30="","",Produits!$C$30)</f>
        <v/>
      </c>
      <c r="C31" s="34">
        <f>IF(Produits!$A$30="","",Produits!$D$30)</f>
        <v/>
      </c>
      <c r="D31" s="32" t="n"/>
      <c r="E31" s="29" t="n"/>
      <c r="F31" s="29" t="n"/>
      <c r="G31" s="29" t="n"/>
      <c r="H31" s="32" t="n"/>
      <c r="I31" s="29" t="n"/>
      <c r="J31" s="29" t="n"/>
      <c r="K31" s="29" t="n"/>
      <c r="L31" s="32" t="n"/>
      <c r="M31" s="29" t="n"/>
      <c r="N31" s="29" t="n"/>
      <c r="O31" s="29" t="n"/>
      <c r="P31" s="32" t="n"/>
      <c r="Q31" s="29" t="n"/>
      <c r="R31" s="29" t="n"/>
      <c r="S31" s="29" t="n"/>
      <c r="T31" s="22">
        <f>IF(COUNT(F31,J31,N31,R31)=0,"",SUM(F31,J31,N31,R31))</f>
        <v/>
      </c>
      <c r="U31" s="22">
        <f>IF(COUNT(G31,K31,O31,S31)=0,"",SUM(G31,K31,O31,S31))</f>
        <v/>
      </c>
      <c r="V31" s="22">
        <f>IF(OR(T31="",U31=""),"",U31-T31)</f>
        <v/>
      </c>
      <c r="W31" s="22">
        <f>IF(Q31&lt;&gt;"",Q31,IF(M31&lt;&gt;"",M31,IF(I31&lt;&gt;"",I31,IF(E31&lt;&gt;"",E31,""))))</f>
        <v/>
      </c>
      <c r="X31" s="18">
        <f>IF(U31="","",U31*N(Produits!$E$30))</f>
        <v/>
      </c>
    </row>
    <row r="32">
      <c r="A32" s="33">
        <f>IF(Produits!$A$31="","",Produits!$A$31)</f>
        <v/>
      </c>
      <c r="B32" s="34">
        <f>IF(Produits!$A$31="","",Produits!$C$31)</f>
        <v/>
      </c>
      <c r="C32" s="34">
        <f>IF(Produits!$A$31="","",Produits!$D$31)</f>
        <v/>
      </c>
      <c r="D32" s="32" t="n"/>
      <c r="E32" s="29" t="n"/>
      <c r="F32" s="29" t="n"/>
      <c r="G32" s="29" t="n"/>
      <c r="H32" s="32" t="n"/>
      <c r="I32" s="29" t="n"/>
      <c r="J32" s="29" t="n"/>
      <c r="K32" s="29" t="n"/>
      <c r="L32" s="32" t="n"/>
      <c r="M32" s="29" t="n"/>
      <c r="N32" s="29" t="n"/>
      <c r="O32" s="29" t="n"/>
      <c r="P32" s="32" t="n"/>
      <c r="Q32" s="29" t="n"/>
      <c r="R32" s="29" t="n"/>
      <c r="S32" s="29" t="n"/>
      <c r="T32" s="22">
        <f>IF(COUNT(F32,J32,N32,R32)=0,"",SUM(F32,J32,N32,R32))</f>
        <v/>
      </c>
      <c r="U32" s="22">
        <f>IF(COUNT(G32,K32,O32,S32)=0,"",SUM(G32,K32,O32,S32))</f>
        <v/>
      </c>
      <c r="V32" s="22">
        <f>IF(OR(T32="",U32=""),"",U32-T32)</f>
        <v/>
      </c>
      <c r="W32" s="22">
        <f>IF(Q32&lt;&gt;"",Q32,IF(M32&lt;&gt;"",M32,IF(I32&lt;&gt;"",I32,IF(E32&lt;&gt;"",E32,""))))</f>
        <v/>
      </c>
      <c r="X32" s="18">
        <f>IF(U32="","",U32*N(Produits!$E$31))</f>
        <v/>
      </c>
    </row>
    <row r="33">
      <c r="A33" s="33">
        <f>IF(Produits!$A$32="","",Produits!$A$32)</f>
        <v/>
      </c>
      <c r="B33" s="34">
        <f>IF(Produits!$A$32="","",Produits!$C$32)</f>
        <v/>
      </c>
      <c r="C33" s="34">
        <f>IF(Produits!$A$32="","",Produits!$D$32)</f>
        <v/>
      </c>
      <c r="D33" s="32" t="n"/>
      <c r="E33" s="29" t="n"/>
      <c r="F33" s="29" t="n"/>
      <c r="G33" s="29" t="n"/>
      <c r="H33" s="32" t="n"/>
      <c r="I33" s="29" t="n"/>
      <c r="J33" s="29" t="n"/>
      <c r="K33" s="29" t="n"/>
      <c r="L33" s="32" t="n"/>
      <c r="M33" s="29" t="n"/>
      <c r="N33" s="29" t="n"/>
      <c r="O33" s="29" t="n"/>
      <c r="P33" s="32" t="n"/>
      <c r="Q33" s="29" t="n"/>
      <c r="R33" s="29" t="n"/>
      <c r="S33" s="29" t="n"/>
      <c r="T33" s="22">
        <f>IF(COUNT(F33,J33,N33,R33)=0,"",SUM(F33,J33,N33,R33))</f>
        <v/>
      </c>
      <c r="U33" s="22">
        <f>IF(COUNT(G33,K33,O33,S33)=0,"",SUM(G33,K33,O33,S33))</f>
        <v/>
      </c>
      <c r="V33" s="22">
        <f>IF(OR(T33="",U33=""),"",U33-T33)</f>
        <v/>
      </c>
      <c r="W33" s="22">
        <f>IF(Q33&lt;&gt;"",Q33,IF(M33&lt;&gt;"",M33,IF(I33&lt;&gt;"",I33,IF(E33&lt;&gt;"",E33,""))))</f>
        <v/>
      </c>
      <c r="X33" s="18">
        <f>IF(U33="","",U33*N(Produits!$E$32))</f>
        <v/>
      </c>
    </row>
    <row r="34">
      <c r="A34" s="33">
        <f>IF(Produits!$A$33="","",Produits!$A$33)</f>
        <v/>
      </c>
      <c r="B34" s="34">
        <f>IF(Produits!$A$33="","",Produits!$C$33)</f>
        <v/>
      </c>
      <c r="C34" s="34">
        <f>IF(Produits!$A$33="","",Produits!$D$33)</f>
        <v/>
      </c>
      <c r="D34" s="32" t="n"/>
      <c r="E34" s="29" t="n"/>
      <c r="F34" s="29" t="n"/>
      <c r="G34" s="29" t="n"/>
      <c r="H34" s="32" t="n"/>
      <c r="I34" s="29" t="n"/>
      <c r="J34" s="29" t="n"/>
      <c r="K34" s="29" t="n"/>
      <c r="L34" s="32" t="n"/>
      <c r="M34" s="29" t="n"/>
      <c r="N34" s="29" t="n"/>
      <c r="O34" s="29" t="n"/>
      <c r="P34" s="32" t="n"/>
      <c r="Q34" s="29" t="n"/>
      <c r="R34" s="29" t="n"/>
      <c r="S34" s="29" t="n"/>
      <c r="T34" s="22">
        <f>IF(COUNT(F34,J34,N34,R34)=0,"",SUM(F34,J34,N34,R34))</f>
        <v/>
      </c>
      <c r="U34" s="22">
        <f>IF(COUNT(G34,K34,O34,S34)=0,"",SUM(G34,K34,O34,S34))</f>
        <v/>
      </c>
      <c r="V34" s="22">
        <f>IF(OR(T34="",U34=""),"",U34-T34)</f>
        <v/>
      </c>
      <c r="W34" s="22">
        <f>IF(Q34&lt;&gt;"",Q34,IF(M34&lt;&gt;"",M34,IF(I34&lt;&gt;"",I34,IF(E34&lt;&gt;"",E34,""))))</f>
        <v/>
      </c>
      <c r="X34" s="18">
        <f>IF(U34="","",U34*N(Produits!$E$33))</f>
        <v/>
      </c>
    </row>
    <row r="35">
      <c r="A35" s="33">
        <f>IF(Produits!$A$34="","",Produits!$A$34)</f>
        <v/>
      </c>
      <c r="B35" s="34">
        <f>IF(Produits!$A$34="","",Produits!$C$34)</f>
        <v/>
      </c>
      <c r="C35" s="34">
        <f>IF(Produits!$A$34="","",Produits!$D$34)</f>
        <v/>
      </c>
      <c r="D35" s="32" t="n"/>
      <c r="E35" s="29" t="n"/>
      <c r="F35" s="29" t="n"/>
      <c r="G35" s="29" t="n"/>
      <c r="H35" s="32" t="n"/>
      <c r="I35" s="29" t="n"/>
      <c r="J35" s="29" t="n"/>
      <c r="K35" s="29" t="n"/>
      <c r="L35" s="32" t="n"/>
      <c r="M35" s="29" t="n"/>
      <c r="N35" s="29" t="n"/>
      <c r="O35" s="29" t="n"/>
      <c r="P35" s="32" t="n"/>
      <c r="Q35" s="29" t="n"/>
      <c r="R35" s="29" t="n"/>
      <c r="S35" s="29" t="n"/>
      <c r="T35" s="22">
        <f>IF(COUNT(F35,J35,N35,R35)=0,"",SUM(F35,J35,N35,R35))</f>
        <v/>
      </c>
      <c r="U35" s="22">
        <f>IF(COUNT(G35,K35,O35,S35)=0,"",SUM(G35,K35,O35,S35))</f>
        <v/>
      </c>
      <c r="V35" s="22">
        <f>IF(OR(T35="",U35=""),"",U35-T35)</f>
        <v/>
      </c>
      <c r="W35" s="22">
        <f>IF(Q35&lt;&gt;"",Q35,IF(M35&lt;&gt;"",M35,IF(I35&lt;&gt;"",I35,IF(E35&lt;&gt;"",E35,""))))</f>
        <v/>
      </c>
      <c r="X35" s="18">
        <f>IF(U35="","",U35*N(Produits!$E$34))</f>
        <v/>
      </c>
    </row>
    <row r="36">
      <c r="A36" s="33">
        <f>IF(Produits!$A$35="","",Produits!$A$35)</f>
        <v/>
      </c>
      <c r="B36" s="34">
        <f>IF(Produits!$A$35="","",Produits!$C$35)</f>
        <v/>
      </c>
      <c r="C36" s="34">
        <f>IF(Produits!$A$35="","",Produits!$D$35)</f>
        <v/>
      </c>
      <c r="D36" s="32" t="n"/>
      <c r="E36" s="29" t="n"/>
      <c r="F36" s="29" t="n"/>
      <c r="G36" s="29" t="n"/>
      <c r="H36" s="32" t="n"/>
      <c r="I36" s="29" t="n"/>
      <c r="J36" s="29" t="n"/>
      <c r="K36" s="29" t="n"/>
      <c r="L36" s="32" t="n"/>
      <c r="M36" s="29" t="n"/>
      <c r="N36" s="29" t="n"/>
      <c r="O36" s="29" t="n"/>
      <c r="P36" s="32" t="n"/>
      <c r="Q36" s="29" t="n"/>
      <c r="R36" s="29" t="n"/>
      <c r="S36" s="29" t="n"/>
      <c r="T36" s="22">
        <f>IF(COUNT(F36,J36,N36,R36)=0,"",SUM(F36,J36,N36,R36))</f>
        <v/>
      </c>
      <c r="U36" s="22">
        <f>IF(COUNT(G36,K36,O36,S36)=0,"",SUM(G36,K36,O36,S36))</f>
        <v/>
      </c>
      <c r="V36" s="22">
        <f>IF(OR(T36="",U36=""),"",U36-T36)</f>
        <v/>
      </c>
      <c r="W36" s="22">
        <f>IF(Q36&lt;&gt;"",Q36,IF(M36&lt;&gt;"",M36,IF(I36&lt;&gt;"",I36,IF(E36&lt;&gt;"",E36,""))))</f>
        <v/>
      </c>
      <c r="X36" s="18">
        <f>IF(U36="","",U36*N(Produits!$E$35))</f>
        <v/>
      </c>
    </row>
    <row r="37">
      <c r="A37" s="33">
        <f>IF(Produits!$A$36="","",Produits!$A$36)</f>
        <v/>
      </c>
      <c r="B37" s="34">
        <f>IF(Produits!$A$36="","",Produits!$C$36)</f>
        <v/>
      </c>
      <c r="C37" s="34">
        <f>IF(Produits!$A$36="","",Produits!$D$36)</f>
        <v/>
      </c>
      <c r="D37" s="32" t="n"/>
      <c r="E37" s="29" t="n"/>
      <c r="F37" s="29" t="n"/>
      <c r="G37" s="29" t="n"/>
      <c r="H37" s="32" t="n"/>
      <c r="I37" s="29" t="n"/>
      <c r="J37" s="29" t="n"/>
      <c r="K37" s="29" t="n"/>
      <c r="L37" s="32" t="n"/>
      <c r="M37" s="29" t="n"/>
      <c r="N37" s="29" t="n"/>
      <c r="O37" s="29" t="n"/>
      <c r="P37" s="32" t="n"/>
      <c r="Q37" s="29" t="n"/>
      <c r="R37" s="29" t="n"/>
      <c r="S37" s="29" t="n"/>
      <c r="T37" s="22">
        <f>IF(COUNT(F37,J37,N37,R37)=0,"",SUM(F37,J37,N37,R37))</f>
        <v/>
      </c>
      <c r="U37" s="22">
        <f>IF(COUNT(G37,K37,O37,S37)=0,"",SUM(G37,K37,O37,S37))</f>
        <v/>
      </c>
      <c r="V37" s="22">
        <f>IF(OR(T37="",U37=""),"",U37-T37)</f>
        <v/>
      </c>
      <c r="W37" s="22">
        <f>IF(Q37&lt;&gt;"",Q37,IF(M37&lt;&gt;"",M37,IF(I37&lt;&gt;"",I37,IF(E37&lt;&gt;"",E37,""))))</f>
        <v/>
      </c>
      <c r="X37" s="18">
        <f>IF(U37="","",U37*N(Produits!$E$36))</f>
        <v/>
      </c>
    </row>
    <row r="38" ht="20" customHeight="1">
      <c r="A38" s="23" t="inlineStr">
        <is>
          <t>CHAMBRE FROIDE NÉGATIVE</t>
        </is>
      </c>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row>
    <row r="39">
      <c r="A39" s="33">
        <f>IF(Produits!$A$38="","",Produits!$A$38)</f>
        <v/>
      </c>
      <c r="B39" s="34">
        <f>IF(Produits!$A$38="","",Produits!$C$38)</f>
        <v/>
      </c>
      <c r="C39" s="34">
        <f>IF(Produits!$A$38="","",Produits!$D$38)</f>
        <v/>
      </c>
      <c r="D39" s="32" t="n"/>
      <c r="E39" s="29" t="n"/>
      <c r="F39" s="29" t="n"/>
      <c r="G39" s="29" t="n"/>
      <c r="H39" s="32" t="n"/>
      <c r="I39" s="29" t="n"/>
      <c r="J39" s="29" t="n"/>
      <c r="K39" s="29" t="n"/>
      <c r="L39" s="32" t="n"/>
      <c r="M39" s="29" t="n"/>
      <c r="N39" s="29" t="n"/>
      <c r="O39" s="29" t="n"/>
      <c r="P39" s="32" t="n"/>
      <c r="Q39" s="29" t="n"/>
      <c r="R39" s="29" t="n"/>
      <c r="S39" s="29" t="n"/>
      <c r="T39" s="22">
        <f>IF(COUNT(F39,J39,N39,R39)=0,"",SUM(F39,J39,N39,R39))</f>
        <v/>
      </c>
      <c r="U39" s="22">
        <f>IF(COUNT(G39,K39,O39,S39)=0,"",SUM(G39,K39,O39,S39))</f>
        <v/>
      </c>
      <c r="V39" s="22">
        <f>IF(OR(T39="",U39=""),"",U39-T39)</f>
        <v/>
      </c>
      <c r="W39" s="22">
        <f>IF(Q39&lt;&gt;"",Q39,IF(M39&lt;&gt;"",M39,IF(I39&lt;&gt;"",I39,IF(E39&lt;&gt;"",E39,""))))</f>
        <v/>
      </c>
      <c r="X39" s="18">
        <f>IF(U39="","",U39*N(Produits!$E$38))</f>
        <v/>
      </c>
    </row>
    <row r="40">
      <c r="A40" s="33">
        <f>IF(Produits!$A$39="","",Produits!$A$39)</f>
        <v/>
      </c>
      <c r="B40" s="34">
        <f>IF(Produits!$A$39="","",Produits!$C$39)</f>
        <v/>
      </c>
      <c r="C40" s="34">
        <f>IF(Produits!$A$39="","",Produits!$D$39)</f>
        <v/>
      </c>
      <c r="D40" s="32" t="n"/>
      <c r="E40" s="29" t="n"/>
      <c r="F40" s="29" t="n"/>
      <c r="G40" s="29" t="n"/>
      <c r="H40" s="32" t="n"/>
      <c r="I40" s="29" t="n"/>
      <c r="J40" s="29" t="n"/>
      <c r="K40" s="29" t="n"/>
      <c r="L40" s="32" t="n"/>
      <c r="M40" s="29" t="n"/>
      <c r="N40" s="29" t="n"/>
      <c r="O40" s="29" t="n"/>
      <c r="P40" s="32" t="n"/>
      <c r="Q40" s="29" t="n"/>
      <c r="R40" s="29" t="n"/>
      <c r="S40" s="29" t="n"/>
      <c r="T40" s="22">
        <f>IF(COUNT(F40,J40,N40,R40)=0,"",SUM(F40,J40,N40,R40))</f>
        <v/>
      </c>
      <c r="U40" s="22">
        <f>IF(COUNT(G40,K40,O40,S40)=0,"",SUM(G40,K40,O40,S40))</f>
        <v/>
      </c>
      <c r="V40" s="22">
        <f>IF(OR(T40="",U40=""),"",U40-T40)</f>
        <v/>
      </c>
      <c r="W40" s="22">
        <f>IF(Q40&lt;&gt;"",Q40,IF(M40&lt;&gt;"",M40,IF(I40&lt;&gt;"",I40,IF(E40&lt;&gt;"",E40,""))))</f>
        <v/>
      </c>
      <c r="X40" s="18">
        <f>IF(U40="","",U40*N(Produits!$E$39))</f>
        <v/>
      </c>
    </row>
    <row r="41">
      <c r="A41" s="33">
        <f>IF(Produits!$A$40="","",Produits!$A$40)</f>
        <v/>
      </c>
      <c r="B41" s="34">
        <f>IF(Produits!$A$40="","",Produits!$C$40)</f>
        <v/>
      </c>
      <c r="C41" s="34">
        <f>IF(Produits!$A$40="","",Produits!$D$40)</f>
        <v/>
      </c>
      <c r="D41" s="32" t="n"/>
      <c r="E41" s="29" t="n"/>
      <c r="F41" s="29" t="n"/>
      <c r="G41" s="29" t="n"/>
      <c r="H41" s="32" t="n"/>
      <c r="I41" s="29" t="n"/>
      <c r="J41" s="29" t="n"/>
      <c r="K41" s="29" t="n"/>
      <c r="L41" s="32" t="n"/>
      <c r="M41" s="29" t="n"/>
      <c r="N41" s="29" t="n"/>
      <c r="O41" s="29" t="n"/>
      <c r="P41" s="32" t="n"/>
      <c r="Q41" s="29" t="n"/>
      <c r="R41" s="29" t="n"/>
      <c r="S41" s="29" t="n"/>
      <c r="T41" s="22">
        <f>IF(COUNT(F41,J41,N41,R41)=0,"",SUM(F41,J41,N41,R41))</f>
        <v/>
      </c>
      <c r="U41" s="22">
        <f>IF(COUNT(G41,K41,O41,S41)=0,"",SUM(G41,K41,O41,S41))</f>
        <v/>
      </c>
      <c r="V41" s="22">
        <f>IF(OR(T41="",U41=""),"",U41-T41)</f>
        <v/>
      </c>
      <c r="W41" s="22">
        <f>IF(Q41&lt;&gt;"",Q41,IF(M41&lt;&gt;"",M41,IF(I41&lt;&gt;"",I41,IF(E41&lt;&gt;"",E41,""))))</f>
        <v/>
      </c>
      <c r="X41" s="18">
        <f>IF(U41="","",U41*N(Produits!$E$40))</f>
        <v/>
      </c>
    </row>
    <row r="42">
      <c r="A42" s="33">
        <f>IF(Produits!$A$41="","",Produits!$A$41)</f>
        <v/>
      </c>
      <c r="B42" s="34">
        <f>IF(Produits!$A$41="","",Produits!$C$41)</f>
        <v/>
      </c>
      <c r="C42" s="34">
        <f>IF(Produits!$A$41="","",Produits!$D$41)</f>
        <v/>
      </c>
      <c r="D42" s="32" t="n"/>
      <c r="E42" s="29" t="n"/>
      <c r="F42" s="29" t="n"/>
      <c r="G42" s="29" t="n"/>
      <c r="H42" s="32" t="n"/>
      <c r="I42" s="29" t="n"/>
      <c r="J42" s="29" t="n"/>
      <c r="K42" s="29" t="n"/>
      <c r="L42" s="32" t="n"/>
      <c r="M42" s="29" t="n"/>
      <c r="N42" s="29" t="n"/>
      <c r="O42" s="29" t="n"/>
      <c r="P42" s="32" t="n"/>
      <c r="Q42" s="29" t="n"/>
      <c r="R42" s="29" t="n"/>
      <c r="S42" s="29" t="n"/>
      <c r="T42" s="22">
        <f>IF(COUNT(F42,J42,N42,R42)=0,"",SUM(F42,J42,N42,R42))</f>
        <v/>
      </c>
      <c r="U42" s="22">
        <f>IF(COUNT(G42,K42,O42,S42)=0,"",SUM(G42,K42,O42,S42))</f>
        <v/>
      </c>
      <c r="V42" s="22">
        <f>IF(OR(T42="",U42=""),"",U42-T42)</f>
        <v/>
      </c>
      <c r="W42" s="22">
        <f>IF(Q42&lt;&gt;"",Q42,IF(M42&lt;&gt;"",M42,IF(I42&lt;&gt;"",I42,IF(E42&lt;&gt;"",E42,""))))</f>
        <v/>
      </c>
      <c r="X42" s="18">
        <f>IF(U42="","",U42*N(Produits!$E$41))</f>
        <v/>
      </c>
    </row>
    <row r="43">
      <c r="A43" s="33">
        <f>IF(Produits!$A$42="","",Produits!$A$42)</f>
        <v/>
      </c>
      <c r="B43" s="34">
        <f>IF(Produits!$A$42="","",Produits!$C$42)</f>
        <v/>
      </c>
      <c r="C43" s="34">
        <f>IF(Produits!$A$42="","",Produits!$D$42)</f>
        <v/>
      </c>
      <c r="D43" s="32" t="n"/>
      <c r="E43" s="29" t="n"/>
      <c r="F43" s="29" t="n"/>
      <c r="G43" s="29" t="n"/>
      <c r="H43" s="32" t="n"/>
      <c r="I43" s="29" t="n"/>
      <c r="J43" s="29" t="n"/>
      <c r="K43" s="29" t="n"/>
      <c r="L43" s="32" t="n"/>
      <c r="M43" s="29" t="n"/>
      <c r="N43" s="29" t="n"/>
      <c r="O43" s="29" t="n"/>
      <c r="P43" s="32" t="n"/>
      <c r="Q43" s="29" t="n"/>
      <c r="R43" s="29" t="n"/>
      <c r="S43" s="29" t="n"/>
      <c r="T43" s="22">
        <f>IF(COUNT(F43,J43,N43,R43)=0,"",SUM(F43,J43,N43,R43))</f>
        <v/>
      </c>
      <c r="U43" s="22">
        <f>IF(COUNT(G43,K43,O43,S43)=0,"",SUM(G43,K43,O43,S43))</f>
        <v/>
      </c>
      <c r="V43" s="22">
        <f>IF(OR(T43="",U43=""),"",U43-T43)</f>
        <v/>
      </c>
      <c r="W43" s="22">
        <f>IF(Q43&lt;&gt;"",Q43,IF(M43&lt;&gt;"",M43,IF(I43&lt;&gt;"",I43,IF(E43&lt;&gt;"",E43,""))))</f>
        <v/>
      </c>
      <c r="X43" s="18">
        <f>IF(U43="","",U43*N(Produits!$E$42))</f>
        <v/>
      </c>
    </row>
    <row r="44">
      <c r="A44" s="33">
        <f>IF(Produits!$A$43="","",Produits!$A$43)</f>
        <v/>
      </c>
      <c r="B44" s="34">
        <f>IF(Produits!$A$43="","",Produits!$C$43)</f>
        <v/>
      </c>
      <c r="C44" s="34">
        <f>IF(Produits!$A$43="","",Produits!$D$43)</f>
        <v/>
      </c>
      <c r="D44" s="32" t="n"/>
      <c r="E44" s="29" t="n"/>
      <c r="F44" s="29" t="n"/>
      <c r="G44" s="29" t="n"/>
      <c r="H44" s="32" t="n"/>
      <c r="I44" s="29" t="n"/>
      <c r="J44" s="29" t="n"/>
      <c r="K44" s="29" t="n"/>
      <c r="L44" s="32" t="n"/>
      <c r="M44" s="29" t="n"/>
      <c r="N44" s="29" t="n"/>
      <c r="O44" s="29" t="n"/>
      <c r="P44" s="32" t="n"/>
      <c r="Q44" s="29" t="n"/>
      <c r="R44" s="29" t="n"/>
      <c r="S44" s="29" t="n"/>
      <c r="T44" s="22">
        <f>IF(COUNT(F44,J44,N44,R44)=0,"",SUM(F44,J44,N44,R44))</f>
        <v/>
      </c>
      <c r="U44" s="22">
        <f>IF(COUNT(G44,K44,O44,S44)=0,"",SUM(G44,K44,O44,S44))</f>
        <v/>
      </c>
      <c r="V44" s="22">
        <f>IF(OR(T44="",U44=""),"",U44-T44)</f>
        <v/>
      </c>
      <c r="W44" s="22">
        <f>IF(Q44&lt;&gt;"",Q44,IF(M44&lt;&gt;"",M44,IF(I44&lt;&gt;"",I44,IF(E44&lt;&gt;"",E44,""))))</f>
        <v/>
      </c>
      <c r="X44" s="18">
        <f>IF(U44="","",U44*N(Produits!$E$43))</f>
        <v/>
      </c>
    </row>
    <row r="45">
      <c r="A45" s="33">
        <f>IF(Produits!$A$44="","",Produits!$A$44)</f>
        <v/>
      </c>
      <c r="B45" s="34">
        <f>IF(Produits!$A$44="","",Produits!$C$44)</f>
        <v/>
      </c>
      <c r="C45" s="34">
        <f>IF(Produits!$A$44="","",Produits!$D$44)</f>
        <v/>
      </c>
      <c r="D45" s="32" t="n"/>
      <c r="E45" s="29" t="n"/>
      <c r="F45" s="29" t="n"/>
      <c r="G45" s="29" t="n"/>
      <c r="H45" s="32" t="n"/>
      <c r="I45" s="29" t="n"/>
      <c r="J45" s="29" t="n"/>
      <c r="K45" s="29" t="n"/>
      <c r="L45" s="32" t="n"/>
      <c r="M45" s="29" t="n"/>
      <c r="N45" s="29" t="n"/>
      <c r="O45" s="29" t="n"/>
      <c r="P45" s="32" t="n"/>
      <c r="Q45" s="29" t="n"/>
      <c r="R45" s="29" t="n"/>
      <c r="S45" s="29" t="n"/>
      <c r="T45" s="22">
        <f>IF(COUNT(F45,J45,N45,R45)=0,"",SUM(F45,J45,N45,R45))</f>
        <v/>
      </c>
      <c r="U45" s="22">
        <f>IF(COUNT(G45,K45,O45,S45)=0,"",SUM(G45,K45,O45,S45))</f>
        <v/>
      </c>
      <c r="V45" s="22">
        <f>IF(OR(T45="",U45=""),"",U45-T45)</f>
        <v/>
      </c>
      <c r="W45" s="22">
        <f>IF(Q45&lt;&gt;"",Q45,IF(M45&lt;&gt;"",M45,IF(I45&lt;&gt;"",I45,IF(E45&lt;&gt;"",E45,""))))</f>
        <v/>
      </c>
      <c r="X45" s="18">
        <f>IF(U45="","",U45*N(Produits!$E$44))</f>
        <v/>
      </c>
    </row>
    <row r="46">
      <c r="A46" s="33">
        <f>IF(Produits!$A$45="","",Produits!$A$45)</f>
        <v/>
      </c>
      <c r="B46" s="34">
        <f>IF(Produits!$A$45="","",Produits!$C$45)</f>
        <v/>
      </c>
      <c r="C46" s="34">
        <f>IF(Produits!$A$45="","",Produits!$D$45)</f>
        <v/>
      </c>
      <c r="D46" s="32" t="n"/>
      <c r="E46" s="29" t="n"/>
      <c r="F46" s="29" t="n"/>
      <c r="G46" s="29" t="n"/>
      <c r="H46" s="32" t="n"/>
      <c r="I46" s="29" t="n"/>
      <c r="J46" s="29" t="n"/>
      <c r="K46" s="29" t="n"/>
      <c r="L46" s="32" t="n"/>
      <c r="M46" s="29" t="n"/>
      <c r="N46" s="29" t="n"/>
      <c r="O46" s="29" t="n"/>
      <c r="P46" s="32" t="n"/>
      <c r="Q46" s="29" t="n"/>
      <c r="R46" s="29" t="n"/>
      <c r="S46" s="29" t="n"/>
      <c r="T46" s="22">
        <f>IF(COUNT(F46,J46,N46,R46)=0,"",SUM(F46,J46,N46,R46))</f>
        <v/>
      </c>
      <c r="U46" s="22">
        <f>IF(COUNT(G46,K46,O46,S46)=0,"",SUM(G46,K46,O46,S46))</f>
        <v/>
      </c>
      <c r="V46" s="22">
        <f>IF(OR(T46="",U46=""),"",U46-T46)</f>
        <v/>
      </c>
      <c r="W46" s="22">
        <f>IF(Q46&lt;&gt;"",Q46,IF(M46&lt;&gt;"",M46,IF(I46&lt;&gt;"",I46,IF(E46&lt;&gt;"",E46,""))))</f>
        <v/>
      </c>
      <c r="X46" s="18">
        <f>IF(U46="","",U46*N(Produits!$E$45))</f>
        <v/>
      </c>
    </row>
    <row r="47">
      <c r="A47" s="33">
        <f>IF(Produits!$A$46="","",Produits!$A$46)</f>
        <v/>
      </c>
      <c r="B47" s="34">
        <f>IF(Produits!$A$46="","",Produits!$C$46)</f>
        <v/>
      </c>
      <c r="C47" s="34">
        <f>IF(Produits!$A$46="","",Produits!$D$46)</f>
        <v/>
      </c>
      <c r="D47" s="32" t="n"/>
      <c r="E47" s="29" t="n"/>
      <c r="F47" s="29" t="n"/>
      <c r="G47" s="29" t="n"/>
      <c r="H47" s="32" t="n"/>
      <c r="I47" s="29" t="n"/>
      <c r="J47" s="29" t="n"/>
      <c r="K47" s="29" t="n"/>
      <c r="L47" s="32" t="n"/>
      <c r="M47" s="29" t="n"/>
      <c r="N47" s="29" t="n"/>
      <c r="O47" s="29" t="n"/>
      <c r="P47" s="32" t="n"/>
      <c r="Q47" s="29" t="n"/>
      <c r="R47" s="29" t="n"/>
      <c r="S47" s="29" t="n"/>
      <c r="T47" s="22">
        <f>IF(COUNT(F47,J47,N47,R47)=0,"",SUM(F47,J47,N47,R47))</f>
        <v/>
      </c>
      <c r="U47" s="22">
        <f>IF(COUNT(G47,K47,O47,S47)=0,"",SUM(G47,K47,O47,S47))</f>
        <v/>
      </c>
      <c r="V47" s="22">
        <f>IF(OR(T47="",U47=""),"",U47-T47)</f>
        <v/>
      </c>
      <c r="W47" s="22">
        <f>IF(Q47&lt;&gt;"",Q47,IF(M47&lt;&gt;"",M47,IF(I47&lt;&gt;"",I47,IF(E47&lt;&gt;"",E47,""))))</f>
        <v/>
      </c>
      <c r="X47" s="18">
        <f>IF(U47="","",U47*N(Produits!$E$46))</f>
        <v/>
      </c>
    </row>
    <row r="48">
      <c r="A48" s="33">
        <f>IF(Produits!$A$47="","",Produits!$A$47)</f>
        <v/>
      </c>
      <c r="B48" s="34">
        <f>IF(Produits!$A$47="","",Produits!$C$47)</f>
        <v/>
      </c>
      <c r="C48" s="34">
        <f>IF(Produits!$A$47="","",Produits!$D$47)</f>
        <v/>
      </c>
      <c r="D48" s="32" t="n"/>
      <c r="E48" s="29" t="n"/>
      <c r="F48" s="29" t="n"/>
      <c r="G48" s="29" t="n"/>
      <c r="H48" s="32" t="n"/>
      <c r="I48" s="29" t="n"/>
      <c r="J48" s="29" t="n"/>
      <c r="K48" s="29" t="n"/>
      <c r="L48" s="32" t="n"/>
      <c r="M48" s="29" t="n"/>
      <c r="N48" s="29" t="n"/>
      <c r="O48" s="29" t="n"/>
      <c r="P48" s="32" t="n"/>
      <c r="Q48" s="29" t="n"/>
      <c r="R48" s="29" t="n"/>
      <c r="S48" s="29" t="n"/>
      <c r="T48" s="22">
        <f>IF(COUNT(F48,J48,N48,R48)=0,"",SUM(F48,J48,N48,R48))</f>
        <v/>
      </c>
      <c r="U48" s="22">
        <f>IF(COUNT(G48,K48,O48,S48)=0,"",SUM(G48,K48,O48,S48))</f>
        <v/>
      </c>
      <c r="V48" s="22">
        <f>IF(OR(T48="",U48=""),"",U48-T48)</f>
        <v/>
      </c>
      <c r="W48" s="22">
        <f>IF(Q48&lt;&gt;"",Q48,IF(M48&lt;&gt;"",M48,IF(I48&lt;&gt;"",I48,IF(E48&lt;&gt;"",E48,""))))</f>
        <v/>
      </c>
      <c r="X48" s="18">
        <f>IF(U48="","",U48*N(Produits!$E$47))</f>
        <v/>
      </c>
    </row>
    <row r="49">
      <c r="A49" s="33">
        <f>IF(Produits!$A$48="","",Produits!$A$48)</f>
        <v/>
      </c>
      <c r="B49" s="34">
        <f>IF(Produits!$A$48="","",Produits!$C$48)</f>
        <v/>
      </c>
      <c r="C49" s="34">
        <f>IF(Produits!$A$48="","",Produits!$D$48)</f>
        <v/>
      </c>
      <c r="D49" s="32" t="n"/>
      <c r="E49" s="29" t="n"/>
      <c r="F49" s="29" t="n"/>
      <c r="G49" s="29" t="n"/>
      <c r="H49" s="32" t="n"/>
      <c r="I49" s="29" t="n"/>
      <c r="J49" s="29" t="n"/>
      <c r="K49" s="29" t="n"/>
      <c r="L49" s="32" t="n"/>
      <c r="M49" s="29" t="n"/>
      <c r="N49" s="29" t="n"/>
      <c r="O49" s="29" t="n"/>
      <c r="P49" s="32" t="n"/>
      <c r="Q49" s="29" t="n"/>
      <c r="R49" s="29" t="n"/>
      <c r="S49" s="29" t="n"/>
      <c r="T49" s="22">
        <f>IF(COUNT(F49,J49,N49,R49)=0,"",SUM(F49,J49,N49,R49))</f>
        <v/>
      </c>
      <c r="U49" s="22">
        <f>IF(COUNT(G49,K49,O49,S49)=0,"",SUM(G49,K49,O49,S49))</f>
        <v/>
      </c>
      <c r="V49" s="22">
        <f>IF(OR(T49="",U49=""),"",U49-T49)</f>
        <v/>
      </c>
      <c r="W49" s="22">
        <f>IF(Q49&lt;&gt;"",Q49,IF(M49&lt;&gt;"",M49,IF(I49&lt;&gt;"",I49,IF(E49&lt;&gt;"",E49,""))))</f>
        <v/>
      </c>
      <c r="X49" s="18">
        <f>IF(U49="","",U49*N(Produits!$E$48))</f>
        <v/>
      </c>
    </row>
    <row r="50">
      <c r="A50" s="33">
        <f>IF(Produits!$A$49="","",Produits!$A$49)</f>
        <v/>
      </c>
      <c r="B50" s="34">
        <f>IF(Produits!$A$49="","",Produits!$C$49)</f>
        <v/>
      </c>
      <c r="C50" s="34">
        <f>IF(Produits!$A$49="","",Produits!$D$49)</f>
        <v/>
      </c>
      <c r="D50" s="32" t="n"/>
      <c r="E50" s="29" t="n"/>
      <c r="F50" s="29" t="n"/>
      <c r="G50" s="29" t="n"/>
      <c r="H50" s="32" t="n"/>
      <c r="I50" s="29" t="n"/>
      <c r="J50" s="29" t="n"/>
      <c r="K50" s="29" t="n"/>
      <c r="L50" s="32" t="n"/>
      <c r="M50" s="29" t="n"/>
      <c r="N50" s="29" t="n"/>
      <c r="O50" s="29" t="n"/>
      <c r="P50" s="32" t="n"/>
      <c r="Q50" s="29" t="n"/>
      <c r="R50" s="29" t="n"/>
      <c r="S50" s="29" t="n"/>
      <c r="T50" s="22">
        <f>IF(COUNT(F50,J50,N50,R50)=0,"",SUM(F50,J50,N50,R50))</f>
        <v/>
      </c>
      <c r="U50" s="22">
        <f>IF(COUNT(G50,K50,O50,S50)=0,"",SUM(G50,K50,O50,S50))</f>
        <v/>
      </c>
      <c r="V50" s="22">
        <f>IF(OR(T50="",U50=""),"",U50-T50)</f>
        <v/>
      </c>
      <c r="W50" s="22">
        <f>IF(Q50&lt;&gt;"",Q50,IF(M50&lt;&gt;"",M50,IF(I50&lt;&gt;"",I50,IF(E50&lt;&gt;"",E50,""))))</f>
        <v/>
      </c>
      <c r="X50" s="18">
        <f>IF(U50="","",U50*N(Produits!$E$49))</f>
        <v/>
      </c>
    </row>
    <row r="51">
      <c r="A51" s="33">
        <f>IF(Produits!$A$50="","",Produits!$A$50)</f>
        <v/>
      </c>
      <c r="B51" s="34">
        <f>IF(Produits!$A$50="","",Produits!$C$50)</f>
        <v/>
      </c>
      <c r="C51" s="34">
        <f>IF(Produits!$A$50="","",Produits!$D$50)</f>
        <v/>
      </c>
      <c r="D51" s="32" t="n"/>
      <c r="E51" s="29" t="n"/>
      <c r="F51" s="29" t="n"/>
      <c r="G51" s="29" t="n"/>
      <c r="H51" s="32" t="n"/>
      <c r="I51" s="29" t="n"/>
      <c r="J51" s="29" t="n"/>
      <c r="K51" s="29" t="n"/>
      <c r="L51" s="32" t="n"/>
      <c r="M51" s="29" t="n"/>
      <c r="N51" s="29" t="n"/>
      <c r="O51" s="29" t="n"/>
      <c r="P51" s="32" t="n"/>
      <c r="Q51" s="29" t="n"/>
      <c r="R51" s="29" t="n"/>
      <c r="S51" s="29" t="n"/>
      <c r="T51" s="22">
        <f>IF(COUNT(F51,J51,N51,R51)=0,"",SUM(F51,J51,N51,R51))</f>
        <v/>
      </c>
      <c r="U51" s="22">
        <f>IF(COUNT(G51,K51,O51,S51)=0,"",SUM(G51,K51,O51,S51))</f>
        <v/>
      </c>
      <c r="V51" s="22">
        <f>IF(OR(T51="",U51=""),"",U51-T51)</f>
        <v/>
      </c>
      <c r="W51" s="22">
        <f>IF(Q51&lt;&gt;"",Q51,IF(M51&lt;&gt;"",M51,IF(I51&lt;&gt;"",I51,IF(E51&lt;&gt;"",E51,""))))</f>
        <v/>
      </c>
      <c r="X51" s="18">
        <f>IF(U51="","",U51*N(Produits!$E$50))</f>
        <v/>
      </c>
    </row>
    <row r="52">
      <c r="A52" s="33">
        <f>IF(Produits!$A$51="","",Produits!$A$51)</f>
        <v/>
      </c>
      <c r="B52" s="34">
        <f>IF(Produits!$A$51="","",Produits!$C$51)</f>
        <v/>
      </c>
      <c r="C52" s="34">
        <f>IF(Produits!$A$51="","",Produits!$D$51)</f>
        <v/>
      </c>
      <c r="D52" s="32" t="n"/>
      <c r="E52" s="29" t="n"/>
      <c r="F52" s="29" t="n"/>
      <c r="G52" s="29" t="n"/>
      <c r="H52" s="32" t="n"/>
      <c r="I52" s="29" t="n"/>
      <c r="J52" s="29" t="n"/>
      <c r="K52" s="29" t="n"/>
      <c r="L52" s="32" t="n"/>
      <c r="M52" s="29" t="n"/>
      <c r="N52" s="29" t="n"/>
      <c r="O52" s="29" t="n"/>
      <c r="P52" s="32" t="n"/>
      <c r="Q52" s="29" t="n"/>
      <c r="R52" s="29" t="n"/>
      <c r="S52" s="29" t="n"/>
      <c r="T52" s="22">
        <f>IF(COUNT(F52,J52,N52,R52)=0,"",SUM(F52,J52,N52,R52))</f>
        <v/>
      </c>
      <c r="U52" s="22">
        <f>IF(COUNT(G52,K52,O52,S52)=0,"",SUM(G52,K52,O52,S52))</f>
        <v/>
      </c>
      <c r="V52" s="22">
        <f>IF(OR(T52="",U52=""),"",U52-T52)</f>
        <v/>
      </c>
      <c r="W52" s="22">
        <f>IF(Q52&lt;&gt;"",Q52,IF(M52&lt;&gt;"",M52,IF(I52&lt;&gt;"",I52,IF(E52&lt;&gt;"",E52,""))))</f>
        <v/>
      </c>
      <c r="X52" s="18">
        <f>IF(U52="","",U52*N(Produits!$E$51))</f>
        <v/>
      </c>
    </row>
    <row r="53">
      <c r="A53" s="33">
        <f>IF(Produits!$A$52="","",Produits!$A$52)</f>
        <v/>
      </c>
      <c r="B53" s="34">
        <f>IF(Produits!$A$52="","",Produits!$C$52)</f>
        <v/>
      </c>
      <c r="C53" s="34">
        <f>IF(Produits!$A$52="","",Produits!$D$52)</f>
        <v/>
      </c>
      <c r="D53" s="32" t="n"/>
      <c r="E53" s="29" t="n"/>
      <c r="F53" s="29" t="n"/>
      <c r="G53" s="29" t="n"/>
      <c r="H53" s="32" t="n"/>
      <c r="I53" s="29" t="n"/>
      <c r="J53" s="29" t="n"/>
      <c r="K53" s="29" t="n"/>
      <c r="L53" s="32" t="n"/>
      <c r="M53" s="29" t="n"/>
      <c r="N53" s="29" t="n"/>
      <c r="O53" s="29" t="n"/>
      <c r="P53" s="32" t="n"/>
      <c r="Q53" s="29" t="n"/>
      <c r="R53" s="29" t="n"/>
      <c r="S53" s="29" t="n"/>
      <c r="T53" s="22">
        <f>IF(COUNT(F53,J53,N53,R53)=0,"",SUM(F53,J53,N53,R53))</f>
        <v/>
      </c>
      <c r="U53" s="22">
        <f>IF(COUNT(G53,K53,O53,S53)=0,"",SUM(G53,K53,O53,S53))</f>
        <v/>
      </c>
      <c r="V53" s="22">
        <f>IF(OR(T53="",U53=""),"",U53-T53)</f>
        <v/>
      </c>
      <c r="W53" s="22">
        <f>IF(Q53&lt;&gt;"",Q53,IF(M53&lt;&gt;"",M53,IF(I53&lt;&gt;"",I53,IF(E53&lt;&gt;"",E53,""))))</f>
        <v/>
      </c>
      <c r="X53" s="18">
        <f>IF(U53="","",U53*N(Produits!$E$52))</f>
        <v/>
      </c>
    </row>
    <row r="54" ht="20" customHeight="1">
      <c r="A54" s="23" t="inlineStr">
        <is>
          <t>MÉNAGER</t>
        </is>
      </c>
      <c r="B54" s="10" t="n"/>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row>
    <row r="55">
      <c r="A55" s="33">
        <f>IF(Produits!$A$54="","",Produits!$A$54)</f>
        <v/>
      </c>
      <c r="B55" s="34">
        <f>IF(Produits!$A$54="","",Produits!$C$54)</f>
        <v/>
      </c>
      <c r="C55" s="34">
        <f>IF(Produits!$A$54="","",Produits!$D$54)</f>
        <v/>
      </c>
      <c r="D55" s="32" t="n"/>
      <c r="E55" s="29" t="n"/>
      <c r="F55" s="29" t="n"/>
      <c r="G55" s="29" t="n"/>
      <c r="H55" s="32" t="n"/>
      <c r="I55" s="29" t="n"/>
      <c r="J55" s="29" t="n"/>
      <c r="K55" s="29" t="n"/>
      <c r="L55" s="32" t="n"/>
      <c r="M55" s="29" t="n"/>
      <c r="N55" s="29" t="n"/>
      <c r="O55" s="29" t="n"/>
      <c r="P55" s="32" t="n"/>
      <c r="Q55" s="29" t="n"/>
      <c r="R55" s="29" t="n"/>
      <c r="S55" s="29" t="n"/>
      <c r="T55" s="22">
        <f>IF(COUNT(F55,J55,N55,R55)=0,"",SUM(F55,J55,N55,R55))</f>
        <v/>
      </c>
      <c r="U55" s="22">
        <f>IF(COUNT(G55,K55,O55,S55)=0,"",SUM(G55,K55,O55,S55))</f>
        <v/>
      </c>
      <c r="V55" s="22">
        <f>IF(OR(T55="",U55=""),"",U55-T55)</f>
        <v/>
      </c>
      <c r="W55" s="22">
        <f>IF(Q55&lt;&gt;"",Q55,IF(M55&lt;&gt;"",M55,IF(I55&lt;&gt;"",I55,IF(E55&lt;&gt;"",E55,""))))</f>
        <v/>
      </c>
      <c r="X55" s="18">
        <f>IF(U55="","",U55*N(Produits!$E$54))</f>
        <v/>
      </c>
    </row>
    <row r="56">
      <c r="A56" s="33">
        <f>IF(Produits!$A$55="","",Produits!$A$55)</f>
        <v/>
      </c>
      <c r="B56" s="34">
        <f>IF(Produits!$A$55="","",Produits!$C$55)</f>
        <v/>
      </c>
      <c r="C56" s="34">
        <f>IF(Produits!$A$55="","",Produits!$D$55)</f>
        <v/>
      </c>
      <c r="D56" s="32" t="n"/>
      <c r="E56" s="29" t="n"/>
      <c r="F56" s="29" t="n"/>
      <c r="G56" s="29" t="n"/>
      <c r="H56" s="32" t="n"/>
      <c r="I56" s="29" t="n"/>
      <c r="J56" s="29" t="n"/>
      <c r="K56" s="29" t="n"/>
      <c r="L56" s="32" t="n"/>
      <c r="M56" s="29" t="n"/>
      <c r="N56" s="29" t="n"/>
      <c r="O56" s="29" t="n"/>
      <c r="P56" s="32" t="n"/>
      <c r="Q56" s="29" t="n"/>
      <c r="R56" s="29" t="n"/>
      <c r="S56" s="29" t="n"/>
      <c r="T56" s="22">
        <f>IF(COUNT(F56,J56,N56,R56)=0,"",SUM(F56,J56,N56,R56))</f>
        <v/>
      </c>
      <c r="U56" s="22">
        <f>IF(COUNT(G56,K56,O56,S56)=0,"",SUM(G56,K56,O56,S56))</f>
        <v/>
      </c>
      <c r="V56" s="22">
        <f>IF(OR(T56="",U56=""),"",U56-T56)</f>
        <v/>
      </c>
      <c r="W56" s="22">
        <f>IF(Q56&lt;&gt;"",Q56,IF(M56&lt;&gt;"",M56,IF(I56&lt;&gt;"",I56,IF(E56&lt;&gt;"",E56,""))))</f>
        <v/>
      </c>
      <c r="X56" s="18">
        <f>IF(U56="","",U56*N(Produits!$E$55))</f>
        <v/>
      </c>
    </row>
    <row r="57">
      <c r="A57" s="33">
        <f>IF(Produits!$A$56="","",Produits!$A$56)</f>
        <v/>
      </c>
      <c r="B57" s="34">
        <f>IF(Produits!$A$56="","",Produits!$C$56)</f>
        <v/>
      </c>
      <c r="C57" s="34">
        <f>IF(Produits!$A$56="","",Produits!$D$56)</f>
        <v/>
      </c>
      <c r="D57" s="32" t="n"/>
      <c r="E57" s="29" t="n"/>
      <c r="F57" s="29" t="n"/>
      <c r="G57" s="29" t="n"/>
      <c r="H57" s="32" t="n"/>
      <c r="I57" s="29" t="n"/>
      <c r="J57" s="29" t="n"/>
      <c r="K57" s="29" t="n"/>
      <c r="L57" s="32" t="n"/>
      <c r="M57" s="29" t="n"/>
      <c r="N57" s="29" t="n"/>
      <c r="O57" s="29" t="n"/>
      <c r="P57" s="32" t="n"/>
      <c r="Q57" s="29" t="n"/>
      <c r="R57" s="29" t="n"/>
      <c r="S57" s="29" t="n"/>
      <c r="T57" s="22">
        <f>IF(COUNT(F57,J57,N57,R57)=0,"",SUM(F57,J57,N57,R57))</f>
        <v/>
      </c>
      <c r="U57" s="22">
        <f>IF(COUNT(G57,K57,O57,S57)=0,"",SUM(G57,K57,O57,S57))</f>
        <v/>
      </c>
      <c r="V57" s="22">
        <f>IF(OR(T57="",U57=""),"",U57-T57)</f>
        <v/>
      </c>
      <c r="W57" s="22">
        <f>IF(Q57&lt;&gt;"",Q57,IF(M57&lt;&gt;"",M57,IF(I57&lt;&gt;"",I57,IF(E57&lt;&gt;"",E57,""))))</f>
        <v/>
      </c>
      <c r="X57" s="18">
        <f>IF(U57="","",U57*N(Produits!$E$56))</f>
        <v/>
      </c>
    </row>
    <row r="58">
      <c r="A58" s="33">
        <f>IF(Produits!$A$57="","",Produits!$A$57)</f>
        <v/>
      </c>
      <c r="B58" s="34">
        <f>IF(Produits!$A$57="","",Produits!$C$57)</f>
        <v/>
      </c>
      <c r="C58" s="34">
        <f>IF(Produits!$A$57="","",Produits!$D$57)</f>
        <v/>
      </c>
      <c r="D58" s="32" t="n"/>
      <c r="E58" s="29" t="n"/>
      <c r="F58" s="29" t="n"/>
      <c r="G58" s="29" t="n"/>
      <c r="H58" s="32" t="n"/>
      <c r="I58" s="29" t="n"/>
      <c r="J58" s="29" t="n"/>
      <c r="K58" s="29" t="n"/>
      <c r="L58" s="32" t="n"/>
      <c r="M58" s="29" t="n"/>
      <c r="N58" s="29" t="n"/>
      <c r="O58" s="29" t="n"/>
      <c r="P58" s="32" t="n"/>
      <c r="Q58" s="29" t="n"/>
      <c r="R58" s="29" t="n"/>
      <c r="S58" s="29" t="n"/>
      <c r="T58" s="22">
        <f>IF(COUNT(F58,J58,N58,R58)=0,"",SUM(F58,J58,N58,R58))</f>
        <v/>
      </c>
      <c r="U58" s="22">
        <f>IF(COUNT(G58,K58,O58,S58)=0,"",SUM(G58,K58,O58,S58))</f>
        <v/>
      </c>
      <c r="V58" s="22">
        <f>IF(OR(T58="",U58=""),"",U58-T58)</f>
        <v/>
      </c>
      <c r="W58" s="22">
        <f>IF(Q58&lt;&gt;"",Q58,IF(M58&lt;&gt;"",M58,IF(I58&lt;&gt;"",I58,IF(E58&lt;&gt;"",E58,""))))</f>
        <v/>
      </c>
      <c r="X58" s="18">
        <f>IF(U58="","",U58*N(Produits!$E$57))</f>
        <v/>
      </c>
    </row>
    <row r="59">
      <c r="A59" s="33">
        <f>IF(Produits!$A$58="","",Produits!$A$58)</f>
        <v/>
      </c>
      <c r="B59" s="34">
        <f>IF(Produits!$A$58="","",Produits!$C$58)</f>
        <v/>
      </c>
      <c r="C59" s="34">
        <f>IF(Produits!$A$58="","",Produits!$D$58)</f>
        <v/>
      </c>
      <c r="D59" s="32" t="n"/>
      <c r="E59" s="29" t="n"/>
      <c r="F59" s="29" t="n"/>
      <c r="G59" s="29" t="n"/>
      <c r="H59" s="32" t="n"/>
      <c r="I59" s="29" t="n"/>
      <c r="J59" s="29" t="n"/>
      <c r="K59" s="29" t="n"/>
      <c r="L59" s="32" t="n"/>
      <c r="M59" s="29" t="n"/>
      <c r="N59" s="29" t="n"/>
      <c r="O59" s="29" t="n"/>
      <c r="P59" s="32" t="n"/>
      <c r="Q59" s="29" t="n"/>
      <c r="R59" s="29" t="n"/>
      <c r="S59" s="29" t="n"/>
      <c r="T59" s="22">
        <f>IF(COUNT(F59,J59,N59,R59)=0,"",SUM(F59,J59,N59,R59))</f>
        <v/>
      </c>
      <c r="U59" s="22">
        <f>IF(COUNT(G59,K59,O59,S59)=0,"",SUM(G59,K59,O59,S59))</f>
        <v/>
      </c>
      <c r="V59" s="22">
        <f>IF(OR(T59="",U59=""),"",U59-T59)</f>
        <v/>
      </c>
      <c r="W59" s="22">
        <f>IF(Q59&lt;&gt;"",Q59,IF(M59&lt;&gt;"",M59,IF(I59&lt;&gt;"",I59,IF(E59&lt;&gt;"",E59,""))))</f>
        <v/>
      </c>
      <c r="X59" s="18">
        <f>IF(U59="","",U59*N(Produits!$E$58))</f>
        <v/>
      </c>
    </row>
    <row r="60">
      <c r="A60" s="33">
        <f>IF(Produits!$A$59="","",Produits!$A$59)</f>
        <v/>
      </c>
      <c r="B60" s="34">
        <f>IF(Produits!$A$59="","",Produits!$C$59)</f>
        <v/>
      </c>
      <c r="C60" s="34">
        <f>IF(Produits!$A$59="","",Produits!$D$59)</f>
        <v/>
      </c>
      <c r="D60" s="32" t="n"/>
      <c r="E60" s="29" t="n"/>
      <c r="F60" s="29" t="n"/>
      <c r="G60" s="29" t="n"/>
      <c r="H60" s="32" t="n"/>
      <c r="I60" s="29" t="n"/>
      <c r="J60" s="29" t="n"/>
      <c r="K60" s="29" t="n"/>
      <c r="L60" s="32" t="n"/>
      <c r="M60" s="29" t="n"/>
      <c r="N60" s="29" t="n"/>
      <c r="O60" s="29" t="n"/>
      <c r="P60" s="32" t="n"/>
      <c r="Q60" s="29" t="n"/>
      <c r="R60" s="29" t="n"/>
      <c r="S60" s="29" t="n"/>
      <c r="T60" s="22">
        <f>IF(COUNT(F60,J60,N60,R60)=0,"",SUM(F60,J60,N60,R60))</f>
        <v/>
      </c>
      <c r="U60" s="22">
        <f>IF(COUNT(G60,K60,O60,S60)=0,"",SUM(G60,K60,O60,S60))</f>
        <v/>
      </c>
      <c r="V60" s="22">
        <f>IF(OR(T60="",U60=""),"",U60-T60)</f>
        <v/>
      </c>
      <c r="W60" s="22">
        <f>IF(Q60&lt;&gt;"",Q60,IF(M60&lt;&gt;"",M60,IF(I60&lt;&gt;"",I60,IF(E60&lt;&gt;"",E60,""))))</f>
        <v/>
      </c>
      <c r="X60" s="18">
        <f>IF(U60="","",U60*N(Produits!$E$59))</f>
        <v/>
      </c>
    </row>
    <row r="61">
      <c r="A61" s="33">
        <f>IF(Produits!$A$60="","",Produits!$A$60)</f>
        <v/>
      </c>
      <c r="B61" s="34">
        <f>IF(Produits!$A$60="","",Produits!$C$60)</f>
        <v/>
      </c>
      <c r="C61" s="34">
        <f>IF(Produits!$A$60="","",Produits!$D$60)</f>
        <v/>
      </c>
      <c r="D61" s="32" t="n"/>
      <c r="E61" s="29" t="n"/>
      <c r="F61" s="29" t="n"/>
      <c r="G61" s="29" t="n"/>
      <c r="H61" s="32" t="n"/>
      <c r="I61" s="29" t="n"/>
      <c r="J61" s="29" t="n"/>
      <c r="K61" s="29" t="n"/>
      <c r="L61" s="32" t="n"/>
      <c r="M61" s="29" t="n"/>
      <c r="N61" s="29" t="n"/>
      <c r="O61" s="29" t="n"/>
      <c r="P61" s="32" t="n"/>
      <c r="Q61" s="29" t="n"/>
      <c r="R61" s="29" t="n"/>
      <c r="S61" s="29" t="n"/>
      <c r="T61" s="22">
        <f>IF(COUNT(F61,J61,N61,R61)=0,"",SUM(F61,J61,N61,R61))</f>
        <v/>
      </c>
      <c r="U61" s="22">
        <f>IF(COUNT(G61,K61,O61,S61)=0,"",SUM(G61,K61,O61,S61))</f>
        <v/>
      </c>
      <c r="V61" s="22">
        <f>IF(OR(T61="",U61=""),"",U61-T61)</f>
        <v/>
      </c>
      <c r="W61" s="22">
        <f>IF(Q61&lt;&gt;"",Q61,IF(M61&lt;&gt;"",M61,IF(I61&lt;&gt;"",I61,IF(E61&lt;&gt;"",E61,""))))</f>
        <v/>
      </c>
      <c r="X61" s="18">
        <f>IF(U61="","",U61*N(Produits!$E$60))</f>
        <v/>
      </c>
    </row>
    <row r="62">
      <c r="A62" s="33">
        <f>IF(Produits!$A$61="","",Produits!$A$61)</f>
        <v/>
      </c>
      <c r="B62" s="34">
        <f>IF(Produits!$A$61="","",Produits!$C$61)</f>
        <v/>
      </c>
      <c r="C62" s="34">
        <f>IF(Produits!$A$61="","",Produits!$D$61)</f>
        <v/>
      </c>
      <c r="D62" s="32" t="n"/>
      <c r="E62" s="29" t="n"/>
      <c r="F62" s="29" t="n"/>
      <c r="G62" s="29" t="n"/>
      <c r="H62" s="32" t="n"/>
      <c r="I62" s="29" t="n"/>
      <c r="J62" s="29" t="n"/>
      <c r="K62" s="29" t="n"/>
      <c r="L62" s="32" t="n"/>
      <c r="M62" s="29" t="n"/>
      <c r="N62" s="29" t="n"/>
      <c r="O62" s="29" t="n"/>
      <c r="P62" s="32" t="n"/>
      <c r="Q62" s="29" t="n"/>
      <c r="R62" s="29" t="n"/>
      <c r="S62" s="29" t="n"/>
      <c r="T62" s="22">
        <f>IF(COUNT(F62,J62,N62,R62)=0,"",SUM(F62,J62,N62,R62))</f>
        <v/>
      </c>
      <c r="U62" s="22">
        <f>IF(COUNT(G62,K62,O62,S62)=0,"",SUM(G62,K62,O62,S62))</f>
        <v/>
      </c>
      <c r="V62" s="22">
        <f>IF(OR(T62="",U62=""),"",U62-T62)</f>
        <v/>
      </c>
      <c r="W62" s="22">
        <f>IF(Q62&lt;&gt;"",Q62,IF(M62&lt;&gt;"",M62,IF(I62&lt;&gt;"",I62,IF(E62&lt;&gt;"",E62,""))))</f>
        <v/>
      </c>
      <c r="X62" s="18">
        <f>IF(U62="","",U62*N(Produits!$E$61))</f>
        <v/>
      </c>
    </row>
    <row r="63">
      <c r="A63" s="33">
        <f>IF(Produits!$A$62="","",Produits!$A$62)</f>
        <v/>
      </c>
      <c r="B63" s="34">
        <f>IF(Produits!$A$62="","",Produits!$C$62)</f>
        <v/>
      </c>
      <c r="C63" s="34">
        <f>IF(Produits!$A$62="","",Produits!$D$62)</f>
        <v/>
      </c>
      <c r="D63" s="32" t="n"/>
      <c r="E63" s="29" t="n"/>
      <c r="F63" s="29" t="n"/>
      <c r="G63" s="29" t="n"/>
      <c r="H63" s="32" t="n"/>
      <c r="I63" s="29" t="n"/>
      <c r="J63" s="29" t="n"/>
      <c r="K63" s="29" t="n"/>
      <c r="L63" s="32" t="n"/>
      <c r="M63" s="29" t="n"/>
      <c r="N63" s="29" t="n"/>
      <c r="O63" s="29" t="n"/>
      <c r="P63" s="32" t="n"/>
      <c r="Q63" s="29" t="n"/>
      <c r="R63" s="29" t="n"/>
      <c r="S63" s="29" t="n"/>
      <c r="T63" s="22">
        <f>IF(COUNT(F63,J63,N63,R63)=0,"",SUM(F63,J63,N63,R63))</f>
        <v/>
      </c>
      <c r="U63" s="22">
        <f>IF(COUNT(G63,K63,O63,S63)=0,"",SUM(G63,K63,O63,S63))</f>
        <v/>
      </c>
      <c r="V63" s="22">
        <f>IF(OR(T63="",U63=""),"",U63-T63)</f>
        <v/>
      </c>
      <c r="W63" s="22">
        <f>IF(Q63&lt;&gt;"",Q63,IF(M63&lt;&gt;"",M63,IF(I63&lt;&gt;"",I63,IF(E63&lt;&gt;"",E63,""))))</f>
        <v/>
      </c>
      <c r="X63" s="18">
        <f>IF(U63="","",U63*N(Produits!$E$62))</f>
        <v/>
      </c>
    </row>
    <row r="64">
      <c r="A64" s="33">
        <f>IF(Produits!$A$63="","",Produits!$A$63)</f>
        <v/>
      </c>
      <c r="B64" s="34">
        <f>IF(Produits!$A$63="","",Produits!$C$63)</f>
        <v/>
      </c>
      <c r="C64" s="34">
        <f>IF(Produits!$A$63="","",Produits!$D$63)</f>
        <v/>
      </c>
      <c r="D64" s="32" t="n"/>
      <c r="E64" s="29" t="n"/>
      <c r="F64" s="29" t="n"/>
      <c r="G64" s="29" t="n"/>
      <c r="H64" s="32" t="n"/>
      <c r="I64" s="29" t="n"/>
      <c r="J64" s="29" t="n"/>
      <c r="K64" s="29" t="n"/>
      <c r="L64" s="32" t="n"/>
      <c r="M64" s="29" t="n"/>
      <c r="N64" s="29" t="n"/>
      <c r="O64" s="29" t="n"/>
      <c r="P64" s="32" t="n"/>
      <c r="Q64" s="29" t="n"/>
      <c r="R64" s="29" t="n"/>
      <c r="S64" s="29" t="n"/>
      <c r="T64" s="22">
        <f>IF(COUNT(F64,J64,N64,R64)=0,"",SUM(F64,J64,N64,R64))</f>
        <v/>
      </c>
      <c r="U64" s="22">
        <f>IF(COUNT(G64,K64,O64,S64)=0,"",SUM(G64,K64,O64,S64))</f>
        <v/>
      </c>
      <c r="V64" s="22">
        <f>IF(OR(T64="",U64=""),"",U64-T64)</f>
        <v/>
      </c>
      <c r="W64" s="22">
        <f>IF(Q64&lt;&gt;"",Q64,IF(M64&lt;&gt;"",M64,IF(I64&lt;&gt;"",I64,IF(E64&lt;&gt;"",E64,""))))</f>
        <v/>
      </c>
      <c r="X64" s="18">
        <f>IF(U64="","",U64*N(Produits!$E$63))</f>
        <v/>
      </c>
    </row>
    <row r="65">
      <c r="A65" s="33">
        <f>IF(Produits!$A$64="","",Produits!$A$64)</f>
        <v/>
      </c>
      <c r="B65" s="34">
        <f>IF(Produits!$A$64="","",Produits!$C$64)</f>
        <v/>
      </c>
      <c r="C65" s="34">
        <f>IF(Produits!$A$64="","",Produits!$D$64)</f>
        <v/>
      </c>
      <c r="D65" s="32" t="n"/>
      <c r="E65" s="29" t="n"/>
      <c r="F65" s="29" t="n"/>
      <c r="G65" s="29" t="n"/>
      <c r="H65" s="32" t="n"/>
      <c r="I65" s="29" t="n"/>
      <c r="J65" s="29" t="n"/>
      <c r="K65" s="29" t="n"/>
      <c r="L65" s="32" t="n"/>
      <c r="M65" s="29" t="n"/>
      <c r="N65" s="29" t="n"/>
      <c r="O65" s="29" t="n"/>
      <c r="P65" s="32" t="n"/>
      <c r="Q65" s="29" t="n"/>
      <c r="R65" s="29" t="n"/>
      <c r="S65" s="29" t="n"/>
      <c r="T65" s="22">
        <f>IF(COUNT(F65,J65,N65,R65)=0,"",SUM(F65,J65,N65,R65))</f>
        <v/>
      </c>
      <c r="U65" s="22">
        <f>IF(COUNT(G65,K65,O65,S65)=0,"",SUM(G65,K65,O65,S65))</f>
        <v/>
      </c>
      <c r="V65" s="22">
        <f>IF(OR(T65="",U65=""),"",U65-T65)</f>
        <v/>
      </c>
      <c r="W65" s="22">
        <f>IF(Q65&lt;&gt;"",Q65,IF(M65&lt;&gt;"",M65,IF(I65&lt;&gt;"",I65,IF(E65&lt;&gt;"",E65,""))))</f>
        <v/>
      </c>
      <c r="X65" s="18">
        <f>IF(U65="","",U65*N(Produits!$E$64))</f>
        <v/>
      </c>
    </row>
    <row r="66">
      <c r="A66" s="33">
        <f>IF(Produits!$A$65="","",Produits!$A$65)</f>
        <v/>
      </c>
      <c r="B66" s="34">
        <f>IF(Produits!$A$65="","",Produits!$C$65)</f>
        <v/>
      </c>
      <c r="C66" s="34">
        <f>IF(Produits!$A$65="","",Produits!$D$65)</f>
        <v/>
      </c>
      <c r="D66" s="32" t="n"/>
      <c r="E66" s="29" t="n"/>
      <c r="F66" s="29" t="n"/>
      <c r="G66" s="29" t="n"/>
      <c r="H66" s="32" t="n"/>
      <c r="I66" s="29" t="n"/>
      <c r="J66" s="29" t="n"/>
      <c r="K66" s="29" t="n"/>
      <c r="L66" s="32" t="n"/>
      <c r="M66" s="29" t="n"/>
      <c r="N66" s="29" t="n"/>
      <c r="O66" s="29" t="n"/>
      <c r="P66" s="32" t="n"/>
      <c r="Q66" s="29" t="n"/>
      <c r="R66" s="29" t="n"/>
      <c r="S66" s="29" t="n"/>
      <c r="T66" s="22">
        <f>IF(COUNT(F66,J66,N66,R66)=0,"",SUM(F66,J66,N66,R66))</f>
        <v/>
      </c>
      <c r="U66" s="22">
        <f>IF(COUNT(G66,K66,O66,S66)=0,"",SUM(G66,K66,O66,S66))</f>
        <v/>
      </c>
      <c r="V66" s="22">
        <f>IF(OR(T66="",U66=""),"",U66-T66)</f>
        <v/>
      </c>
      <c r="W66" s="22">
        <f>IF(Q66&lt;&gt;"",Q66,IF(M66&lt;&gt;"",M66,IF(I66&lt;&gt;"",I66,IF(E66&lt;&gt;"",E66,""))))</f>
        <v/>
      </c>
      <c r="X66" s="18">
        <f>IF(U66="","",U66*N(Produits!$E$65))</f>
        <v/>
      </c>
    </row>
    <row r="67">
      <c r="A67" s="33">
        <f>IF(Produits!$A$66="","",Produits!$A$66)</f>
        <v/>
      </c>
      <c r="B67" s="34">
        <f>IF(Produits!$A$66="","",Produits!$C$66)</f>
        <v/>
      </c>
      <c r="C67" s="34">
        <f>IF(Produits!$A$66="","",Produits!$D$66)</f>
        <v/>
      </c>
      <c r="D67" s="32" t="n"/>
      <c r="E67" s="29" t="n"/>
      <c r="F67" s="29" t="n"/>
      <c r="G67" s="29" t="n"/>
      <c r="H67" s="32" t="n"/>
      <c r="I67" s="29" t="n"/>
      <c r="J67" s="29" t="n"/>
      <c r="K67" s="29" t="n"/>
      <c r="L67" s="32" t="n"/>
      <c r="M67" s="29" t="n"/>
      <c r="N67" s="29" t="n"/>
      <c r="O67" s="29" t="n"/>
      <c r="P67" s="32" t="n"/>
      <c r="Q67" s="29" t="n"/>
      <c r="R67" s="29" t="n"/>
      <c r="S67" s="29" t="n"/>
      <c r="T67" s="22">
        <f>IF(COUNT(F67,J67,N67,R67)=0,"",SUM(F67,J67,N67,R67))</f>
        <v/>
      </c>
      <c r="U67" s="22">
        <f>IF(COUNT(G67,K67,O67,S67)=0,"",SUM(G67,K67,O67,S67))</f>
        <v/>
      </c>
      <c r="V67" s="22">
        <f>IF(OR(T67="",U67=""),"",U67-T67)</f>
        <v/>
      </c>
      <c r="W67" s="22">
        <f>IF(Q67&lt;&gt;"",Q67,IF(M67&lt;&gt;"",M67,IF(I67&lt;&gt;"",I67,IF(E67&lt;&gt;"",E67,""))))</f>
        <v/>
      </c>
      <c r="X67" s="18">
        <f>IF(U67="","",U67*N(Produits!$E$66))</f>
        <v/>
      </c>
    </row>
    <row r="68">
      <c r="A68" s="33">
        <f>IF(Produits!$A$67="","",Produits!$A$67)</f>
        <v/>
      </c>
      <c r="B68" s="34">
        <f>IF(Produits!$A$67="","",Produits!$C$67)</f>
        <v/>
      </c>
      <c r="C68" s="34">
        <f>IF(Produits!$A$67="","",Produits!$D$67)</f>
        <v/>
      </c>
      <c r="D68" s="32" t="n"/>
      <c r="E68" s="29" t="n"/>
      <c r="F68" s="29" t="n"/>
      <c r="G68" s="29" t="n"/>
      <c r="H68" s="32" t="n"/>
      <c r="I68" s="29" t="n"/>
      <c r="J68" s="29" t="n"/>
      <c r="K68" s="29" t="n"/>
      <c r="L68" s="32" t="n"/>
      <c r="M68" s="29" t="n"/>
      <c r="N68" s="29" t="n"/>
      <c r="O68" s="29" t="n"/>
      <c r="P68" s="32" t="n"/>
      <c r="Q68" s="29" t="n"/>
      <c r="R68" s="29" t="n"/>
      <c r="S68" s="29" t="n"/>
      <c r="T68" s="22">
        <f>IF(COUNT(F68,J68,N68,R68)=0,"",SUM(F68,J68,N68,R68))</f>
        <v/>
      </c>
      <c r="U68" s="22">
        <f>IF(COUNT(G68,K68,O68,S68)=0,"",SUM(G68,K68,O68,S68))</f>
        <v/>
      </c>
      <c r="V68" s="22">
        <f>IF(OR(T68="",U68=""),"",U68-T68)</f>
        <v/>
      </c>
      <c r="W68" s="22">
        <f>IF(Q68&lt;&gt;"",Q68,IF(M68&lt;&gt;"",M68,IF(I68&lt;&gt;"",I68,IF(E68&lt;&gt;"",E68,""))))</f>
        <v/>
      </c>
      <c r="X68" s="18">
        <f>IF(U68="","",U68*N(Produits!$E$67))</f>
        <v/>
      </c>
    </row>
    <row r="69">
      <c r="A69" s="33">
        <f>IF(Produits!$A$68="","",Produits!$A$68)</f>
        <v/>
      </c>
      <c r="B69" s="34">
        <f>IF(Produits!$A$68="","",Produits!$C$68)</f>
        <v/>
      </c>
      <c r="C69" s="34">
        <f>IF(Produits!$A$68="","",Produits!$D$68)</f>
        <v/>
      </c>
      <c r="D69" s="32" t="n"/>
      <c r="E69" s="29" t="n"/>
      <c r="F69" s="29" t="n"/>
      <c r="G69" s="29" t="n"/>
      <c r="H69" s="32" t="n"/>
      <c r="I69" s="29" t="n"/>
      <c r="J69" s="29" t="n"/>
      <c r="K69" s="29" t="n"/>
      <c r="L69" s="32" t="n"/>
      <c r="M69" s="29" t="n"/>
      <c r="N69" s="29" t="n"/>
      <c r="O69" s="29" t="n"/>
      <c r="P69" s="32" t="n"/>
      <c r="Q69" s="29" t="n"/>
      <c r="R69" s="29" t="n"/>
      <c r="S69" s="29" t="n"/>
      <c r="T69" s="22">
        <f>IF(COUNT(F69,J69,N69,R69)=0,"",SUM(F69,J69,N69,R69))</f>
        <v/>
      </c>
      <c r="U69" s="22">
        <f>IF(COUNT(G69,K69,O69,S69)=0,"",SUM(G69,K69,O69,S69))</f>
        <v/>
      </c>
      <c r="V69" s="22">
        <f>IF(OR(T69="",U69=""),"",U69-T69)</f>
        <v/>
      </c>
      <c r="W69" s="22">
        <f>IF(Q69&lt;&gt;"",Q69,IF(M69&lt;&gt;"",M69,IF(I69&lt;&gt;"",I69,IF(E69&lt;&gt;"",E69,""))))</f>
        <v/>
      </c>
      <c r="X69" s="18">
        <f>IF(U69="","",U69*N(Produits!$E$68))</f>
        <v/>
      </c>
    </row>
    <row r="71">
      <c r="A71" s="15" t="inlineStr">
        <is>
          <t>Total des dépenses du mois</t>
        </is>
      </c>
      <c r="B71" s="19" t="n"/>
      <c r="C71" s="19" t="n"/>
      <c r="X71" s="35">
        <f>SUM(X7:X69)</f>
        <v/>
      </c>
    </row>
  </sheetData>
  <mergeCells count="14">
    <mergeCell ref="H4:K4"/>
    <mergeCell ref="A71:C71"/>
    <mergeCell ref="B4:B5"/>
    <mergeCell ref="C4:C5"/>
    <mergeCell ref="A4:A5"/>
    <mergeCell ref="T4:W4"/>
    <mergeCell ref="X4:X5"/>
    <mergeCell ref="A38:X38"/>
    <mergeCell ref="A54:X54"/>
    <mergeCell ref="L4:O4"/>
    <mergeCell ref="P4:S4"/>
    <mergeCell ref="A6:X6"/>
    <mergeCell ref="A22:X22"/>
    <mergeCell ref="D4:G4"/>
  </mergeCells>
  <conditionalFormatting sqref="V7:V69">
    <cfRule type="expression" priority="1" dxfId="0">
      <formula>AND(ISNUMBER(V7),V7&lt;0)</formula>
    </cfRule>
  </conditionalFormatting>
  <conditionalFormatting sqref="E7:E69">
    <cfRule type="expression" priority="2" dxfId="1">
      <formula>AND(ISNUMBER(E7),ISNUMBER($C7),E7&lt;=$C7)</formula>
    </cfRule>
  </conditionalFormatting>
  <conditionalFormatting sqref="G7:G69">
    <cfRule type="expression" priority="3" dxfId="0">
      <formula>AND(ISNUMBER(G7),ISNUMBER(F7),G7&lt;F7)</formula>
    </cfRule>
  </conditionalFormatting>
  <conditionalFormatting sqref="I7:I69">
    <cfRule type="expression" priority="4" dxfId="1">
      <formula>AND(ISNUMBER(I7),ISNUMBER($C7),I7&lt;=$C7)</formula>
    </cfRule>
  </conditionalFormatting>
  <conditionalFormatting sqref="K7:K69">
    <cfRule type="expression" priority="5" dxfId="0">
      <formula>AND(ISNUMBER(K7),ISNUMBER(J7),K7&lt;J7)</formula>
    </cfRule>
  </conditionalFormatting>
  <conditionalFormatting sqref="M7:M69">
    <cfRule type="expression" priority="6" dxfId="1">
      <formula>AND(ISNUMBER(M7),ISNUMBER($C7),M7&lt;=$C7)</formula>
    </cfRule>
  </conditionalFormatting>
  <conditionalFormatting sqref="O7:O69">
    <cfRule type="expression" priority="7" dxfId="0">
      <formula>AND(ISNUMBER(O7),ISNUMBER(N7),O7&lt;N7)</formula>
    </cfRule>
  </conditionalFormatting>
  <conditionalFormatting sqref="Q7:Q69">
    <cfRule type="expression" priority="8" dxfId="1">
      <formula>AND(ISNUMBER(Q7),ISNUMBER($C7),Q7&lt;=$C7)</formula>
    </cfRule>
  </conditionalFormatting>
  <conditionalFormatting sqref="S7:S69">
    <cfRule type="expression" priority="9" dxfId="0">
      <formula>AND(ISNUMBER(S7),ISNUMBER(R7),S7&lt;R7)</formula>
    </cfRule>
  </conditionalFormatting>
  <dataValidations count="4">
    <dataValidation sqref="E7:G69" showDropDown="0" showInputMessage="0" showErrorMessage="1" allowBlank="1" errorTitle="Valeur invalide" error="Entre un nombre positif (ou laisse vide)." type="decimal" operator="greaterThanOrEqual">
      <formula1>0</formula1>
    </dataValidation>
    <dataValidation sqref="I7:K69" showDropDown="0" showInputMessage="0" showErrorMessage="1" allowBlank="1" errorTitle="Valeur invalide" error="Entre un nombre positif (ou laisse vide)." type="decimal" operator="greaterThanOrEqual">
      <formula1>0</formula1>
    </dataValidation>
    <dataValidation sqref="M7:O69" showDropDown="0" showInputMessage="0" showErrorMessage="1" allowBlank="1" errorTitle="Valeur invalide" error="Entre un nombre positif (ou laisse vide)." type="decimal" operator="greaterThanOrEqual">
      <formula1>0</formula1>
    </dataValidation>
    <dataValidation sqref="Q7:S69"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71"/>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24" customWidth="1" min="1" max="1"/>
    <col width="7" customWidth="1" min="2" max="2"/>
    <col width="7" customWidth="1" min="3" max="3"/>
    <col width="11" customWidth="1" min="4" max="4"/>
    <col width="10.5" customWidth="1" min="5" max="5"/>
    <col width="10.5" customWidth="1" min="6" max="6"/>
    <col width="10.5" customWidth="1" min="7" max="7"/>
    <col width="11" customWidth="1" min="8" max="8"/>
    <col width="10.5" customWidth="1" min="9" max="9"/>
    <col width="10.5" customWidth="1" min="10" max="10"/>
    <col width="10.5" customWidth="1" min="11" max="11"/>
    <col width="11" customWidth="1" min="12" max="12"/>
    <col width="10.5" customWidth="1" min="13" max="13"/>
    <col width="10.5" customWidth="1" min="14" max="14"/>
    <col width="10.5" customWidth="1" min="15" max="15"/>
    <col width="11" customWidth="1" min="16" max="16"/>
    <col width="10.5" customWidth="1" min="17" max="17"/>
    <col width="10.5" customWidth="1" min="18" max="18"/>
    <col width="10.5" customWidth="1" min="19" max="19"/>
    <col width="11" customWidth="1" min="20" max="20"/>
    <col width="11" customWidth="1" min="21" max="21"/>
    <col width="11" customWidth="1" min="22" max="22"/>
    <col width="11" customWidth="1" min="23" max="23"/>
    <col width="12" customWidth="1" min="24" max="24"/>
  </cols>
  <sheetData>
    <row r="1" ht="26" customHeight="1">
      <c r="A1" s="1" t="inlineStr">
        <is>
          <t>Février 2026</t>
        </is>
      </c>
    </row>
    <row r="2">
      <c r="A2" s="2" t="inlineStr">
        <is>
          <t>Date cmd = jour où tu passes la commande · Stock = ce qu'il reste · Commandé · Reçu = ce qui est arrivé</t>
        </is>
      </c>
    </row>
    <row r="4">
      <c r="A4" s="15" t="inlineStr">
        <is>
          <t>Produit</t>
        </is>
      </c>
      <c r="B4" s="15" t="inlineStr">
        <is>
          <t>Unité</t>
        </is>
      </c>
      <c r="C4" s="15" t="inlineStr">
        <is>
          <t>Mini</t>
        </is>
      </c>
      <c r="D4" s="15" t="inlineStr">
        <is>
          <t>Semaine 1</t>
        </is>
      </c>
      <c r="E4" s="19" t="n"/>
      <c r="F4" s="19" t="n"/>
      <c r="G4" s="19" t="n"/>
      <c r="H4" s="15" t="inlineStr">
        <is>
          <t>Semaine 2</t>
        </is>
      </c>
      <c r="I4" s="19" t="n"/>
      <c r="J4" s="19" t="n"/>
      <c r="K4" s="19" t="n"/>
      <c r="L4" s="15" t="inlineStr">
        <is>
          <t>Semaine 3</t>
        </is>
      </c>
      <c r="M4" s="19" t="n"/>
      <c r="N4" s="19" t="n"/>
      <c r="O4" s="19" t="n"/>
      <c r="P4" s="15" t="inlineStr">
        <is>
          <t>Semaine 4</t>
        </is>
      </c>
      <c r="Q4" s="19" t="n"/>
      <c r="R4" s="19" t="n"/>
      <c r="S4" s="19" t="n"/>
      <c r="T4" s="15" t="inlineStr">
        <is>
          <t>Total du mois</t>
        </is>
      </c>
      <c r="U4" s="19" t="n"/>
      <c r="V4" s="19" t="n"/>
      <c r="W4" s="19" t="n"/>
      <c r="X4" s="15" t="inlineStr">
        <is>
          <t>Dépense (€)</t>
        </is>
      </c>
    </row>
    <row r="5">
      <c r="A5" s="19" t="n"/>
      <c r="B5" s="19" t="n"/>
      <c r="C5" s="19" t="n"/>
      <c r="D5" s="8" t="inlineStr">
        <is>
          <t>Date cmd</t>
        </is>
      </c>
      <c r="E5" s="8" t="inlineStr">
        <is>
          <t>Stock</t>
        </is>
      </c>
      <c r="F5" s="8" t="inlineStr">
        <is>
          <t>Commandé</t>
        </is>
      </c>
      <c r="G5" s="8" t="inlineStr">
        <is>
          <t>Reçu</t>
        </is>
      </c>
      <c r="H5" s="8" t="inlineStr">
        <is>
          <t>Date cmd</t>
        </is>
      </c>
      <c r="I5" s="8" t="inlineStr">
        <is>
          <t>Stock</t>
        </is>
      </c>
      <c r="J5" s="8" t="inlineStr">
        <is>
          <t>Commandé</t>
        </is>
      </c>
      <c r="K5" s="8" t="inlineStr">
        <is>
          <t>Reçu</t>
        </is>
      </c>
      <c r="L5" s="8" t="inlineStr">
        <is>
          <t>Date cmd</t>
        </is>
      </c>
      <c r="M5" s="8" t="inlineStr">
        <is>
          <t>Stock</t>
        </is>
      </c>
      <c r="N5" s="8" t="inlineStr">
        <is>
          <t>Commandé</t>
        </is>
      </c>
      <c r="O5" s="8" t="inlineStr">
        <is>
          <t>Reçu</t>
        </is>
      </c>
      <c r="P5" s="8" t="inlineStr">
        <is>
          <t>Date cmd</t>
        </is>
      </c>
      <c r="Q5" s="8" t="inlineStr">
        <is>
          <t>Stock</t>
        </is>
      </c>
      <c r="R5" s="8" t="inlineStr">
        <is>
          <t>Commandé</t>
        </is>
      </c>
      <c r="S5" s="8" t="inlineStr">
        <is>
          <t>Reçu</t>
        </is>
      </c>
      <c r="T5" s="8" t="inlineStr">
        <is>
          <t>Commandé</t>
        </is>
      </c>
      <c r="U5" s="8" t="inlineStr">
        <is>
          <t>Reçu</t>
        </is>
      </c>
      <c r="V5" s="8" t="inlineStr">
        <is>
          <t>Écart</t>
        </is>
      </c>
      <c r="W5" s="8" t="inlineStr">
        <is>
          <t>Dernier stock</t>
        </is>
      </c>
      <c r="X5" s="19" t="n"/>
    </row>
    <row r="6" ht="20" customHeight="1">
      <c r="A6" s="23" t="inlineStr">
        <is>
          <t>RÉSERVE SÈCHE</t>
        </is>
      </c>
      <c r="B6" s="10" t="n"/>
      <c r="C6" s="10" t="n"/>
      <c r="D6" s="10" t="n"/>
      <c r="E6" s="10" t="n"/>
      <c r="F6" s="10" t="n"/>
      <c r="G6" s="10" t="n"/>
      <c r="H6" s="10" t="n"/>
      <c r="I6" s="10" t="n"/>
      <c r="J6" s="10" t="n"/>
      <c r="K6" s="10" t="n"/>
      <c r="L6" s="10" t="n"/>
      <c r="M6" s="10" t="n"/>
      <c r="N6" s="10" t="n"/>
      <c r="O6" s="10" t="n"/>
      <c r="P6" s="10" t="n"/>
      <c r="Q6" s="10" t="n"/>
      <c r="R6" s="10" t="n"/>
      <c r="S6" s="10" t="n"/>
      <c r="T6" s="10" t="n"/>
      <c r="U6" s="10" t="n"/>
      <c r="V6" s="10" t="n"/>
      <c r="W6" s="10" t="n"/>
      <c r="X6" s="10" t="n"/>
    </row>
    <row r="7">
      <c r="A7" s="33">
        <f>IF(Produits!$A$6="","",Produits!$A$6)</f>
        <v/>
      </c>
      <c r="B7" s="34">
        <f>IF(Produits!$A$6="","",Produits!$C$6)</f>
        <v/>
      </c>
      <c r="C7" s="34">
        <f>IF(Produits!$A$6="","",Produits!$D$6)</f>
        <v/>
      </c>
      <c r="D7" s="32" t="n"/>
      <c r="E7" s="29" t="n"/>
      <c r="F7" s="29" t="n"/>
      <c r="G7" s="29" t="n"/>
      <c r="H7" s="32" t="n"/>
      <c r="I7" s="29" t="n"/>
      <c r="J7" s="29" t="n"/>
      <c r="K7" s="29" t="n"/>
      <c r="L7" s="32" t="n"/>
      <c r="M7" s="29" t="n"/>
      <c r="N7" s="29" t="n"/>
      <c r="O7" s="29" t="n"/>
      <c r="P7" s="32" t="n"/>
      <c r="Q7" s="29" t="n"/>
      <c r="R7" s="29" t="n"/>
      <c r="S7" s="29" t="n"/>
      <c r="T7" s="22">
        <f>IF(COUNT(F7,J7,N7,R7)=0,"",SUM(F7,J7,N7,R7))</f>
        <v/>
      </c>
      <c r="U7" s="22">
        <f>IF(COUNT(G7,K7,O7,S7)=0,"",SUM(G7,K7,O7,S7))</f>
        <v/>
      </c>
      <c r="V7" s="22">
        <f>IF(OR(T7="",U7=""),"",U7-T7)</f>
        <v/>
      </c>
      <c r="W7" s="22">
        <f>IF(Q7&lt;&gt;"",Q7,IF(M7&lt;&gt;"",M7,IF(I7&lt;&gt;"",I7,IF(E7&lt;&gt;"",E7,""))))</f>
        <v/>
      </c>
      <c r="X7" s="18">
        <f>IF(U7="","",U7*N(Produits!$E$6))</f>
        <v/>
      </c>
    </row>
    <row r="8">
      <c r="A8" s="33">
        <f>IF(Produits!$A$7="","",Produits!$A$7)</f>
        <v/>
      </c>
      <c r="B8" s="34">
        <f>IF(Produits!$A$7="","",Produits!$C$7)</f>
        <v/>
      </c>
      <c r="C8" s="34">
        <f>IF(Produits!$A$7="","",Produits!$D$7)</f>
        <v/>
      </c>
      <c r="D8" s="32" t="n"/>
      <c r="E8" s="29" t="n"/>
      <c r="F8" s="29" t="n"/>
      <c r="G8" s="29" t="n"/>
      <c r="H8" s="32" t="n"/>
      <c r="I8" s="29" t="n"/>
      <c r="J8" s="29" t="n"/>
      <c r="K8" s="29" t="n"/>
      <c r="L8" s="32" t="n"/>
      <c r="M8" s="29" t="n"/>
      <c r="N8" s="29" t="n"/>
      <c r="O8" s="29" t="n"/>
      <c r="P8" s="32" t="n"/>
      <c r="Q8" s="29" t="n"/>
      <c r="R8" s="29" t="n"/>
      <c r="S8" s="29" t="n"/>
      <c r="T8" s="22">
        <f>IF(COUNT(F8,J8,N8,R8)=0,"",SUM(F8,J8,N8,R8))</f>
        <v/>
      </c>
      <c r="U8" s="22">
        <f>IF(COUNT(G8,K8,O8,S8)=0,"",SUM(G8,K8,O8,S8))</f>
        <v/>
      </c>
      <c r="V8" s="22">
        <f>IF(OR(T8="",U8=""),"",U8-T8)</f>
        <v/>
      </c>
      <c r="W8" s="22">
        <f>IF(Q8&lt;&gt;"",Q8,IF(M8&lt;&gt;"",M8,IF(I8&lt;&gt;"",I8,IF(E8&lt;&gt;"",E8,""))))</f>
        <v/>
      </c>
      <c r="X8" s="18">
        <f>IF(U8="","",U8*N(Produits!$E$7))</f>
        <v/>
      </c>
    </row>
    <row r="9">
      <c r="A9" s="33">
        <f>IF(Produits!$A$8="","",Produits!$A$8)</f>
        <v/>
      </c>
      <c r="B9" s="34">
        <f>IF(Produits!$A$8="","",Produits!$C$8)</f>
        <v/>
      </c>
      <c r="C9" s="34">
        <f>IF(Produits!$A$8="","",Produits!$D$8)</f>
        <v/>
      </c>
      <c r="D9" s="32" t="n"/>
      <c r="E9" s="29" t="n"/>
      <c r="F9" s="29" t="n"/>
      <c r="G9" s="29" t="n"/>
      <c r="H9" s="32" t="n"/>
      <c r="I9" s="29" t="n"/>
      <c r="J9" s="29" t="n"/>
      <c r="K9" s="29" t="n"/>
      <c r="L9" s="32" t="n"/>
      <c r="M9" s="29" t="n"/>
      <c r="N9" s="29" t="n"/>
      <c r="O9" s="29" t="n"/>
      <c r="P9" s="32" t="n"/>
      <c r="Q9" s="29" t="n"/>
      <c r="R9" s="29" t="n"/>
      <c r="S9" s="29" t="n"/>
      <c r="T9" s="22">
        <f>IF(COUNT(F9,J9,N9,R9)=0,"",SUM(F9,J9,N9,R9))</f>
        <v/>
      </c>
      <c r="U9" s="22">
        <f>IF(COUNT(G9,K9,O9,S9)=0,"",SUM(G9,K9,O9,S9))</f>
        <v/>
      </c>
      <c r="V9" s="22">
        <f>IF(OR(T9="",U9=""),"",U9-T9)</f>
        <v/>
      </c>
      <c r="W9" s="22">
        <f>IF(Q9&lt;&gt;"",Q9,IF(M9&lt;&gt;"",M9,IF(I9&lt;&gt;"",I9,IF(E9&lt;&gt;"",E9,""))))</f>
        <v/>
      </c>
      <c r="X9" s="18">
        <f>IF(U9="","",U9*N(Produits!$E$8))</f>
        <v/>
      </c>
    </row>
    <row r="10">
      <c r="A10" s="33">
        <f>IF(Produits!$A$9="","",Produits!$A$9)</f>
        <v/>
      </c>
      <c r="B10" s="34">
        <f>IF(Produits!$A$9="","",Produits!$C$9)</f>
        <v/>
      </c>
      <c r="C10" s="34">
        <f>IF(Produits!$A$9="","",Produits!$D$9)</f>
        <v/>
      </c>
      <c r="D10" s="32" t="n"/>
      <c r="E10" s="29" t="n"/>
      <c r="F10" s="29" t="n"/>
      <c r="G10" s="29" t="n"/>
      <c r="H10" s="32" t="n"/>
      <c r="I10" s="29" t="n"/>
      <c r="J10" s="29" t="n"/>
      <c r="K10" s="29" t="n"/>
      <c r="L10" s="32" t="n"/>
      <c r="M10" s="29" t="n"/>
      <c r="N10" s="29" t="n"/>
      <c r="O10" s="29" t="n"/>
      <c r="P10" s="32" t="n"/>
      <c r="Q10" s="29" t="n"/>
      <c r="R10" s="29" t="n"/>
      <c r="S10" s="29" t="n"/>
      <c r="T10" s="22">
        <f>IF(COUNT(F10,J10,N10,R10)=0,"",SUM(F10,J10,N10,R10))</f>
        <v/>
      </c>
      <c r="U10" s="22">
        <f>IF(COUNT(G10,K10,O10,S10)=0,"",SUM(G10,K10,O10,S10))</f>
        <v/>
      </c>
      <c r="V10" s="22">
        <f>IF(OR(T10="",U10=""),"",U10-T10)</f>
        <v/>
      </c>
      <c r="W10" s="22">
        <f>IF(Q10&lt;&gt;"",Q10,IF(M10&lt;&gt;"",M10,IF(I10&lt;&gt;"",I10,IF(E10&lt;&gt;"",E10,""))))</f>
        <v/>
      </c>
      <c r="X10" s="18">
        <f>IF(U10="","",U10*N(Produits!$E$9))</f>
        <v/>
      </c>
    </row>
    <row r="11">
      <c r="A11" s="33">
        <f>IF(Produits!$A$10="","",Produits!$A$10)</f>
        <v/>
      </c>
      <c r="B11" s="34">
        <f>IF(Produits!$A$10="","",Produits!$C$10)</f>
        <v/>
      </c>
      <c r="C11" s="34">
        <f>IF(Produits!$A$10="","",Produits!$D$10)</f>
        <v/>
      </c>
      <c r="D11" s="32" t="n"/>
      <c r="E11" s="29" t="n"/>
      <c r="F11" s="29" t="n"/>
      <c r="G11" s="29" t="n"/>
      <c r="H11" s="32" t="n"/>
      <c r="I11" s="29" t="n"/>
      <c r="J11" s="29" t="n"/>
      <c r="K11" s="29" t="n"/>
      <c r="L11" s="32" t="n"/>
      <c r="M11" s="29" t="n"/>
      <c r="N11" s="29" t="n"/>
      <c r="O11" s="29" t="n"/>
      <c r="P11" s="32" t="n"/>
      <c r="Q11" s="29" t="n"/>
      <c r="R11" s="29" t="n"/>
      <c r="S11" s="29" t="n"/>
      <c r="T11" s="22">
        <f>IF(COUNT(F11,J11,N11,R11)=0,"",SUM(F11,J11,N11,R11))</f>
        <v/>
      </c>
      <c r="U11" s="22">
        <f>IF(COUNT(G11,K11,O11,S11)=0,"",SUM(G11,K11,O11,S11))</f>
        <v/>
      </c>
      <c r="V11" s="22">
        <f>IF(OR(T11="",U11=""),"",U11-T11)</f>
        <v/>
      </c>
      <c r="W11" s="22">
        <f>IF(Q11&lt;&gt;"",Q11,IF(M11&lt;&gt;"",M11,IF(I11&lt;&gt;"",I11,IF(E11&lt;&gt;"",E11,""))))</f>
        <v/>
      </c>
      <c r="X11" s="18">
        <f>IF(U11="","",U11*N(Produits!$E$10))</f>
        <v/>
      </c>
    </row>
    <row r="12">
      <c r="A12" s="33">
        <f>IF(Produits!$A$11="","",Produits!$A$11)</f>
        <v/>
      </c>
      <c r="B12" s="34">
        <f>IF(Produits!$A$11="","",Produits!$C$11)</f>
        <v/>
      </c>
      <c r="C12" s="34">
        <f>IF(Produits!$A$11="","",Produits!$D$11)</f>
        <v/>
      </c>
      <c r="D12" s="32" t="n"/>
      <c r="E12" s="29" t="n"/>
      <c r="F12" s="29" t="n"/>
      <c r="G12" s="29" t="n"/>
      <c r="H12" s="32" t="n"/>
      <c r="I12" s="29" t="n"/>
      <c r="J12" s="29" t="n"/>
      <c r="K12" s="29" t="n"/>
      <c r="L12" s="32" t="n"/>
      <c r="M12" s="29" t="n"/>
      <c r="N12" s="29" t="n"/>
      <c r="O12" s="29" t="n"/>
      <c r="P12" s="32" t="n"/>
      <c r="Q12" s="29" t="n"/>
      <c r="R12" s="29" t="n"/>
      <c r="S12" s="29" t="n"/>
      <c r="T12" s="22">
        <f>IF(COUNT(F12,J12,N12,R12)=0,"",SUM(F12,J12,N12,R12))</f>
        <v/>
      </c>
      <c r="U12" s="22">
        <f>IF(COUNT(G12,K12,O12,S12)=0,"",SUM(G12,K12,O12,S12))</f>
        <v/>
      </c>
      <c r="V12" s="22">
        <f>IF(OR(T12="",U12=""),"",U12-T12)</f>
        <v/>
      </c>
      <c r="W12" s="22">
        <f>IF(Q12&lt;&gt;"",Q12,IF(M12&lt;&gt;"",M12,IF(I12&lt;&gt;"",I12,IF(E12&lt;&gt;"",E12,""))))</f>
        <v/>
      </c>
      <c r="X12" s="18">
        <f>IF(U12="","",U12*N(Produits!$E$11))</f>
        <v/>
      </c>
    </row>
    <row r="13">
      <c r="A13" s="33">
        <f>IF(Produits!$A$12="","",Produits!$A$12)</f>
        <v/>
      </c>
      <c r="B13" s="34">
        <f>IF(Produits!$A$12="","",Produits!$C$12)</f>
        <v/>
      </c>
      <c r="C13" s="34">
        <f>IF(Produits!$A$12="","",Produits!$D$12)</f>
        <v/>
      </c>
      <c r="D13" s="32" t="n"/>
      <c r="E13" s="29" t="n"/>
      <c r="F13" s="29" t="n"/>
      <c r="G13" s="29" t="n"/>
      <c r="H13" s="32" t="n"/>
      <c r="I13" s="29" t="n"/>
      <c r="J13" s="29" t="n"/>
      <c r="K13" s="29" t="n"/>
      <c r="L13" s="32" t="n"/>
      <c r="M13" s="29" t="n"/>
      <c r="N13" s="29" t="n"/>
      <c r="O13" s="29" t="n"/>
      <c r="P13" s="32" t="n"/>
      <c r="Q13" s="29" t="n"/>
      <c r="R13" s="29" t="n"/>
      <c r="S13" s="29" t="n"/>
      <c r="T13" s="22">
        <f>IF(COUNT(F13,J13,N13,R13)=0,"",SUM(F13,J13,N13,R13))</f>
        <v/>
      </c>
      <c r="U13" s="22">
        <f>IF(COUNT(G13,K13,O13,S13)=0,"",SUM(G13,K13,O13,S13))</f>
        <v/>
      </c>
      <c r="V13" s="22">
        <f>IF(OR(T13="",U13=""),"",U13-T13)</f>
        <v/>
      </c>
      <c r="W13" s="22">
        <f>IF(Q13&lt;&gt;"",Q13,IF(M13&lt;&gt;"",M13,IF(I13&lt;&gt;"",I13,IF(E13&lt;&gt;"",E13,""))))</f>
        <v/>
      </c>
      <c r="X13" s="18">
        <f>IF(U13="","",U13*N(Produits!$E$12))</f>
        <v/>
      </c>
    </row>
    <row r="14">
      <c r="A14" s="33">
        <f>IF(Produits!$A$13="","",Produits!$A$13)</f>
        <v/>
      </c>
      <c r="B14" s="34">
        <f>IF(Produits!$A$13="","",Produits!$C$13)</f>
        <v/>
      </c>
      <c r="C14" s="34">
        <f>IF(Produits!$A$13="","",Produits!$D$13)</f>
        <v/>
      </c>
      <c r="D14" s="32" t="n"/>
      <c r="E14" s="29" t="n"/>
      <c r="F14" s="29" t="n"/>
      <c r="G14" s="29" t="n"/>
      <c r="H14" s="32" t="n"/>
      <c r="I14" s="29" t="n"/>
      <c r="J14" s="29" t="n"/>
      <c r="K14" s="29" t="n"/>
      <c r="L14" s="32" t="n"/>
      <c r="M14" s="29" t="n"/>
      <c r="N14" s="29" t="n"/>
      <c r="O14" s="29" t="n"/>
      <c r="P14" s="32" t="n"/>
      <c r="Q14" s="29" t="n"/>
      <c r="R14" s="29" t="n"/>
      <c r="S14" s="29" t="n"/>
      <c r="T14" s="22">
        <f>IF(COUNT(F14,J14,N14,R14)=0,"",SUM(F14,J14,N14,R14))</f>
        <v/>
      </c>
      <c r="U14" s="22">
        <f>IF(COUNT(G14,K14,O14,S14)=0,"",SUM(G14,K14,O14,S14))</f>
        <v/>
      </c>
      <c r="V14" s="22">
        <f>IF(OR(T14="",U14=""),"",U14-T14)</f>
        <v/>
      </c>
      <c r="W14" s="22">
        <f>IF(Q14&lt;&gt;"",Q14,IF(M14&lt;&gt;"",M14,IF(I14&lt;&gt;"",I14,IF(E14&lt;&gt;"",E14,""))))</f>
        <v/>
      </c>
      <c r="X14" s="18">
        <f>IF(U14="","",U14*N(Produits!$E$13))</f>
        <v/>
      </c>
    </row>
    <row r="15">
      <c r="A15" s="33">
        <f>IF(Produits!$A$14="","",Produits!$A$14)</f>
        <v/>
      </c>
      <c r="B15" s="34">
        <f>IF(Produits!$A$14="","",Produits!$C$14)</f>
        <v/>
      </c>
      <c r="C15" s="34">
        <f>IF(Produits!$A$14="","",Produits!$D$14)</f>
        <v/>
      </c>
      <c r="D15" s="32" t="n"/>
      <c r="E15" s="29" t="n"/>
      <c r="F15" s="29" t="n"/>
      <c r="G15" s="29" t="n"/>
      <c r="H15" s="32" t="n"/>
      <c r="I15" s="29" t="n"/>
      <c r="J15" s="29" t="n"/>
      <c r="K15" s="29" t="n"/>
      <c r="L15" s="32" t="n"/>
      <c r="M15" s="29" t="n"/>
      <c r="N15" s="29" t="n"/>
      <c r="O15" s="29" t="n"/>
      <c r="P15" s="32" t="n"/>
      <c r="Q15" s="29" t="n"/>
      <c r="R15" s="29" t="n"/>
      <c r="S15" s="29" t="n"/>
      <c r="T15" s="22">
        <f>IF(COUNT(F15,J15,N15,R15)=0,"",SUM(F15,J15,N15,R15))</f>
        <v/>
      </c>
      <c r="U15" s="22">
        <f>IF(COUNT(G15,K15,O15,S15)=0,"",SUM(G15,K15,O15,S15))</f>
        <v/>
      </c>
      <c r="V15" s="22">
        <f>IF(OR(T15="",U15=""),"",U15-T15)</f>
        <v/>
      </c>
      <c r="W15" s="22">
        <f>IF(Q15&lt;&gt;"",Q15,IF(M15&lt;&gt;"",M15,IF(I15&lt;&gt;"",I15,IF(E15&lt;&gt;"",E15,""))))</f>
        <v/>
      </c>
      <c r="X15" s="18">
        <f>IF(U15="","",U15*N(Produits!$E$14))</f>
        <v/>
      </c>
    </row>
    <row r="16">
      <c r="A16" s="33">
        <f>IF(Produits!$A$15="","",Produits!$A$15)</f>
        <v/>
      </c>
      <c r="B16" s="34">
        <f>IF(Produits!$A$15="","",Produits!$C$15)</f>
        <v/>
      </c>
      <c r="C16" s="34">
        <f>IF(Produits!$A$15="","",Produits!$D$15)</f>
        <v/>
      </c>
      <c r="D16" s="32" t="n"/>
      <c r="E16" s="29" t="n"/>
      <c r="F16" s="29" t="n"/>
      <c r="G16" s="29" t="n"/>
      <c r="H16" s="32" t="n"/>
      <c r="I16" s="29" t="n"/>
      <c r="J16" s="29" t="n"/>
      <c r="K16" s="29" t="n"/>
      <c r="L16" s="32" t="n"/>
      <c r="M16" s="29" t="n"/>
      <c r="N16" s="29" t="n"/>
      <c r="O16" s="29" t="n"/>
      <c r="P16" s="32" t="n"/>
      <c r="Q16" s="29" t="n"/>
      <c r="R16" s="29" t="n"/>
      <c r="S16" s="29" t="n"/>
      <c r="T16" s="22">
        <f>IF(COUNT(F16,J16,N16,R16)=0,"",SUM(F16,J16,N16,R16))</f>
        <v/>
      </c>
      <c r="U16" s="22">
        <f>IF(COUNT(G16,K16,O16,S16)=0,"",SUM(G16,K16,O16,S16))</f>
        <v/>
      </c>
      <c r="V16" s="22">
        <f>IF(OR(T16="",U16=""),"",U16-T16)</f>
        <v/>
      </c>
      <c r="W16" s="22">
        <f>IF(Q16&lt;&gt;"",Q16,IF(M16&lt;&gt;"",M16,IF(I16&lt;&gt;"",I16,IF(E16&lt;&gt;"",E16,""))))</f>
        <v/>
      </c>
      <c r="X16" s="18">
        <f>IF(U16="","",U16*N(Produits!$E$15))</f>
        <v/>
      </c>
    </row>
    <row r="17">
      <c r="A17" s="33">
        <f>IF(Produits!$A$16="","",Produits!$A$16)</f>
        <v/>
      </c>
      <c r="B17" s="34">
        <f>IF(Produits!$A$16="","",Produits!$C$16)</f>
        <v/>
      </c>
      <c r="C17" s="34">
        <f>IF(Produits!$A$16="","",Produits!$D$16)</f>
        <v/>
      </c>
      <c r="D17" s="32" t="n"/>
      <c r="E17" s="29" t="n"/>
      <c r="F17" s="29" t="n"/>
      <c r="G17" s="29" t="n"/>
      <c r="H17" s="32" t="n"/>
      <c r="I17" s="29" t="n"/>
      <c r="J17" s="29" t="n"/>
      <c r="K17" s="29" t="n"/>
      <c r="L17" s="32" t="n"/>
      <c r="M17" s="29" t="n"/>
      <c r="N17" s="29" t="n"/>
      <c r="O17" s="29" t="n"/>
      <c r="P17" s="32" t="n"/>
      <c r="Q17" s="29" t="n"/>
      <c r="R17" s="29" t="n"/>
      <c r="S17" s="29" t="n"/>
      <c r="T17" s="22">
        <f>IF(COUNT(F17,J17,N17,R17)=0,"",SUM(F17,J17,N17,R17))</f>
        <v/>
      </c>
      <c r="U17" s="22">
        <f>IF(COUNT(G17,K17,O17,S17)=0,"",SUM(G17,K17,O17,S17))</f>
        <v/>
      </c>
      <c r="V17" s="22">
        <f>IF(OR(T17="",U17=""),"",U17-T17)</f>
        <v/>
      </c>
      <c r="W17" s="22">
        <f>IF(Q17&lt;&gt;"",Q17,IF(M17&lt;&gt;"",M17,IF(I17&lt;&gt;"",I17,IF(E17&lt;&gt;"",E17,""))))</f>
        <v/>
      </c>
      <c r="X17" s="18">
        <f>IF(U17="","",U17*N(Produits!$E$16))</f>
        <v/>
      </c>
    </row>
    <row r="18">
      <c r="A18" s="33">
        <f>IF(Produits!$A$17="","",Produits!$A$17)</f>
        <v/>
      </c>
      <c r="B18" s="34">
        <f>IF(Produits!$A$17="","",Produits!$C$17)</f>
        <v/>
      </c>
      <c r="C18" s="34">
        <f>IF(Produits!$A$17="","",Produits!$D$17)</f>
        <v/>
      </c>
      <c r="D18" s="32" t="n"/>
      <c r="E18" s="29" t="n"/>
      <c r="F18" s="29" t="n"/>
      <c r="G18" s="29" t="n"/>
      <c r="H18" s="32" t="n"/>
      <c r="I18" s="29" t="n"/>
      <c r="J18" s="29" t="n"/>
      <c r="K18" s="29" t="n"/>
      <c r="L18" s="32" t="n"/>
      <c r="M18" s="29" t="n"/>
      <c r="N18" s="29" t="n"/>
      <c r="O18" s="29" t="n"/>
      <c r="P18" s="32" t="n"/>
      <c r="Q18" s="29" t="n"/>
      <c r="R18" s="29" t="n"/>
      <c r="S18" s="29" t="n"/>
      <c r="T18" s="22">
        <f>IF(COUNT(F18,J18,N18,R18)=0,"",SUM(F18,J18,N18,R18))</f>
        <v/>
      </c>
      <c r="U18" s="22">
        <f>IF(COUNT(G18,K18,O18,S18)=0,"",SUM(G18,K18,O18,S18))</f>
        <v/>
      </c>
      <c r="V18" s="22">
        <f>IF(OR(T18="",U18=""),"",U18-T18)</f>
        <v/>
      </c>
      <c r="W18" s="22">
        <f>IF(Q18&lt;&gt;"",Q18,IF(M18&lt;&gt;"",M18,IF(I18&lt;&gt;"",I18,IF(E18&lt;&gt;"",E18,""))))</f>
        <v/>
      </c>
      <c r="X18" s="18">
        <f>IF(U18="","",U18*N(Produits!$E$17))</f>
        <v/>
      </c>
    </row>
    <row r="19">
      <c r="A19" s="33">
        <f>IF(Produits!$A$18="","",Produits!$A$18)</f>
        <v/>
      </c>
      <c r="B19" s="34">
        <f>IF(Produits!$A$18="","",Produits!$C$18)</f>
        <v/>
      </c>
      <c r="C19" s="34">
        <f>IF(Produits!$A$18="","",Produits!$D$18)</f>
        <v/>
      </c>
      <c r="D19" s="32" t="n"/>
      <c r="E19" s="29" t="n"/>
      <c r="F19" s="29" t="n"/>
      <c r="G19" s="29" t="n"/>
      <c r="H19" s="32" t="n"/>
      <c r="I19" s="29" t="n"/>
      <c r="J19" s="29" t="n"/>
      <c r="K19" s="29" t="n"/>
      <c r="L19" s="32" t="n"/>
      <c r="M19" s="29" t="n"/>
      <c r="N19" s="29" t="n"/>
      <c r="O19" s="29" t="n"/>
      <c r="P19" s="32" t="n"/>
      <c r="Q19" s="29" t="n"/>
      <c r="R19" s="29" t="n"/>
      <c r="S19" s="29" t="n"/>
      <c r="T19" s="22">
        <f>IF(COUNT(F19,J19,N19,R19)=0,"",SUM(F19,J19,N19,R19))</f>
        <v/>
      </c>
      <c r="U19" s="22">
        <f>IF(COUNT(G19,K19,O19,S19)=0,"",SUM(G19,K19,O19,S19))</f>
        <v/>
      </c>
      <c r="V19" s="22">
        <f>IF(OR(T19="",U19=""),"",U19-T19)</f>
        <v/>
      </c>
      <c r="W19" s="22">
        <f>IF(Q19&lt;&gt;"",Q19,IF(M19&lt;&gt;"",M19,IF(I19&lt;&gt;"",I19,IF(E19&lt;&gt;"",E19,""))))</f>
        <v/>
      </c>
      <c r="X19" s="18">
        <f>IF(U19="","",U19*N(Produits!$E$18))</f>
        <v/>
      </c>
    </row>
    <row r="20">
      <c r="A20" s="33">
        <f>IF(Produits!$A$19="","",Produits!$A$19)</f>
        <v/>
      </c>
      <c r="B20" s="34">
        <f>IF(Produits!$A$19="","",Produits!$C$19)</f>
        <v/>
      </c>
      <c r="C20" s="34">
        <f>IF(Produits!$A$19="","",Produits!$D$19)</f>
        <v/>
      </c>
      <c r="D20" s="32" t="n"/>
      <c r="E20" s="29" t="n"/>
      <c r="F20" s="29" t="n"/>
      <c r="G20" s="29" t="n"/>
      <c r="H20" s="32" t="n"/>
      <c r="I20" s="29" t="n"/>
      <c r="J20" s="29" t="n"/>
      <c r="K20" s="29" t="n"/>
      <c r="L20" s="32" t="n"/>
      <c r="M20" s="29" t="n"/>
      <c r="N20" s="29" t="n"/>
      <c r="O20" s="29" t="n"/>
      <c r="P20" s="32" t="n"/>
      <c r="Q20" s="29" t="n"/>
      <c r="R20" s="29" t="n"/>
      <c r="S20" s="29" t="n"/>
      <c r="T20" s="22">
        <f>IF(COUNT(F20,J20,N20,R20)=0,"",SUM(F20,J20,N20,R20))</f>
        <v/>
      </c>
      <c r="U20" s="22">
        <f>IF(COUNT(G20,K20,O20,S20)=0,"",SUM(G20,K20,O20,S20))</f>
        <v/>
      </c>
      <c r="V20" s="22">
        <f>IF(OR(T20="",U20=""),"",U20-T20)</f>
        <v/>
      </c>
      <c r="W20" s="22">
        <f>IF(Q20&lt;&gt;"",Q20,IF(M20&lt;&gt;"",M20,IF(I20&lt;&gt;"",I20,IF(E20&lt;&gt;"",E20,""))))</f>
        <v/>
      </c>
      <c r="X20" s="18">
        <f>IF(U20="","",U20*N(Produits!$E$19))</f>
        <v/>
      </c>
    </row>
    <row r="21">
      <c r="A21" s="33">
        <f>IF(Produits!$A$20="","",Produits!$A$20)</f>
        <v/>
      </c>
      <c r="B21" s="34">
        <f>IF(Produits!$A$20="","",Produits!$C$20)</f>
        <v/>
      </c>
      <c r="C21" s="34">
        <f>IF(Produits!$A$20="","",Produits!$D$20)</f>
        <v/>
      </c>
      <c r="D21" s="32" t="n"/>
      <c r="E21" s="29" t="n"/>
      <c r="F21" s="29" t="n"/>
      <c r="G21" s="29" t="n"/>
      <c r="H21" s="32" t="n"/>
      <c r="I21" s="29" t="n"/>
      <c r="J21" s="29" t="n"/>
      <c r="K21" s="29" t="n"/>
      <c r="L21" s="32" t="n"/>
      <c r="M21" s="29" t="n"/>
      <c r="N21" s="29" t="n"/>
      <c r="O21" s="29" t="n"/>
      <c r="P21" s="32" t="n"/>
      <c r="Q21" s="29" t="n"/>
      <c r="R21" s="29" t="n"/>
      <c r="S21" s="29" t="n"/>
      <c r="T21" s="22">
        <f>IF(COUNT(F21,J21,N21,R21)=0,"",SUM(F21,J21,N21,R21))</f>
        <v/>
      </c>
      <c r="U21" s="22">
        <f>IF(COUNT(G21,K21,O21,S21)=0,"",SUM(G21,K21,O21,S21))</f>
        <v/>
      </c>
      <c r="V21" s="22">
        <f>IF(OR(T21="",U21=""),"",U21-T21)</f>
        <v/>
      </c>
      <c r="W21" s="22">
        <f>IF(Q21&lt;&gt;"",Q21,IF(M21&lt;&gt;"",M21,IF(I21&lt;&gt;"",I21,IF(E21&lt;&gt;"",E21,""))))</f>
        <v/>
      </c>
      <c r="X21" s="18">
        <f>IF(U21="","",U21*N(Produits!$E$20))</f>
        <v/>
      </c>
    </row>
    <row r="22" ht="20" customHeight="1">
      <c r="A22" s="23" t="inlineStr">
        <is>
          <t>CHAMBRE FROIDE POSITIVE</t>
        </is>
      </c>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row>
    <row r="23">
      <c r="A23" s="33">
        <f>IF(Produits!$A$22="","",Produits!$A$22)</f>
        <v/>
      </c>
      <c r="B23" s="34">
        <f>IF(Produits!$A$22="","",Produits!$C$22)</f>
        <v/>
      </c>
      <c r="C23" s="34">
        <f>IF(Produits!$A$22="","",Produits!$D$22)</f>
        <v/>
      </c>
      <c r="D23" s="32" t="n"/>
      <c r="E23" s="29" t="n"/>
      <c r="F23" s="29" t="n"/>
      <c r="G23" s="29" t="n"/>
      <c r="H23" s="32" t="n"/>
      <c r="I23" s="29" t="n"/>
      <c r="J23" s="29" t="n"/>
      <c r="K23" s="29" t="n"/>
      <c r="L23" s="32" t="n"/>
      <c r="M23" s="29" t="n"/>
      <c r="N23" s="29" t="n"/>
      <c r="O23" s="29" t="n"/>
      <c r="P23" s="32" t="n"/>
      <c r="Q23" s="29" t="n"/>
      <c r="R23" s="29" t="n"/>
      <c r="S23" s="29" t="n"/>
      <c r="T23" s="22">
        <f>IF(COUNT(F23,J23,N23,R23)=0,"",SUM(F23,J23,N23,R23))</f>
        <v/>
      </c>
      <c r="U23" s="22">
        <f>IF(COUNT(G23,K23,O23,S23)=0,"",SUM(G23,K23,O23,S23))</f>
        <v/>
      </c>
      <c r="V23" s="22">
        <f>IF(OR(T23="",U23=""),"",U23-T23)</f>
        <v/>
      </c>
      <c r="W23" s="22">
        <f>IF(Q23&lt;&gt;"",Q23,IF(M23&lt;&gt;"",M23,IF(I23&lt;&gt;"",I23,IF(E23&lt;&gt;"",E23,""))))</f>
        <v/>
      </c>
      <c r="X23" s="18">
        <f>IF(U23="","",U23*N(Produits!$E$22))</f>
        <v/>
      </c>
    </row>
    <row r="24">
      <c r="A24" s="33">
        <f>IF(Produits!$A$23="","",Produits!$A$23)</f>
        <v/>
      </c>
      <c r="B24" s="34">
        <f>IF(Produits!$A$23="","",Produits!$C$23)</f>
        <v/>
      </c>
      <c r="C24" s="34">
        <f>IF(Produits!$A$23="","",Produits!$D$23)</f>
        <v/>
      </c>
      <c r="D24" s="32" t="n"/>
      <c r="E24" s="29" t="n"/>
      <c r="F24" s="29" t="n"/>
      <c r="G24" s="29" t="n"/>
      <c r="H24" s="32" t="n"/>
      <c r="I24" s="29" t="n"/>
      <c r="J24" s="29" t="n"/>
      <c r="K24" s="29" t="n"/>
      <c r="L24" s="32" t="n"/>
      <c r="M24" s="29" t="n"/>
      <c r="N24" s="29" t="n"/>
      <c r="O24" s="29" t="n"/>
      <c r="P24" s="32" t="n"/>
      <c r="Q24" s="29" t="n"/>
      <c r="R24" s="29" t="n"/>
      <c r="S24" s="29" t="n"/>
      <c r="T24" s="22">
        <f>IF(COUNT(F24,J24,N24,R24)=0,"",SUM(F24,J24,N24,R24))</f>
        <v/>
      </c>
      <c r="U24" s="22">
        <f>IF(COUNT(G24,K24,O24,S24)=0,"",SUM(G24,K24,O24,S24))</f>
        <v/>
      </c>
      <c r="V24" s="22">
        <f>IF(OR(T24="",U24=""),"",U24-T24)</f>
        <v/>
      </c>
      <c r="W24" s="22">
        <f>IF(Q24&lt;&gt;"",Q24,IF(M24&lt;&gt;"",M24,IF(I24&lt;&gt;"",I24,IF(E24&lt;&gt;"",E24,""))))</f>
        <v/>
      </c>
      <c r="X24" s="18">
        <f>IF(U24="","",U24*N(Produits!$E$23))</f>
        <v/>
      </c>
    </row>
    <row r="25">
      <c r="A25" s="33">
        <f>IF(Produits!$A$24="","",Produits!$A$24)</f>
        <v/>
      </c>
      <c r="B25" s="34">
        <f>IF(Produits!$A$24="","",Produits!$C$24)</f>
        <v/>
      </c>
      <c r="C25" s="34">
        <f>IF(Produits!$A$24="","",Produits!$D$24)</f>
        <v/>
      </c>
      <c r="D25" s="32" t="n"/>
      <c r="E25" s="29" t="n"/>
      <c r="F25" s="29" t="n"/>
      <c r="G25" s="29" t="n"/>
      <c r="H25" s="32" t="n"/>
      <c r="I25" s="29" t="n"/>
      <c r="J25" s="29" t="n"/>
      <c r="K25" s="29" t="n"/>
      <c r="L25" s="32" t="n"/>
      <c r="M25" s="29" t="n"/>
      <c r="N25" s="29" t="n"/>
      <c r="O25" s="29" t="n"/>
      <c r="P25" s="32" t="n"/>
      <c r="Q25" s="29" t="n"/>
      <c r="R25" s="29" t="n"/>
      <c r="S25" s="29" t="n"/>
      <c r="T25" s="22">
        <f>IF(COUNT(F25,J25,N25,R25)=0,"",SUM(F25,J25,N25,R25))</f>
        <v/>
      </c>
      <c r="U25" s="22">
        <f>IF(COUNT(G25,K25,O25,S25)=0,"",SUM(G25,K25,O25,S25))</f>
        <v/>
      </c>
      <c r="V25" s="22">
        <f>IF(OR(T25="",U25=""),"",U25-T25)</f>
        <v/>
      </c>
      <c r="W25" s="22">
        <f>IF(Q25&lt;&gt;"",Q25,IF(M25&lt;&gt;"",M25,IF(I25&lt;&gt;"",I25,IF(E25&lt;&gt;"",E25,""))))</f>
        <v/>
      </c>
      <c r="X25" s="18">
        <f>IF(U25="","",U25*N(Produits!$E$24))</f>
        <v/>
      </c>
    </row>
    <row r="26">
      <c r="A26" s="33">
        <f>IF(Produits!$A$25="","",Produits!$A$25)</f>
        <v/>
      </c>
      <c r="B26" s="34">
        <f>IF(Produits!$A$25="","",Produits!$C$25)</f>
        <v/>
      </c>
      <c r="C26" s="34">
        <f>IF(Produits!$A$25="","",Produits!$D$25)</f>
        <v/>
      </c>
      <c r="D26" s="32" t="n"/>
      <c r="E26" s="29" t="n"/>
      <c r="F26" s="29" t="n"/>
      <c r="G26" s="29" t="n"/>
      <c r="H26" s="32" t="n"/>
      <c r="I26" s="29" t="n"/>
      <c r="J26" s="29" t="n"/>
      <c r="K26" s="29" t="n"/>
      <c r="L26" s="32" t="n"/>
      <c r="M26" s="29" t="n"/>
      <c r="N26" s="29" t="n"/>
      <c r="O26" s="29" t="n"/>
      <c r="P26" s="32" t="n"/>
      <c r="Q26" s="29" t="n"/>
      <c r="R26" s="29" t="n"/>
      <c r="S26" s="29" t="n"/>
      <c r="T26" s="22">
        <f>IF(COUNT(F26,J26,N26,R26)=0,"",SUM(F26,J26,N26,R26))</f>
        <v/>
      </c>
      <c r="U26" s="22">
        <f>IF(COUNT(G26,K26,O26,S26)=0,"",SUM(G26,K26,O26,S26))</f>
        <v/>
      </c>
      <c r="V26" s="22">
        <f>IF(OR(T26="",U26=""),"",U26-T26)</f>
        <v/>
      </c>
      <c r="W26" s="22">
        <f>IF(Q26&lt;&gt;"",Q26,IF(M26&lt;&gt;"",M26,IF(I26&lt;&gt;"",I26,IF(E26&lt;&gt;"",E26,""))))</f>
        <v/>
      </c>
      <c r="X26" s="18">
        <f>IF(U26="","",U26*N(Produits!$E$25))</f>
        <v/>
      </c>
    </row>
    <row r="27">
      <c r="A27" s="33">
        <f>IF(Produits!$A$26="","",Produits!$A$26)</f>
        <v/>
      </c>
      <c r="B27" s="34">
        <f>IF(Produits!$A$26="","",Produits!$C$26)</f>
        <v/>
      </c>
      <c r="C27" s="34">
        <f>IF(Produits!$A$26="","",Produits!$D$26)</f>
        <v/>
      </c>
      <c r="D27" s="32" t="n"/>
      <c r="E27" s="29" t="n"/>
      <c r="F27" s="29" t="n"/>
      <c r="G27" s="29" t="n"/>
      <c r="H27" s="32" t="n"/>
      <c r="I27" s="29" t="n"/>
      <c r="J27" s="29" t="n"/>
      <c r="K27" s="29" t="n"/>
      <c r="L27" s="32" t="n"/>
      <c r="M27" s="29" t="n"/>
      <c r="N27" s="29" t="n"/>
      <c r="O27" s="29" t="n"/>
      <c r="P27" s="32" t="n"/>
      <c r="Q27" s="29" t="n"/>
      <c r="R27" s="29" t="n"/>
      <c r="S27" s="29" t="n"/>
      <c r="T27" s="22">
        <f>IF(COUNT(F27,J27,N27,R27)=0,"",SUM(F27,J27,N27,R27))</f>
        <v/>
      </c>
      <c r="U27" s="22">
        <f>IF(COUNT(G27,K27,O27,S27)=0,"",SUM(G27,K27,O27,S27))</f>
        <v/>
      </c>
      <c r="V27" s="22">
        <f>IF(OR(T27="",U27=""),"",U27-T27)</f>
        <v/>
      </c>
      <c r="W27" s="22">
        <f>IF(Q27&lt;&gt;"",Q27,IF(M27&lt;&gt;"",M27,IF(I27&lt;&gt;"",I27,IF(E27&lt;&gt;"",E27,""))))</f>
        <v/>
      </c>
      <c r="X27" s="18">
        <f>IF(U27="","",U27*N(Produits!$E$26))</f>
        <v/>
      </c>
    </row>
    <row r="28">
      <c r="A28" s="33">
        <f>IF(Produits!$A$27="","",Produits!$A$27)</f>
        <v/>
      </c>
      <c r="B28" s="34">
        <f>IF(Produits!$A$27="","",Produits!$C$27)</f>
        <v/>
      </c>
      <c r="C28" s="34">
        <f>IF(Produits!$A$27="","",Produits!$D$27)</f>
        <v/>
      </c>
      <c r="D28" s="32" t="n"/>
      <c r="E28" s="29" t="n"/>
      <c r="F28" s="29" t="n"/>
      <c r="G28" s="29" t="n"/>
      <c r="H28" s="32" t="n"/>
      <c r="I28" s="29" t="n"/>
      <c r="J28" s="29" t="n"/>
      <c r="K28" s="29" t="n"/>
      <c r="L28" s="32" t="n"/>
      <c r="M28" s="29" t="n"/>
      <c r="N28" s="29" t="n"/>
      <c r="O28" s="29" t="n"/>
      <c r="P28" s="32" t="n"/>
      <c r="Q28" s="29" t="n"/>
      <c r="R28" s="29" t="n"/>
      <c r="S28" s="29" t="n"/>
      <c r="T28" s="22">
        <f>IF(COUNT(F28,J28,N28,R28)=0,"",SUM(F28,J28,N28,R28))</f>
        <v/>
      </c>
      <c r="U28" s="22">
        <f>IF(COUNT(G28,K28,O28,S28)=0,"",SUM(G28,K28,O28,S28))</f>
        <v/>
      </c>
      <c r="V28" s="22">
        <f>IF(OR(T28="",U28=""),"",U28-T28)</f>
        <v/>
      </c>
      <c r="W28" s="22">
        <f>IF(Q28&lt;&gt;"",Q28,IF(M28&lt;&gt;"",M28,IF(I28&lt;&gt;"",I28,IF(E28&lt;&gt;"",E28,""))))</f>
        <v/>
      </c>
      <c r="X28" s="18">
        <f>IF(U28="","",U28*N(Produits!$E$27))</f>
        <v/>
      </c>
    </row>
    <row r="29">
      <c r="A29" s="33">
        <f>IF(Produits!$A$28="","",Produits!$A$28)</f>
        <v/>
      </c>
      <c r="B29" s="34">
        <f>IF(Produits!$A$28="","",Produits!$C$28)</f>
        <v/>
      </c>
      <c r="C29" s="34">
        <f>IF(Produits!$A$28="","",Produits!$D$28)</f>
        <v/>
      </c>
      <c r="D29" s="32" t="n"/>
      <c r="E29" s="29" t="n"/>
      <c r="F29" s="29" t="n"/>
      <c r="G29" s="29" t="n"/>
      <c r="H29" s="32" t="n"/>
      <c r="I29" s="29" t="n"/>
      <c r="J29" s="29" t="n"/>
      <c r="K29" s="29" t="n"/>
      <c r="L29" s="32" t="n"/>
      <c r="M29" s="29" t="n"/>
      <c r="N29" s="29" t="n"/>
      <c r="O29" s="29" t="n"/>
      <c r="P29" s="32" t="n"/>
      <c r="Q29" s="29" t="n"/>
      <c r="R29" s="29" t="n"/>
      <c r="S29" s="29" t="n"/>
      <c r="T29" s="22">
        <f>IF(COUNT(F29,J29,N29,R29)=0,"",SUM(F29,J29,N29,R29))</f>
        <v/>
      </c>
      <c r="U29" s="22">
        <f>IF(COUNT(G29,K29,O29,S29)=0,"",SUM(G29,K29,O29,S29))</f>
        <v/>
      </c>
      <c r="V29" s="22">
        <f>IF(OR(T29="",U29=""),"",U29-T29)</f>
        <v/>
      </c>
      <c r="W29" s="22">
        <f>IF(Q29&lt;&gt;"",Q29,IF(M29&lt;&gt;"",M29,IF(I29&lt;&gt;"",I29,IF(E29&lt;&gt;"",E29,""))))</f>
        <v/>
      </c>
      <c r="X29" s="18">
        <f>IF(U29="","",U29*N(Produits!$E$28))</f>
        <v/>
      </c>
    </row>
    <row r="30">
      <c r="A30" s="33">
        <f>IF(Produits!$A$29="","",Produits!$A$29)</f>
        <v/>
      </c>
      <c r="B30" s="34">
        <f>IF(Produits!$A$29="","",Produits!$C$29)</f>
        <v/>
      </c>
      <c r="C30" s="34">
        <f>IF(Produits!$A$29="","",Produits!$D$29)</f>
        <v/>
      </c>
      <c r="D30" s="32" t="n"/>
      <c r="E30" s="29" t="n"/>
      <c r="F30" s="29" t="n"/>
      <c r="G30" s="29" t="n"/>
      <c r="H30" s="32" t="n"/>
      <c r="I30" s="29" t="n"/>
      <c r="J30" s="29" t="n"/>
      <c r="K30" s="29" t="n"/>
      <c r="L30" s="32" t="n"/>
      <c r="M30" s="29" t="n"/>
      <c r="N30" s="29" t="n"/>
      <c r="O30" s="29" t="n"/>
      <c r="P30" s="32" t="n"/>
      <c r="Q30" s="29" t="n"/>
      <c r="R30" s="29" t="n"/>
      <c r="S30" s="29" t="n"/>
      <c r="T30" s="22">
        <f>IF(COUNT(F30,J30,N30,R30)=0,"",SUM(F30,J30,N30,R30))</f>
        <v/>
      </c>
      <c r="U30" s="22">
        <f>IF(COUNT(G30,K30,O30,S30)=0,"",SUM(G30,K30,O30,S30))</f>
        <v/>
      </c>
      <c r="V30" s="22">
        <f>IF(OR(T30="",U30=""),"",U30-T30)</f>
        <v/>
      </c>
      <c r="W30" s="22">
        <f>IF(Q30&lt;&gt;"",Q30,IF(M30&lt;&gt;"",M30,IF(I30&lt;&gt;"",I30,IF(E30&lt;&gt;"",E30,""))))</f>
        <v/>
      </c>
      <c r="X30" s="18">
        <f>IF(U30="","",U30*N(Produits!$E$29))</f>
        <v/>
      </c>
    </row>
    <row r="31">
      <c r="A31" s="33">
        <f>IF(Produits!$A$30="","",Produits!$A$30)</f>
        <v/>
      </c>
      <c r="B31" s="34">
        <f>IF(Produits!$A$30="","",Produits!$C$30)</f>
        <v/>
      </c>
      <c r="C31" s="34">
        <f>IF(Produits!$A$30="","",Produits!$D$30)</f>
        <v/>
      </c>
      <c r="D31" s="32" t="n"/>
      <c r="E31" s="29" t="n"/>
      <c r="F31" s="29" t="n"/>
      <c r="G31" s="29" t="n"/>
      <c r="H31" s="32" t="n"/>
      <c r="I31" s="29" t="n"/>
      <c r="J31" s="29" t="n"/>
      <c r="K31" s="29" t="n"/>
      <c r="L31" s="32" t="n"/>
      <c r="M31" s="29" t="n"/>
      <c r="N31" s="29" t="n"/>
      <c r="O31" s="29" t="n"/>
      <c r="P31" s="32" t="n"/>
      <c r="Q31" s="29" t="n"/>
      <c r="R31" s="29" t="n"/>
      <c r="S31" s="29" t="n"/>
      <c r="T31" s="22">
        <f>IF(COUNT(F31,J31,N31,R31)=0,"",SUM(F31,J31,N31,R31))</f>
        <v/>
      </c>
      <c r="U31" s="22">
        <f>IF(COUNT(G31,K31,O31,S31)=0,"",SUM(G31,K31,O31,S31))</f>
        <v/>
      </c>
      <c r="V31" s="22">
        <f>IF(OR(T31="",U31=""),"",U31-T31)</f>
        <v/>
      </c>
      <c r="W31" s="22">
        <f>IF(Q31&lt;&gt;"",Q31,IF(M31&lt;&gt;"",M31,IF(I31&lt;&gt;"",I31,IF(E31&lt;&gt;"",E31,""))))</f>
        <v/>
      </c>
      <c r="X31" s="18">
        <f>IF(U31="","",U31*N(Produits!$E$30))</f>
        <v/>
      </c>
    </row>
    <row r="32">
      <c r="A32" s="33">
        <f>IF(Produits!$A$31="","",Produits!$A$31)</f>
        <v/>
      </c>
      <c r="B32" s="34">
        <f>IF(Produits!$A$31="","",Produits!$C$31)</f>
        <v/>
      </c>
      <c r="C32" s="34">
        <f>IF(Produits!$A$31="","",Produits!$D$31)</f>
        <v/>
      </c>
      <c r="D32" s="32" t="n"/>
      <c r="E32" s="29" t="n"/>
      <c r="F32" s="29" t="n"/>
      <c r="G32" s="29" t="n"/>
      <c r="H32" s="32" t="n"/>
      <c r="I32" s="29" t="n"/>
      <c r="J32" s="29" t="n"/>
      <c r="K32" s="29" t="n"/>
      <c r="L32" s="32" t="n"/>
      <c r="M32" s="29" t="n"/>
      <c r="N32" s="29" t="n"/>
      <c r="O32" s="29" t="n"/>
      <c r="P32" s="32" t="n"/>
      <c r="Q32" s="29" t="n"/>
      <c r="R32" s="29" t="n"/>
      <c r="S32" s="29" t="n"/>
      <c r="T32" s="22">
        <f>IF(COUNT(F32,J32,N32,R32)=0,"",SUM(F32,J32,N32,R32))</f>
        <v/>
      </c>
      <c r="U32" s="22">
        <f>IF(COUNT(G32,K32,O32,S32)=0,"",SUM(G32,K32,O32,S32))</f>
        <v/>
      </c>
      <c r="V32" s="22">
        <f>IF(OR(T32="",U32=""),"",U32-T32)</f>
        <v/>
      </c>
      <c r="W32" s="22">
        <f>IF(Q32&lt;&gt;"",Q32,IF(M32&lt;&gt;"",M32,IF(I32&lt;&gt;"",I32,IF(E32&lt;&gt;"",E32,""))))</f>
        <v/>
      </c>
      <c r="X32" s="18">
        <f>IF(U32="","",U32*N(Produits!$E$31))</f>
        <v/>
      </c>
    </row>
    <row r="33">
      <c r="A33" s="33">
        <f>IF(Produits!$A$32="","",Produits!$A$32)</f>
        <v/>
      </c>
      <c r="B33" s="34">
        <f>IF(Produits!$A$32="","",Produits!$C$32)</f>
        <v/>
      </c>
      <c r="C33" s="34">
        <f>IF(Produits!$A$32="","",Produits!$D$32)</f>
        <v/>
      </c>
      <c r="D33" s="32" t="n"/>
      <c r="E33" s="29" t="n"/>
      <c r="F33" s="29" t="n"/>
      <c r="G33" s="29" t="n"/>
      <c r="H33" s="32" t="n"/>
      <c r="I33" s="29" t="n"/>
      <c r="J33" s="29" t="n"/>
      <c r="K33" s="29" t="n"/>
      <c r="L33" s="32" t="n"/>
      <c r="M33" s="29" t="n"/>
      <c r="N33" s="29" t="n"/>
      <c r="O33" s="29" t="n"/>
      <c r="P33" s="32" t="n"/>
      <c r="Q33" s="29" t="n"/>
      <c r="R33" s="29" t="n"/>
      <c r="S33" s="29" t="n"/>
      <c r="T33" s="22">
        <f>IF(COUNT(F33,J33,N33,R33)=0,"",SUM(F33,J33,N33,R33))</f>
        <v/>
      </c>
      <c r="U33" s="22">
        <f>IF(COUNT(G33,K33,O33,S33)=0,"",SUM(G33,K33,O33,S33))</f>
        <v/>
      </c>
      <c r="V33" s="22">
        <f>IF(OR(T33="",U33=""),"",U33-T33)</f>
        <v/>
      </c>
      <c r="W33" s="22">
        <f>IF(Q33&lt;&gt;"",Q33,IF(M33&lt;&gt;"",M33,IF(I33&lt;&gt;"",I33,IF(E33&lt;&gt;"",E33,""))))</f>
        <v/>
      </c>
      <c r="X33" s="18">
        <f>IF(U33="","",U33*N(Produits!$E$32))</f>
        <v/>
      </c>
    </row>
    <row r="34">
      <c r="A34" s="33">
        <f>IF(Produits!$A$33="","",Produits!$A$33)</f>
        <v/>
      </c>
      <c r="B34" s="34">
        <f>IF(Produits!$A$33="","",Produits!$C$33)</f>
        <v/>
      </c>
      <c r="C34" s="34">
        <f>IF(Produits!$A$33="","",Produits!$D$33)</f>
        <v/>
      </c>
      <c r="D34" s="32" t="n"/>
      <c r="E34" s="29" t="n"/>
      <c r="F34" s="29" t="n"/>
      <c r="G34" s="29" t="n"/>
      <c r="H34" s="32" t="n"/>
      <c r="I34" s="29" t="n"/>
      <c r="J34" s="29" t="n"/>
      <c r="K34" s="29" t="n"/>
      <c r="L34" s="32" t="n"/>
      <c r="M34" s="29" t="n"/>
      <c r="N34" s="29" t="n"/>
      <c r="O34" s="29" t="n"/>
      <c r="P34" s="32" t="n"/>
      <c r="Q34" s="29" t="n"/>
      <c r="R34" s="29" t="n"/>
      <c r="S34" s="29" t="n"/>
      <c r="T34" s="22">
        <f>IF(COUNT(F34,J34,N34,R34)=0,"",SUM(F34,J34,N34,R34))</f>
        <v/>
      </c>
      <c r="U34" s="22">
        <f>IF(COUNT(G34,K34,O34,S34)=0,"",SUM(G34,K34,O34,S34))</f>
        <v/>
      </c>
      <c r="V34" s="22">
        <f>IF(OR(T34="",U34=""),"",U34-T34)</f>
        <v/>
      </c>
      <c r="W34" s="22">
        <f>IF(Q34&lt;&gt;"",Q34,IF(M34&lt;&gt;"",M34,IF(I34&lt;&gt;"",I34,IF(E34&lt;&gt;"",E34,""))))</f>
        <v/>
      </c>
      <c r="X34" s="18">
        <f>IF(U34="","",U34*N(Produits!$E$33))</f>
        <v/>
      </c>
    </row>
    <row r="35">
      <c r="A35" s="33">
        <f>IF(Produits!$A$34="","",Produits!$A$34)</f>
        <v/>
      </c>
      <c r="B35" s="34">
        <f>IF(Produits!$A$34="","",Produits!$C$34)</f>
        <v/>
      </c>
      <c r="C35" s="34">
        <f>IF(Produits!$A$34="","",Produits!$D$34)</f>
        <v/>
      </c>
      <c r="D35" s="32" t="n"/>
      <c r="E35" s="29" t="n"/>
      <c r="F35" s="29" t="n"/>
      <c r="G35" s="29" t="n"/>
      <c r="H35" s="32" t="n"/>
      <c r="I35" s="29" t="n"/>
      <c r="J35" s="29" t="n"/>
      <c r="K35" s="29" t="n"/>
      <c r="L35" s="32" t="n"/>
      <c r="M35" s="29" t="n"/>
      <c r="N35" s="29" t="n"/>
      <c r="O35" s="29" t="n"/>
      <c r="P35" s="32" t="n"/>
      <c r="Q35" s="29" t="n"/>
      <c r="R35" s="29" t="n"/>
      <c r="S35" s="29" t="n"/>
      <c r="T35" s="22">
        <f>IF(COUNT(F35,J35,N35,R35)=0,"",SUM(F35,J35,N35,R35))</f>
        <v/>
      </c>
      <c r="U35" s="22">
        <f>IF(COUNT(G35,K35,O35,S35)=0,"",SUM(G35,K35,O35,S35))</f>
        <v/>
      </c>
      <c r="V35" s="22">
        <f>IF(OR(T35="",U35=""),"",U35-T35)</f>
        <v/>
      </c>
      <c r="W35" s="22">
        <f>IF(Q35&lt;&gt;"",Q35,IF(M35&lt;&gt;"",M35,IF(I35&lt;&gt;"",I35,IF(E35&lt;&gt;"",E35,""))))</f>
        <v/>
      </c>
      <c r="X35" s="18">
        <f>IF(U35="","",U35*N(Produits!$E$34))</f>
        <v/>
      </c>
    </row>
    <row r="36">
      <c r="A36" s="33">
        <f>IF(Produits!$A$35="","",Produits!$A$35)</f>
        <v/>
      </c>
      <c r="B36" s="34">
        <f>IF(Produits!$A$35="","",Produits!$C$35)</f>
        <v/>
      </c>
      <c r="C36" s="34">
        <f>IF(Produits!$A$35="","",Produits!$D$35)</f>
        <v/>
      </c>
      <c r="D36" s="32" t="n"/>
      <c r="E36" s="29" t="n"/>
      <c r="F36" s="29" t="n"/>
      <c r="G36" s="29" t="n"/>
      <c r="H36" s="32" t="n"/>
      <c r="I36" s="29" t="n"/>
      <c r="J36" s="29" t="n"/>
      <c r="K36" s="29" t="n"/>
      <c r="L36" s="32" t="n"/>
      <c r="M36" s="29" t="n"/>
      <c r="N36" s="29" t="n"/>
      <c r="O36" s="29" t="n"/>
      <c r="P36" s="32" t="n"/>
      <c r="Q36" s="29" t="n"/>
      <c r="R36" s="29" t="n"/>
      <c r="S36" s="29" t="n"/>
      <c r="T36" s="22">
        <f>IF(COUNT(F36,J36,N36,R36)=0,"",SUM(F36,J36,N36,R36))</f>
        <v/>
      </c>
      <c r="U36" s="22">
        <f>IF(COUNT(G36,K36,O36,S36)=0,"",SUM(G36,K36,O36,S36))</f>
        <v/>
      </c>
      <c r="V36" s="22">
        <f>IF(OR(T36="",U36=""),"",U36-T36)</f>
        <v/>
      </c>
      <c r="W36" s="22">
        <f>IF(Q36&lt;&gt;"",Q36,IF(M36&lt;&gt;"",M36,IF(I36&lt;&gt;"",I36,IF(E36&lt;&gt;"",E36,""))))</f>
        <v/>
      </c>
      <c r="X36" s="18">
        <f>IF(U36="","",U36*N(Produits!$E$35))</f>
        <v/>
      </c>
    </row>
    <row r="37">
      <c r="A37" s="33">
        <f>IF(Produits!$A$36="","",Produits!$A$36)</f>
        <v/>
      </c>
      <c r="B37" s="34">
        <f>IF(Produits!$A$36="","",Produits!$C$36)</f>
        <v/>
      </c>
      <c r="C37" s="34">
        <f>IF(Produits!$A$36="","",Produits!$D$36)</f>
        <v/>
      </c>
      <c r="D37" s="32" t="n"/>
      <c r="E37" s="29" t="n"/>
      <c r="F37" s="29" t="n"/>
      <c r="G37" s="29" t="n"/>
      <c r="H37" s="32" t="n"/>
      <c r="I37" s="29" t="n"/>
      <c r="J37" s="29" t="n"/>
      <c r="K37" s="29" t="n"/>
      <c r="L37" s="32" t="n"/>
      <c r="M37" s="29" t="n"/>
      <c r="N37" s="29" t="n"/>
      <c r="O37" s="29" t="n"/>
      <c r="P37" s="32" t="n"/>
      <c r="Q37" s="29" t="n"/>
      <c r="R37" s="29" t="n"/>
      <c r="S37" s="29" t="n"/>
      <c r="T37" s="22">
        <f>IF(COUNT(F37,J37,N37,R37)=0,"",SUM(F37,J37,N37,R37))</f>
        <v/>
      </c>
      <c r="U37" s="22">
        <f>IF(COUNT(G37,K37,O37,S37)=0,"",SUM(G37,K37,O37,S37))</f>
        <v/>
      </c>
      <c r="V37" s="22">
        <f>IF(OR(T37="",U37=""),"",U37-T37)</f>
        <v/>
      </c>
      <c r="W37" s="22">
        <f>IF(Q37&lt;&gt;"",Q37,IF(M37&lt;&gt;"",M37,IF(I37&lt;&gt;"",I37,IF(E37&lt;&gt;"",E37,""))))</f>
        <v/>
      </c>
      <c r="X37" s="18">
        <f>IF(U37="","",U37*N(Produits!$E$36))</f>
        <v/>
      </c>
    </row>
    <row r="38" ht="20" customHeight="1">
      <c r="A38" s="23" t="inlineStr">
        <is>
          <t>CHAMBRE FROIDE NÉGATIVE</t>
        </is>
      </c>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row>
    <row r="39">
      <c r="A39" s="33">
        <f>IF(Produits!$A$38="","",Produits!$A$38)</f>
        <v/>
      </c>
      <c r="B39" s="34">
        <f>IF(Produits!$A$38="","",Produits!$C$38)</f>
        <v/>
      </c>
      <c r="C39" s="34">
        <f>IF(Produits!$A$38="","",Produits!$D$38)</f>
        <v/>
      </c>
      <c r="D39" s="32" t="n"/>
      <c r="E39" s="29" t="n"/>
      <c r="F39" s="29" t="n"/>
      <c r="G39" s="29" t="n"/>
      <c r="H39" s="32" t="n"/>
      <c r="I39" s="29" t="n"/>
      <c r="J39" s="29" t="n"/>
      <c r="K39" s="29" t="n"/>
      <c r="L39" s="32" t="n"/>
      <c r="M39" s="29" t="n"/>
      <c r="N39" s="29" t="n"/>
      <c r="O39" s="29" t="n"/>
      <c r="P39" s="32" t="n"/>
      <c r="Q39" s="29" t="n"/>
      <c r="R39" s="29" t="n"/>
      <c r="S39" s="29" t="n"/>
      <c r="T39" s="22">
        <f>IF(COUNT(F39,J39,N39,R39)=0,"",SUM(F39,J39,N39,R39))</f>
        <v/>
      </c>
      <c r="U39" s="22">
        <f>IF(COUNT(G39,K39,O39,S39)=0,"",SUM(G39,K39,O39,S39))</f>
        <v/>
      </c>
      <c r="V39" s="22">
        <f>IF(OR(T39="",U39=""),"",U39-T39)</f>
        <v/>
      </c>
      <c r="W39" s="22">
        <f>IF(Q39&lt;&gt;"",Q39,IF(M39&lt;&gt;"",M39,IF(I39&lt;&gt;"",I39,IF(E39&lt;&gt;"",E39,""))))</f>
        <v/>
      </c>
      <c r="X39" s="18">
        <f>IF(U39="","",U39*N(Produits!$E$38))</f>
        <v/>
      </c>
    </row>
    <row r="40">
      <c r="A40" s="33">
        <f>IF(Produits!$A$39="","",Produits!$A$39)</f>
        <v/>
      </c>
      <c r="B40" s="34">
        <f>IF(Produits!$A$39="","",Produits!$C$39)</f>
        <v/>
      </c>
      <c r="C40" s="34">
        <f>IF(Produits!$A$39="","",Produits!$D$39)</f>
        <v/>
      </c>
      <c r="D40" s="32" t="n"/>
      <c r="E40" s="29" t="n"/>
      <c r="F40" s="29" t="n"/>
      <c r="G40" s="29" t="n"/>
      <c r="H40" s="32" t="n"/>
      <c r="I40" s="29" t="n"/>
      <c r="J40" s="29" t="n"/>
      <c r="K40" s="29" t="n"/>
      <c r="L40" s="32" t="n"/>
      <c r="M40" s="29" t="n"/>
      <c r="N40" s="29" t="n"/>
      <c r="O40" s="29" t="n"/>
      <c r="P40" s="32" t="n"/>
      <c r="Q40" s="29" t="n"/>
      <c r="R40" s="29" t="n"/>
      <c r="S40" s="29" t="n"/>
      <c r="T40" s="22">
        <f>IF(COUNT(F40,J40,N40,R40)=0,"",SUM(F40,J40,N40,R40))</f>
        <v/>
      </c>
      <c r="U40" s="22">
        <f>IF(COUNT(G40,K40,O40,S40)=0,"",SUM(G40,K40,O40,S40))</f>
        <v/>
      </c>
      <c r="V40" s="22">
        <f>IF(OR(T40="",U40=""),"",U40-T40)</f>
        <v/>
      </c>
      <c r="W40" s="22">
        <f>IF(Q40&lt;&gt;"",Q40,IF(M40&lt;&gt;"",M40,IF(I40&lt;&gt;"",I40,IF(E40&lt;&gt;"",E40,""))))</f>
        <v/>
      </c>
      <c r="X40" s="18">
        <f>IF(U40="","",U40*N(Produits!$E$39))</f>
        <v/>
      </c>
    </row>
    <row r="41">
      <c r="A41" s="33">
        <f>IF(Produits!$A$40="","",Produits!$A$40)</f>
        <v/>
      </c>
      <c r="B41" s="34">
        <f>IF(Produits!$A$40="","",Produits!$C$40)</f>
        <v/>
      </c>
      <c r="C41" s="34">
        <f>IF(Produits!$A$40="","",Produits!$D$40)</f>
        <v/>
      </c>
      <c r="D41" s="32" t="n"/>
      <c r="E41" s="29" t="n"/>
      <c r="F41" s="29" t="n"/>
      <c r="G41" s="29" t="n"/>
      <c r="H41" s="32" t="n"/>
      <c r="I41" s="29" t="n"/>
      <c r="J41" s="29" t="n"/>
      <c r="K41" s="29" t="n"/>
      <c r="L41" s="32" t="n"/>
      <c r="M41" s="29" t="n"/>
      <c r="N41" s="29" t="n"/>
      <c r="O41" s="29" t="n"/>
      <c r="P41" s="32" t="n"/>
      <c r="Q41" s="29" t="n"/>
      <c r="R41" s="29" t="n"/>
      <c r="S41" s="29" t="n"/>
      <c r="T41" s="22">
        <f>IF(COUNT(F41,J41,N41,R41)=0,"",SUM(F41,J41,N41,R41))</f>
        <v/>
      </c>
      <c r="U41" s="22">
        <f>IF(COUNT(G41,K41,O41,S41)=0,"",SUM(G41,K41,O41,S41))</f>
        <v/>
      </c>
      <c r="V41" s="22">
        <f>IF(OR(T41="",U41=""),"",U41-T41)</f>
        <v/>
      </c>
      <c r="W41" s="22">
        <f>IF(Q41&lt;&gt;"",Q41,IF(M41&lt;&gt;"",M41,IF(I41&lt;&gt;"",I41,IF(E41&lt;&gt;"",E41,""))))</f>
        <v/>
      </c>
      <c r="X41" s="18">
        <f>IF(U41="","",U41*N(Produits!$E$40))</f>
        <v/>
      </c>
    </row>
    <row r="42">
      <c r="A42" s="33">
        <f>IF(Produits!$A$41="","",Produits!$A$41)</f>
        <v/>
      </c>
      <c r="B42" s="34">
        <f>IF(Produits!$A$41="","",Produits!$C$41)</f>
        <v/>
      </c>
      <c r="C42" s="34">
        <f>IF(Produits!$A$41="","",Produits!$D$41)</f>
        <v/>
      </c>
      <c r="D42" s="32" t="n"/>
      <c r="E42" s="29" t="n"/>
      <c r="F42" s="29" t="n"/>
      <c r="G42" s="29" t="n"/>
      <c r="H42" s="32" t="n"/>
      <c r="I42" s="29" t="n"/>
      <c r="J42" s="29" t="n"/>
      <c r="K42" s="29" t="n"/>
      <c r="L42" s="32" t="n"/>
      <c r="M42" s="29" t="n"/>
      <c r="N42" s="29" t="n"/>
      <c r="O42" s="29" t="n"/>
      <c r="P42" s="32" t="n"/>
      <c r="Q42" s="29" t="n"/>
      <c r="R42" s="29" t="n"/>
      <c r="S42" s="29" t="n"/>
      <c r="T42" s="22">
        <f>IF(COUNT(F42,J42,N42,R42)=0,"",SUM(F42,J42,N42,R42))</f>
        <v/>
      </c>
      <c r="U42" s="22">
        <f>IF(COUNT(G42,K42,O42,S42)=0,"",SUM(G42,K42,O42,S42))</f>
        <v/>
      </c>
      <c r="V42" s="22">
        <f>IF(OR(T42="",U42=""),"",U42-T42)</f>
        <v/>
      </c>
      <c r="W42" s="22">
        <f>IF(Q42&lt;&gt;"",Q42,IF(M42&lt;&gt;"",M42,IF(I42&lt;&gt;"",I42,IF(E42&lt;&gt;"",E42,""))))</f>
        <v/>
      </c>
      <c r="X42" s="18">
        <f>IF(U42="","",U42*N(Produits!$E$41))</f>
        <v/>
      </c>
    </row>
    <row r="43">
      <c r="A43" s="33">
        <f>IF(Produits!$A$42="","",Produits!$A$42)</f>
        <v/>
      </c>
      <c r="B43" s="34">
        <f>IF(Produits!$A$42="","",Produits!$C$42)</f>
        <v/>
      </c>
      <c r="C43" s="34">
        <f>IF(Produits!$A$42="","",Produits!$D$42)</f>
        <v/>
      </c>
      <c r="D43" s="32" t="n"/>
      <c r="E43" s="29" t="n"/>
      <c r="F43" s="29" t="n"/>
      <c r="G43" s="29" t="n"/>
      <c r="H43" s="32" t="n"/>
      <c r="I43" s="29" t="n"/>
      <c r="J43" s="29" t="n"/>
      <c r="K43" s="29" t="n"/>
      <c r="L43" s="32" t="n"/>
      <c r="M43" s="29" t="n"/>
      <c r="N43" s="29" t="n"/>
      <c r="O43" s="29" t="n"/>
      <c r="P43" s="32" t="n"/>
      <c r="Q43" s="29" t="n"/>
      <c r="R43" s="29" t="n"/>
      <c r="S43" s="29" t="n"/>
      <c r="T43" s="22">
        <f>IF(COUNT(F43,J43,N43,R43)=0,"",SUM(F43,J43,N43,R43))</f>
        <v/>
      </c>
      <c r="U43" s="22">
        <f>IF(COUNT(G43,K43,O43,S43)=0,"",SUM(G43,K43,O43,S43))</f>
        <v/>
      </c>
      <c r="V43" s="22">
        <f>IF(OR(T43="",U43=""),"",U43-T43)</f>
        <v/>
      </c>
      <c r="W43" s="22">
        <f>IF(Q43&lt;&gt;"",Q43,IF(M43&lt;&gt;"",M43,IF(I43&lt;&gt;"",I43,IF(E43&lt;&gt;"",E43,""))))</f>
        <v/>
      </c>
      <c r="X43" s="18">
        <f>IF(U43="","",U43*N(Produits!$E$42))</f>
        <v/>
      </c>
    </row>
    <row r="44">
      <c r="A44" s="33">
        <f>IF(Produits!$A$43="","",Produits!$A$43)</f>
        <v/>
      </c>
      <c r="B44" s="34">
        <f>IF(Produits!$A$43="","",Produits!$C$43)</f>
        <v/>
      </c>
      <c r="C44" s="34">
        <f>IF(Produits!$A$43="","",Produits!$D$43)</f>
        <v/>
      </c>
      <c r="D44" s="32" t="n"/>
      <c r="E44" s="29" t="n"/>
      <c r="F44" s="29" t="n"/>
      <c r="G44" s="29" t="n"/>
      <c r="H44" s="32" t="n"/>
      <c r="I44" s="29" t="n"/>
      <c r="J44" s="29" t="n"/>
      <c r="K44" s="29" t="n"/>
      <c r="L44" s="32" t="n"/>
      <c r="M44" s="29" t="n"/>
      <c r="N44" s="29" t="n"/>
      <c r="O44" s="29" t="n"/>
      <c r="P44" s="32" t="n"/>
      <c r="Q44" s="29" t="n"/>
      <c r="R44" s="29" t="n"/>
      <c r="S44" s="29" t="n"/>
      <c r="T44" s="22">
        <f>IF(COUNT(F44,J44,N44,R44)=0,"",SUM(F44,J44,N44,R44))</f>
        <v/>
      </c>
      <c r="U44" s="22">
        <f>IF(COUNT(G44,K44,O44,S44)=0,"",SUM(G44,K44,O44,S44))</f>
        <v/>
      </c>
      <c r="V44" s="22">
        <f>IF(OR(T44="",U44=""),"",U44-T44)</f>
        <v/>
      </c>
      <c r="W44" s="22">
        <f>IF(Q44&lt;&gt;"",Q44,IF(M44&lt;&gt;"",M44,IF(I44&lt;&gt;"",I44,IF(E44&lt;&gt;"",E44,""))))</f>
        <v/>
      </c>
      <c r="X44" s="18">
        <f>IF(U44="","",U44*N(Produits!$E$43))</f>
        <v/>
      </c>
    </row>
    <row r="45">
      <c r="A45" s="33">
        <f>IF(Produits!$A$44="","",Produits!$A$44)</f>
        <v/>
      </c>
      <c r="B45" s="34">
        <f>IF(Produits!$A$44="","",Produits!$C$44)</f>
        <v/>
      </c>
      <c r="C45" s="34">
        <f>IF(Produits!$A$44="","",Produits!$D$44)</f>
        <v/>
      </c>
      <c r="D45" s="32" t="n"/>
      <c r="E45" s="29" t="n"/>
      <c r="F45" s="29" t="n"/>
      <c r="G45" s="29" t="n"/>
      <c r="H45" s="32" t="n"/>
      <c r="I45" s="29" t="n"/>
      <c r="J45" s="29" t="n"/>
      <c r="K45" s="29" t="n"/>
      <c r="L45" s="32" t="n"/>
      <c r="M45" s="29" t="n"/>
      <c r="N45" s="29" t="n"/>
      <c r="O45" s="29" t="n"/>
      <c r="P45" s="32" t="n"/>
      <c r="Q45" s="29" t="n"/>
      <c r="R45" s="29" t="n"/>
      <c r="S45" s="29" t="n"/>
      <c r="T45" s="22">
        <f>IF(COUNT(F45,J45,N45,R45)=0,"",SUM(F45,J45,N45,R45))</f>
        <v/>
      </c>
      <c r="U45" s="22">
        <f>IF(COUNT(G45,K45,O45,S45)=0,"",SUM(G45,K45,O45,S45))</f>
        <v/>
      </c>
      <c r="V45" s="22">
        <f>IF(OR(T45="",U45=""),"",U45-T45)</f>
        <v/>
      </c>
      <c r="W45" s="22">
        <f>IF(Q45&lt;&gt;"",Q45,IF(M45&lt;&gt;"",M45,IF(I45&lt;&gt;"",I45,IF(E45&lt;&gt;"",E45,""))))</f>
        <v/>
      </c>
      <c r="X45" s="18">
        <f>IF(U45="","",U45*N(Produits!$E$44))</f>
        <v/>
      </c>
    </row>
    <row r="46">
      <c r="A46" s="33">
        <f>IF(Produits!$A$45="","",Produits!$A$45)</f>
        <v/>
      </c>
      <c r="B46" s="34">
        <f>IF(Produits!$A$45="","",Produits!$C$45)</f>
        <v/>
      </c>
      <c r="C46" s="34">
        <f>IF(Produits!$A$45="","",Produits!$D$45)</f>
        <v/>
      </c>
      <c r="D46" s="32" t="n"/>
      <c r="E46" s="29" t="n"/>
      <c r="F46" s="29" t="n"/>
      <c r="G46" s="29" t="n"/>
      <c r="H46" s="32" t="n"/>
      <c r="I46" s="29" t="n"/>
      <c r="J46" s="29" t="n"/>
      <c r="K46" s="29" t="n"/>
      <c r="L46" s="32" t="n"/>
      <c r="M46" s="29" t="n"/>
      <c r="N46" s="29" t="n"/>
      <c r="O46" s="29" t="n"/>
      <c r="P46" s="32" t="n"/>
      <c r="Q46" s="29" t="n"/>
      <c r="R46" s="29" t="n"/>
      <c r="S46" s="29" t="n"/>
      <c r="T46" s="22">
        <f>IF(COUNT(F46,J46,N46,R46)=0,"",SUM(F46,J46,N46,R46))</f>
        <v/>
      </c>
      <c r="U46" s="22">
        <f>IF(COUNT(G46,K46,O46,S46)=0,"",SUM(G46,K46,O46,S46))</f>
        <v/>
      </c>
      <c r="V46" s="22">
        <f>IF(OR(T46="",U46=""),"",U46-T46)</f>
        <v/>
      </c>
      <c r="W46" s="22">
        <f>IF(Q46&lt;&gt;"",Q46,IF(M46&lt;&gt;"",M46,IF(I46&lt;&gt;"",I46,IF(E46&lt;&gt;"",E46,""))))</f>
        <v/>
      </c>
      <c r="X46" s="18">
        <f>IF(U46="","",U46*N(Produits!$E$45))</f>
        <v/>
      </c>
    </row>
    <row r="47">
      <c r="A47" s="33">
        <f>IF(Produits!$A$46="","",Produits!$A$46)</f>
        <v/>
      </c>
      <c r="B47" s="34">
        <f>IF(Produits!$A$46="","",Produits!$C$46)</f>
        <v/>
      </c>
      <c r="C47" s="34">
        <f>IF(Produits!$A$46="","",Produits!$D$46)</f>
        <v/>
      </c>
      <c r="D47" s="32" t="n"/>
      <c r="E47" s="29" t="n"/>
      <c r="F47" s="29" t="n"/>
      <c r="G47" s="29" t="n"/>
      <c r="H47" s="32" t="n"/>
      <c r="I47" s="29" t="n"/>
      <c r="J47" s="29" t="n"/>
      <c r="K47" s="29" t="n"/>
      <c r="L47" s="32" t="n"/>
      <c r="M47" s="29" t="n"/>
      <c r="N47" s="29" t="n"/>
      <c r="O47" s="29" t="n"/>
      <c r="P47" s="32" t="n"/>
      <c r="Q47" s="29" t="n"/>
      <c r="R47" s="29" t="n"/>
      <c r="S47" s="29" t="n"/>
      <c r="T47" s="22">
        <f>IF(COUNT(F47,J47,N47,R47)=0,"",SUM(F47,J47,N47,R47))</f>
        <v/>
      </c>
      <c r="U47" s="22">
        <f>IF(COUNT(G47,K47,O47,S47)=0,"",SUM(G47,K47,O47,S47))</f>
        <v/>
      </c>
      <c r="V47" s="22">
        <f>IF(OR(T47="",U47=""),"",U47-T47)</f>
        <v/>
      </c>
      <c r="W47" s="22">
        <f>IF(Q47&lt;&gt;"",Q47,IF(M47&lt;&gt;"",M47,IF(I47&lt;&gt;"",I47,IF(E47&lt;&gt;"",E47,""))))</f>
        <v/>
      </c>
      <c r="X47" s="18">
        <f>IF(U47="","",U47*N(Produits!$E$46))</f>
        <v/>
      </c>
    </row>
    <row r="48">
      <c r="A48" s="33">
        <f>IF(Produits!$A$47="","",Produits!$A$47)</f>
        <v/>
      </c>
      <c r="B48" s="34">
        <f>IF(Produits!$A$47="","",Produits!$C$47)</f>
        <v/>
      </c>
      <c r="C48" s="34">
        <f>IF(Produits!$A$47="","",Produits!$D$47)</f>
        <v/>
      </c>
      <c r="D48" s="32" t="n"/>
      <c r="E48" s="29" t="n"/>
      <c r="F48" s="29" t="n"/>
      <c r="G48" s="29" t="n"/>
      <c r="H48" s="32" t="n"/>
      <c r="I48" s="29" t="n"/>
      <c r="J48" s="29" t="n"/>
      <c r="K48" s="29" t="n"/>
      <c r="L48" s="32" t="n"/>
      <c r="M48" s="29" t="n"/>
      <c r="N48" s="29" t="n"/>
      <c r="O48" s="29" t="n"/>
      <c r="P48" s="32" t="n"/>
      <c r="Q48" s="29" t="n"/>
      <c r="R48" s="29" t="n"/>
      <c r="S48" s="29" t="n"/>
      <c r="T48" s="22">
        <f>IF(COUNT(F48,J48,N48,R48)=0,"",SUM(F48,J48,N48,R48))</f>
        <v/>
      </c>
      <c r="U48" s="22">
        <f>IF(COUNT(G48,K48,O48,S48)=0,"",SUM(G48,K48,O48,S48))</f>
        <v/>
      </c>
      <c r="V48" s="22">
        <f>IF(OR(T48="",U48=""),"",U48-T48)</f>
        <v/>
      </c>
      <c r="W48" s="22">
        <f>IF(Q48&lt;&gt;"",Q48,IF(M48&lt;&gt;"",M48,IF(I48&lt;&gt;"",I48,IF(E48&lt;&gt;"",E48,""))))</f>
        <v/>
      </c>
      <c r="X48" s="18">
        <f>IF(U48="","",U48*N(Produits!$E$47))</f>
        <v/>
      </c>
    </row>
    <row r="49">
      <c r="A49" s="33">
        <f>IF(Produits!$A$48="","",Produits!$A$48)</f>
        <v/>
      </c>
      <c r="B49" s="34">
        <f>IF(Produits!$A$48="","",Produits!$C$48)</f>
        <v/>
      </c>
      <c r="C49" s="34">
        <f>IF(Produits!$A$48="","",Produits!$D$48)</f>
        <v/>
      </c>
      <c r="D49" s="32" t="n"/>
      <c r="E49" s="29" t="n"/>
      <c r="F49" s="29" t="n"/>
      <c r="G49" s="29" t="n"/>
      <c r="H49" s="32" t="n"/>
      <c r="I49" s="29" t="n"/>
      <c r="J49" s="29" t="n"/>
      <c r="K49" s="29" t="n"/>
      <c r="L49" s="32" t="n"/>
      <c r="M49" s="29" t="n"/>
      <c r="N49" s="29" t="n"/>
      <c r="O49" s="29" t="n"/>
      <c r="P49" s="32" t="n"/>
      <c r="Q49" s="29" t="n"/>
      <c r="R49" s="29" t="n"/>
      <c r="S49" s="29" t="n"/>
      <c r="T49" s="22">
        <f>IF(COUNT(F49,J49,N49,R49)=0,"",SUM(F49,J49,N49,R49))</f>
        <v/>
      </c>
      <c r="U49" s="22">
        <f>IF(COUNT(G49,K49,O49,S49)=0,"",SUM(G49,K49,O49,S49))</f>
        <v/>
      </c>
      <c r="V49" s="22">
        <f>IF(OR(T49="",U49=""),"",U49-T49)</f>
        <v/>
      </c>
      <c r="W49" s="22">
        <f>IF(Q49&lt;&gt;"",Q49,IF(M49&lt;&gt;"",M49,IF(I49&lt;&gt;"",I49,IF(E49&lt;&gt;"",E49,""))))</f>
        <v/>
      </c>
      <c r="X49" s="18">
        <f>IF(U49="","",U49*N(Produits!$E$48))</f>
        <v/>
      </c>
    </row>
    <row r="50">
      <c r="A50" s="33">
        <f>IF(Produits!$A$49="","",Produits!$A$49)</f>
        <v/>
      </c>
      <c r="B50" s="34">
        <f>IF(Produits!$A$49="","",Produits!$C$49)</f>
        <v/>
      </c>
      <c r="C50" s="34">
        <f>IF(Produits!$A$49="","",Produits!$D$49)</f>
        <v/>
      </c>
      <c r="D50" s="32" t="n"/>
      <c r="E50" s="29" t="n"/>
      <c r="F50" s="29" t="n"/>
      <c r="G50" s="29" t="n"/>
      <c r="H50" s="32" t="n"/>
      <c r="I50" s="29" t="n"/>
      <c r="J50" s="29" t="n"/>
      <c r="K50" s="29" t="n"/>
      <c r="L50" s="32" t="n"/>
      <c r="M50" s="29" t="n"/>
      <c r="N50" s="29" t="n"/>
      <c r="O50" s="29" t="n"/>
      <c r="P50" s="32" t="n"/>
      <c r="Q50" s="29" t="n"/>
      <c r="R50" s="29" t="n"/>
      <c r="S50" s="29" t="n"/>
      <c r="T50" s="22">
        <f>IF(COUNT(F50,J50,N50,R50)=0,"",SUM(F50,J50,N50,R50))</f>
        <v/>
      </c>
      <c r="U50" s="22">
        <f>IF(COUNT(G50,K50,O50,S50)=0,"",SUM(G50,K50,O50,S50))</f>
        <v/>
      </c>
      <c r="V50" s="22">
        <f>IF(OR(T50="",U50=""),"",U50-T50)</f>
        <v/>
      </c>
      <c r="W50" s="22">
        <f>IF(Q50&lt;&gt;"",Q50,IF(M50&lt;&gt;"",M50,IF(I50&lt;&gt;"",I50,IF(E50&lt;&gt;"",E50,""))))</f>
        <v/>
      </c>
      <c r="X50" s="18">
        <f>IF(U50="","",U50*N(Produits!$E$49))</f>
        <v/>
      </c>
    </row>
    <row r="51">
      <c r="A51" s="33">
        <f>IF(Produits!$A$50="","",Produits!$A$50)</f>
        <v/>
      </c>
      <c r="B51" s="34">
        <f>IF(Produits!$A$50="","",Produits!$C$50)</f>
        <v/>
      </c>
      <c r="C51" s="34">
        <f>IF(Produits!$A$50="","",Produits!$D$50)</f>
        <v/>
      </c>
      <c r="D51" s="32" t="n"/>
      <c r="E51" s="29" t="n"/>
      <c r="F51" s="29" t="n"/>
      <c r="G51" s="29" t="n"/>
      <c r="H51" s="32" t="n"/>
      <c r="I51" s="29" t="n"/>
      <c r="J51" s="29" t="n"/>
      <c r="K51" s="29" t="n"/>
      <c r="L51" s="32" t="n"/>
      <c r="M51" s="29" t="n"/>
      <c r="N51" s="29" t="n"/>
      <c r="O51" s="29" t="n"/>
      <c r="P51" s="32" t="n"/>
      <c r="Q51" s="29" t="n"/>
      <c r="R51" s="29" t="n"/>
      <c r="S51" s="29" t="n"/>
      <c r="T51" s="22">
        <f>IF(COUNT(F51,J51,N51,R51)=0,"",SUM(F51,J51,N51,R51))</f>
        <v/>
      </c>
      <c r="U51" s="22">
        <f>IF(COUNT(G51,K51,O51,S51)=0,"",SUM(G51,K51,O51,S51))</f>
        <v/>
      </c>
      <c r="V51" s="22">
        <f>IF(OR(T51="",U51=""),"",U51-T51)</f>
        <v/>
      </c>
      <c r="W51" s="22">
        <f>IF(Q51&lt;&gt;"",Q51,IF(M51&lt;&gt;"",M51,IF(I51&lt;&gt;"",I51,IF(E51&lt;&gt;"",E51,""))))</f>
        <v/>
      </c>
      <c r="X51" s="18">
        <f>IF(U51="","",U51*N(Produits!$E$50))</f>
        <v/>
      </c>
    </row>
    <row r="52">
      <c r="A52" s="33">
        <f>IF(Produits!$A$51="","",Produits!$A$51)</f>
        <v/>
      </c>
      <c r="B52" s="34">
        <f>IF(Produits!$A$51="","",Produits!$C$51)</f>
        <v/>
      </c>
      <c r="C52" s="34">
        <f>IF(Produits!$A$51="","",Produits!$D$51)</f>
        <v/>
      </c>
      <c r="D52" s="32" t="n"/>
      <c r="E52" s="29" t="n"/>
      <c r="F52" s="29" t="n"/>
      <c r="G52" s="29" t="n"/>
      <c r="H52" s="32" t="n"/>
      <c r="I52" s="29" t="n"/>
      <c r="J52" s="29" t="n"/>
      <c r="K52" s="29" t="n"/>
      <c r="L52" s="32" t="n"/>
      <c r="M52" s="29" t="n"/>
      <c r="N52" s="29" t="n"/>
      <c r="O52" s="29" t="n"/>
      <c r="P52" s="32" t="n"/>
      <c r="Q52" s="29" t="n"/>
      <c r="R52" s="29" t="n"/>
      <c r="S52" s="29" t="n"/>
      <c r="T52" s="22">
        <f>IF(COUNT(F52,J52,N52,R52)=0,"",SUM(F52,J52,N52,R52))</f>
        <v/>
      </c>
      <c r="U52" s="22">
        <f>IF(COUNT(G52,K52,O52,S52)=0,"",SUM(G52,K52,O52,S52))</f>
        <v/>
      </c>
      <c r="V52" s="22">
        <f>IF(OR(T52="",U52=""),"",U52-T52)</f>
        <v/>
      </c>
      <c r="W52" s="22">
        <f>IF(Q52&lt;&gt;"",Q52,IF(M52&lt;&gt;"",M52,IF(I52&lt;&gt;"",I52,IF(E52&lt;&gt;"",E52,""))))</f>
        <v/>
      </c>
      <c r="X52" s="18">
        <f>IF(U52="","",U52*N(Produits!$E$51))</f>
        <v/>
      </c>
    </row>
    <row r="53">
      <c r="A53" s="33">
        <f>IF(Produits!$A$52="","",Produits!$A$52)</f>
        <v/>
      </c>
      <c r="B53" s="34">
        <f>IF(Produits!$A$52="","",Produits!$C$52)</f>
        <v/>
      </c>
      <c r="C53" s="34">
        <f>IF(Produits!$A$52="","",Produits!$D$52)</f>
        <v/>
      </c>
      <c r="D53" s="32" t="n"/>
      <c r="E53" s="29" t="n"/>
      <c r="F53" s="29" t="n"/>
      <c r="G53" s="29" t="n"/>
      <c r="H53" s="32" t="n"/>
      <c r="I53" s="29" t="n"/>
      <c r="J53" s="29" t="n"/>
      <c r="K53" s="29" t="n"/>
      <c r="L53" s="32" t="n"/>
      <c r="M53" s="29" t="n"/>
      <c r="N53" s="29" t="n"/>
      <c r="O53" s="29" t="n"/>
      <c r="P53" s="32" t="n"/>
      <c r="Q53" s="29" t="n"/>
      <c r="R53" s="29" t="n"/>
      <c r="S53" s="29" t="n"/>
      <c r="T53" s="22">
        <f>IF(COUNT(F53,J53,N53,R53)=0,"",SUM(F53,J53,N53,R53))</f>
        <v/>
      </c>
      <c r="U53" s="22">
        <f>IF(COUNT(G53,K53,O53,S53)=0,"",SUM(G53,K53,O53,S53))</f>
        <v/>
      </c>
      <c r="V53" s="22">
        <f>IF(OR(T53="",U53=""),"",U53-T53)</f>
        <v/>
      </c>
      <c r="W53" s="22">
        <f>IF(Q53&lt;&gt;"",Q53,IF(M53&lt;&gt;"",M53,IF(I53&lt;&gt;"",I53,IF(E53&lt;&gt;"",E53,""))))</f>
        <v/>
      </c>
      <c r="X53" s="18">
        <f>IF(U53="","",U53*N(Produits!$E$52))</f>
        <v/>
      </c>
    </row>
    <row r="54" ht="20" customHeight="1">
      <c r="A54" s="23" t="inlineStr">
        <is>
          <t>MÉNAGER</t>
        </is>
      </c>
      <c r="B54" s="10" t="n"/>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row>
    <row r="55">
      <c r="A55" s="33">
        <f>IF(Produits!$A$54="","",Produits!$A$54)</f>
        <v/>
      </c>
      <c r="B55" s="34">
        <f>IF(Produits!$A$54="","",Produits!$C$54)</f>
        <v/>
      </c>
      <c r="C55" s="34">
        <f>IF(Produits!$A$54="","",Produits!$D$54)</f>
        <v/>
      </c>
      <c r="D55" s="32" t="n"/>
      <c r="E55" s="29" t="n"/>
      <c r="F55" s="29" t="n"/>
      <c r="G55" s="29" t="n"/>
      <c r="H55" s="32" t="n"/>
      <c r="I55" s="29" t="n"/>
      <c r="J55" s="29" t="n"/>
      <c r="K55" s="29" t="n"/>
      <c r="L55" s="32" t="n"/>
      <c r="M55" s="29" t="n"/>
      <c r="N55" s="29" t="n"/>
      <c r="O55" s="29" t="n"/>
      <c r="P55" s="32" t="n"/>
      <c r="Q55" s="29" t="n"/>
      <c r="R55" s="29" t="n"/>
      <c r="S55" s="29" t="n"/>
      <c r="T55" s="22">
        <f>IF(COUNT(F55,J55,N55,R55)=0,"",SUM(F55,J55,N55,R55))</f>
        <v/>
      </c>
      <c r="U55" s="22">
        <f>IF(COUNT(G55,K55,O55,S55)=0,"",SUM(G55,K55,O55,S55))</f>
        <v/>
      </c>
      <c r="V55" s="22">
        <f>IF(OR(T55="",U55=""),"",U55-T55)</f>
        <v/>
      </c>
      <c r="W55" s="22">
        <f>IF(Q55&lt;&gt;"",Q55,IF(M55&lt;&gt;"",M55,IF(I55&lt;&gt;"",I55,IF(E55&lt;&gt;"",E55,""))))</f>
        <v/>
      </c>
      <c r="X55" s="18">
        <f>IF(U55="","",U55*N(Produits!$E$54))</f>
        <v/>
      </c>
    </row>
    <row r="56">
      <c r="A56" s="33">
        <f>IF(Produits!$A$55="","",Produits!$A$55)</f>
        <v/>
      </c>
      <c r="B56" s="34">
        <f>IF(Produits!$A$55="","",Produits!$C$55)</f>
        <v/>
      </c>
      <c r="C56" s="34">
        <f>IF(Produits!$A$55="","",Produits!$D$55)</f>
        <v/>
      </c>
      <c r="D56" s="32" t="n"/>
      <c r="E56" s="29" t="n"/>
      <c r="F56" s="29" t="n"/>
      <c r="G56" s="29" t="n"/>
      <c r="H56" s="32" t="n"/>
      <c r="I56" s="29" t="n"/>
      <c r="J56" s="29" t="n"/>
      <c r="K56" s="29" t="n"/>
      <c r="L56" s="32" t="n"/>
      <c r="M56" s="29" t="n"/>
      <c r="N56" s="29" t="n"/>
      <c r="O56" s="29" t="n"/>
      <c r="P56" s="32" t="n"/>
      <c r="Q56" s="29" t="n"/>
      <c r="R56" s="29" t="n"/>
      <c r="S56" s="29" t="n"/>
      <c r="T56" s="22">
        <f>IF(COUNT(F56,J56,N56,R56)=0,"",SUM(F56,J56,N56,R56))</f>
        <v/>
      </c>
      <c r="U56" s="22">
        <f>IF(COUNT(G56,K56,O56,S56)=0,"",SUM(G56,K56,O56,S56))</f>
        <v/>
      </c>
      <c r="V56" s="22">
        <f>IF(OR(T56="",U56=""),"",U56-T56)</f>
        <v/>
      </c>
      <c r="W56" s="22">
        <f>IF(Q56&lt;&gt;"",Q56,IF(M56&lt;&gt;"",M56,IF(I56&lt;&gt;"",I56,IF(E56&lt;&gt;"",E56,""))))</f>
        <v/>
      </c>
      <c r="X56" s="18">
        <f>IF(U56="","",U56*N(Produits!$E$55))</f>
        <v/>
      </c>
    </row>
    <row r="57">
      <c r="A57" s="33">
        <f>IF(Produits!$A$56="","",Produits!$A$56)</f>
        <v/>
      </c>
      <c r="B57" s="34">
        <f>IF(Produits!$A$56="","",Produits!$C$56)</f>
        <v/>
      </c>
      <c r="C57" s="34">
        <f>IF(Produits!$A$56="","",Produits!$D$56)</f>
        <v/>
      </c>
      <c r="D57" s="32" t="n"/>
      <c r="E57" s="29" t="n"/>
      <c r="F57" s="29" t="n"/>
      <c r="G57" s="29" t="n"/>
      <c r="H57" s="32" t="n"/>
      <c r="I57" s="29" t="n"/>
      <c r="J57" s="29" t="n"/>
      <c r="K57" s="29" t="n"/>
      <c r="L57" s="32" t="n"/>
      <c r="M57" s="29" t="n"/>
      <c r="N57" s="29" t="n"/>
      <c r="O57" s="29" t="n"/>
      <c r="P57" s="32" t="n"/>
      <c r="Q57" s="29" t="n"/>
      <c r="R57" s="29" t="n"/>
      <c r="S57" s="29" t="n"/>
      <c r="T57" s="22">
        <f>IF(COUNT(F57,J57,N57,R57)=0,"",SUM(F57,J57,N57,R57))</f>
        <v/>
      </c>
      <c r="U57" s="22">
        <f>IF(COUNT(G57,K57,O57,S57)=0,"",SUM(G57,K57,O57,S57))</f>
        <v/>
      </c>
      <c r="V57" s="22">
        <f>IF(OR(T57="",U57=""),"",U57-T57)</f>
        <v/>
      </c>
      <c r="W57" s="22">
        <f>IF(Q57&lt;&gt;"",Q57,IF(M57&lt;&gt;"",M57,IF(I57&lt;&gt;"",I57,IF(E57&lt;&gt;"",E57,""))))</f>
        <v/>
      </c>
      <c r="X57" s="18">
        <f>IF(U57="","",U57*N(Produits!$E$56))</f>
        <v/>
      </c>
    </row>
    <row r="58">
      <c r="A58" s="33">
        <f>IF(Produits!$A$57="","",Produits!$A$57)</f>
        <v/>
      </c>
      <c r="B58" s="34">
        <f>IF(Produits!$A$57="","",Produits!$C$57)</f>
        <v/>
      </c>
      <c r="C58" s="34">
        <f>IF(Produits!$A$57="","",Produits!$D$57)</f>
        <v/>
      </c>
      <c r="D58" s="32" t="n"/>
      <c r="E58" s="29" t="n"/>
      <c r="F58" s="29" t="n"/>
      <c r="G58" s="29" t="n"/>
      <c r="H58" s="32" t="n"/>
      <c r="I58" s="29" t="n"/>
      <c r="J58" s="29" t="n"/>
      <c r="K58" s="29" t="n"/>
      <c r="L58" s="32" t="n"/>
      <c r="M58" s="29" t="n"/>
      <c r="N58" s="29" t="n"/>
      <c r="O58" s="29" t="n"/>
      <c r="P58" s="32" t="n"/>
      <c r="Q58" s="29" t="n"/>
      <c r="R58" s="29" t="n"/>
      <c r="S58" s="29" t="n"/>
      <c r="T58" s="22">
        <f>IF(COUNT(F58,J58,N58,R58)=0,"",SUM(F58,J58,N58,R58))</f>
        <v/>
      </c>
      <c r="U58" s="22">
        <f>IF(COUNT(G58,K58,O58,S58)=0,"",SUM(G58,K58,O58,S58))</f>
        <v/>
      </c>
      <c r="V58" s="22">
        <f>IF(OR(T58="",U58=""),"",U58-T58)</f>
        <v/>
      </c>
      <c r="W58" s="22">
        <f>IF(Q58&lt;&gt;"",Q58,IF(M58&lt;&gt;"",M58,IF(I58&lt;&gt;"",I58,IF(E58&lt;&gt;"",E58,""))))</f>
        <v/>
      </c>
      <c r="X58" s="18">
        <f>IF(U58="","",U58*N(Produits!$E$57))</f>
        <v/>
      </c>
    </row>
    <row r="59">
      <c r="A59" s="33">
        <f>IF(Produits!$A$58="","",Produits!$A$58)</f>
        <v/>
      </c>
      <c r="B59" s="34">
        <f>IF(Produits!$A$58="","",Produits!$C$58)</f>
        <v/>
      </c>
      <c r="C59" s="34">
        <f>IF(Produits!$A$58="","",Produits!$D$58)</f>
        <v/>
      </c>
      <c r="D59" s="32" t="n"/>
      <c r="E59" s="29" t="n"/>
      <c r="F59" s="29" t="n"/>
      <c r="G59" s="29" t="n"/>
      <c r="H59" s="32" t="n"/>
      <c r="I59" s="29" t="n"/>
      <c r="J59" s="29" t="n"/>
      <c r="K59" s="29" t="n"/>
      <c r="L59" s="32" t="n"/>
      <c r="M59" s="29" t="n"/>
      <c r="N59" s="29" t="n"/>
      <c r="O59" s="29" t="n"/>
      <c r="P59" s="32" t="n"/>
      <c r="Q59" s="29" t="n"/>
      <c r="R59" s="29" t="n"/>
      <c r="S59" s="29" t="n"/>
      <c r="T59" s="22">
        <f>IF(COUNT(F59,J59,N59,R59)=0,"",SUM(F59,J59,N59,R59))</f>
        <v/>
      </c>
      <c r="U59" s="22">
        <f>IF(COUNT(G59,K59,O59,S59)=0,"",SUM(G59,K59,O59,S59))</f>
        <v/>
      </c>
      <c r="V59" s="22">
        <f>IF(OR(T59="",U59=""),"",U59-T59)</f>
        <v/>
      </c>
      <c r="W59" s="22">
        <f>IF(Q59&lt;&gt;"",Q59,IF(M59&lt;&gt;"",M59,IF(I59&lt;&gt;"",I59,IF(E59&lt;&gt;"",E59,""))))</f>
        <v/>
      </c>
      <c r="X59" s="18">
        <f>IF(U59="","",U59*N(Produits!$E$58))</f>
        <v/>
      </c>
    </row>
    <row r="60">
      <c r="A60" s="33">
        <f>IF(Produits!$A$59="","",Produits!$A$59)</f>
        <v/>
      </c>
      <c r="B60" s="34">
        <f>IF(Produits!$A$59="","",Produits!$C$59)</f>
        <v/>
      </c>
      <c r="C60" s="34">
        <f>IF(Produits!$A$59="","",Produits!$D$59)</f>
        <v/>
      </c>
      <c r="D60" s="32" t="n"/>
      <c r="E60" s="29" t="n"/>
      <c r="F60" s="29" t="n"/>
      <c r="G60" s="29" t="n"/>
      <c r="H60" s="32" t="n"/>
      <c r="I60" s="29" t="n"/>
      <c r="J60" s="29" t="n"/>
      <c r="K60" s="29" t="n"/>
      <c r="L60" s="32" t="n"/>
      <c r="M60" s="29" t="n"/>
      <c r="N60" s="29" t="n"/>
      <c r="O60" s="29" t="n"/>
      <c r="P60" s="32" t="n"/>
      <c r="Q60" s="29" t="n"/>
      <c r="R60" s="29" t="n"/>
      <c r="S60" s="29" t="n"/>
      <c r="T60" s="22">
        <f>IF(COUNT(F60,J60,N60,R60)=0,"",SUM(F60,J60,N60,R60))</f>
        <v/>
      </c>
      <c r="U60" s="22">
        <f>IF(COUNT(G60,K60,O60,S60)=0,"",SUM(G60,K60,O60,S60))</f>
        <v/>
      </c>
      <c r="V60" s="22">
        <f>IF(OR(T60="",U60=""),"",U60-T60)</f>
        <v/>
      </c>
      <c r="W60" s="22">
        <f>IF(Q60&lt;&gt;"",Q60,IF(M60&lt;&gt;"",M60,IF(I60&lt;&gt;"",I60,IF(E60&lt;&gt;"",E60,""))))</f>
        <v/>
      </c>
      <c r="X60" s="18">
        <f>IF(U60="","",U60*N(Produits!$E$59))</f>
        <v/>
      </c>
    </row>
    <row r="61">
      <c r="A61" s="33">
        <f>IF(Produits!$A$60="","",Produits!$A$60)</f>
        <v/>
      </c>
      <c r="B61" s="34">
        <f>IF(Produits!$A$60="","",Produits!$C$60)</f>
        <v/>
      </c>
      <c r="C61" s="34">
        <f>IF(Produits!$A$60="","",Produits!$D$60)</f>
        <v/>
      </c>
      <c r="D61" s="32" t="n"/>
      <c r="E61" s="29" t="n"/>
      <c r="F61" s="29" t="n"/>
      <c r="G61" s="29" t="n"/>
      <c r="H61" s="32" t="n"/>
      <c r="I61" s="29" t="n"/>
      <c r="J61" s="29" t="n"/>
      <c r="K61" s="29" t="n"/>
      <c r="L61" s="32" t="n"/>
      <c r="M61" s="29" t="n"/>
      <c r="N61" s="29" t="n"/>
      <c r="O61" s="29" t="n"/>
      <c r="P61" s="32" t="n"/>
      <c r="Q61" s="29" t="n"/>
      <c r="R61" s="29" t="n"/>
      <c r="S61" s="29" t="n"/>
      <c r="T61" s="22">
        <f>IF(COUNT(F61,J61,N61,R61)=0,"",SUM(F61,J61,N61,R61))</f>
        <v/>
      </c>
      <c r="U61" s="22">
        <f>IF(COUNT(G61,K61,O61,S61)=0,"",SUM(G61,K61,O61,S61))</f>
        <v/>
      </c>
      <c r="V61" s="22">
        <f>IF(OR(T61="",U61=""),"",U61-T61)</f>
        <v/>
      </c>
      <c r="W61" s="22">
        <f>IF(Q61&lt;&gt;"",Q61,IF(M61&lt;&gt;"",M61,IF(I61&lt;&gt;"",I61,IF(E61&lt;&gt;"",E61,""))))</f>
        <v/>
      </c>
      <c r="X61" s="18">
        <f>IF(U61="","",U61*N(Produits!$E$60))</f>
        <v/>
      </c>
    </row>
    <row r="62">
      <c r="A62" s="33">
        <f>IF(Produits!$A$61="","",Produits!$A$61)</f>
        <v/>
      </c>
      <c r="B62" s="34">
        <f>IF(Produits!$A$61="","",Produits!$C$61)</f>
        <v/>
      </c>
      <c r="C62" s="34">
        <f>IF(Produits!$A$61="","",Produits!$D$61)</f>
        <v/>
      </c>
      <c r="D62" s="32" t="n"/>
      <c r="E62" s="29" t="n"/>
      <c r="F62" s="29" t="n"/>
      <c r="G62" s="29" t="n"/>
      <c r="H62" s="32" t="n"/>
      <c r="I62" s="29" t="n"/>
      <c r="J62" s="29" t="n"/>
      <c r="K62" s="29" t="n"/>
      <c r="L62" s="32" t="n"/>
      <c r="M62" s="29" t="n"/>
      <c r="N62" s="29" t="n"/>
      <c r="O62" s="29" t="n"/>
      <c r="P62" s="32" t="n"/>
      <c r="Q62" s="29" t="n"/>
      <c r="R62" s="29" t="n"/>
      <c r="S62" s="29" t="n"/>
      <c r="T62" s="22">
        <f>IF(COUNT(F62,J62,N62,R62)=0,"",SUM(F62,J62,N62,R62))</f>
        <v/>
      </c>
      <c r="U62" s="22">
        <f>IF(COUNT(G62,K62,O62,S62)=0,"",SUM(G62,K62,O62,S62))</f>
        <v/>
      </c>
      <c r="V62" s="22">
        <f>IF(OR(T62="",U62=""),"",U62-T62)</f>
        <v/>
      </c>
      <c r="W62" s="22">
        <f>IF(Q62&lt;&gt;"",Q62,IF(M62&lt;&gt;"",M62,IF(I62&lt;&gt;"",I62,IF(E62&lt;&gt;"",E62,""))))</f>
        <v/>
      </c>
      <c r="X62" s="18">
        <f>IF(U62="","",U62*N(Produits!$E$61))</f>
        <v/>
      </c>
    </row>
    <row r="63">
      <c r="A63" s="33">
        <f>IF(Produits!$A$62="","",Produits!$A$62)</f>
        <v/>
      </c>
      <c r="B63" s="34">
        <f>IF(Produits!$A$62="","",Produits!$C$62)</f>
        <v/>
      </c>
      <c r="C63" s="34">
        <f>IF(Produits!$A$62="","",Produits!$D$62)</f>
        <v/>
      </c>
      <c r="D63" s="32" t="n"/>
      <c r="E63" s="29" t="n"/>
      <c r="F63" s="29" t="n"/>
      <c r="G63" s="29" t="n"/>
      <c r="H63" s="32" t="n"/>
      <c r="I63" s="29" t="n"/>
      <c r="J63" s="29" t="n"/>
      <c r="K63" s="29" t="n"/>
      <c r="L63" s="32" t="n"/>
      <c r="M63" s="29" t="n"/>
      <c r="N63" s="29" t="n"/>
      <c r="O63" s="29" t="n"/>
      <c r="P63" s="32" t="n"/>
      <c r="Q63" s="29" t="n"/>
      <c r="R63" s="29" t="n"/>
      <c r="S63" s="29" t="n"/>
      <c r="T63" s="22">
        <f>IF(COUNT(F63,J63,N63,R63)=0,"",SUM(F63,J63,N63,R63))</f>
        <v/>
      </c>
      <c r="U63" s="22">
        <f>IF(COUNT(G63,K63,O63,S63)=0,"",SUM(G63,K63,O63,S63))</f>
        <v/>
      </c>
      <c r="V63" s="22">
        <f>IF(OR(T63="",U63=""),"",U63-T63)</f>
        <v/>
      </c>
      <c r="W63" s="22">
        <f>IF(Q63&lt;&gt;"",Q63,IF(M63&lt;&gt;"",M63,IF(I63&lt;&gt;"",I63,IF(E63&lt;&gt;"",E63,""))))</f>
        <v/>
      </c>
      <c r="X63" s="18">
        <f>IF(U63="","",U63*N(Produits!$E$62))</f>
        <v/>
      </c>
    </row>
    <row r="64">
      <c r="A64" s="33">
        <f>IF(Produits!$A$63="","",Produits!$A$63)</f>
        <v/>
      </c>
      <c r="B64" s="34">
        <f>IF(Produits!$A$63="","",Produits!$C$63)</f>
        <v/>
      </c>
      <c r="C64" s="34">
        <f>IF(Produits!$A$63="","",Produits!$D$63)</f>
        <v/>
      </c>
      <c r="D64" s="32" t="n"/>
      <c r="E64" s="29" t="n"/>
      <c r="F64" s="29" t="n"/>
      <c r="G64" s="29" t="n"/>
      <c r="H64" s="32" t="n"/>
      <c r="I64" s="29" t="n"/>
      <c r="J64" s="29" t="n"/>
      <c r="K64" s="29" t="n"/>
      <c r="L64" s="32" t="n"/>
      <c r="M64" s="29" t="n"/>
      <c r="N64" s="29" t="n"/>
      <c r="O64" s="29" t="n"/>
      <c r="P64" s="32" t="n"/>
      <c r="Q64" s="29" t="n"/>
      <c r="R64" s="29" t="n"/>
      <c r="S64" s="29" t="n"/>
      <c r="T64" s="22">
        <f>IF(COUNT(F64,J64,N64,R64)=0,"",SUM(F64,J64,N64,R64))</f>
        <v/>
      </c>
      <c r="U64" s="22">
        <f>IF(COUNT(G64,K64,O64,S64)=0,"",SUM(G64,K64,O64,S64))</f>
        <v/>
      </c>
      <c r="V64" s="22">
        <f>IF(OR(T64="",U64=""),"",U64-T64)</f>
        <v/>
      </c>
      <c r="W64" s="22">
        <f>IF(Q64&lt;&gt;"",Q64,IF(M64&lt;&gt;"",M64,IF(I64&lt;&gt;"",I64,IF(E64&lt;&gt;"",E64,""))))</f>
        <v/>
      </c>
      <c r="X64" s="18">
        <f>IF(U64="","",U64*N(Produits!$E$63))</f>
        <v/>
      </c>
    </row>
    <row r="65">
      <c r="A65" s="33">
        <f>IF(Produits!$A$64="","",Produits!$A$64)</f>
        <v/>
      </c>
      <c r="B65" s="34">
        <f>IF(Produits!$A$64="","",Produits!$C$64)</f>
        <v/>
      </c>
      <c r="C65" s="34">
        <f>IF(Produits!$A$64="","",Produits!$D$64)</f>
        <v/>
      </c>
      <c r="D65" s="32" t="n"/>
      <c r="E65" s="29" t="n"/>
      <c r="F65" s="29" t="n"/>
      <c r="G65" s="29" t="n"/>
      <c r="H65" s="32" t="n"/>
      <c r="I65" s="29" t="n"/>
      <c r="J65" s="29" t="n"/>
      <c r="K65" s="29" t="n"/>
      <c r="L65" s="32" t="n"/>
      <c r="M65" s="29" t="n"/>
      <c r="N65" s="29" t="n"/>
      <c r="O65" s="29" t="n"/>
      <c r="P65" s="32" t="n"/>
      <c r="Q65" s="29" t="n"/>
      <c r="R65" s="29" t="n"/>
      <c r="S65" s="29" t="n"/>
      <c r="T65" s="22">
        <f>IF(COUNT(F65,J65,N65,R65)=0,"",SUM(F65,J65,N65,R65))</f>
        <v/>
      </c>
      <c r="U65" s="22">
        <f>IF(COUNT(G65,K65,O65,S65)=0,"",SUM(G65,K65,O65,S65))</f>
        <v/>
      </c>
      <c r="V65" s="22">
        <f>IF(OR(T65="",U65=""),"",U65-T65)</f>
        <v/>
      </c>
      <c r="W65" s="22">
        <f>IF(Q65&lt;&gt;"",Q65,IF(M65&lt;&gt;"",M65,IF(I65&lt;&gt;"",I65,IF(E65&lt;&gt;"",E65,""))))</f>
        <v/>
      </c>
      <c r="X65" s="18">
        <f>IF(U65="","",U65*N(Produits!$E$64))</f>
        <v/>
      </c>
    </row>
    <row r="66">
      <c r="A66" s="33">
        <f>IF(Produits!$A$65="","",Produits!$A$65)</f>
        <v/>
      </c>
      <c r="B66" s="34">
        <f>IF(Produits!$A$65="","",Produits!$C$65)</f>
        <v/>
      </c>
      <c r="C66" s="34">
        <f>IF(Produits!$A$65="","",Produits!$D$65)</f>
        <v/>
      </c>
      <c r="D66" s="32" t="n"/>
      <c r="E66" s="29" t="n"/>
      <c r="F66" s="29" t="n"/>
      <c r="G66" s="29" t="n"/>
      <c r="H66" s="32" t="n"/>
      <c r="I66" s="29" t="n"/>
      <c r="J66" s="29" t="n"/>
      <c r="K66" s="29" t="n"/>
      <c r="L66" s="32" t="n"/>
      <c r="M66" s="29" t="n"/>
      <c r="N66" s="29" t="n"/>
      <c r="O66" s="29" t="n"/>
      <c r="P66" s="32" t="n"/>
      <c r="Q66" s="29" t="n"/>
      <c r="R66" s="29" t="n"/>
      <c r="S66" s="29" t="n"/>
      <c r="T66" s="22">
        <f>IF(COUNT(F66,J66,N66,R66)=0,"",SUM(F66,J66,N66,R66))</f>
        <v/>
      </c>
      <c r="U66" s="22">
        <f>IF(COUNT(G66,K66,O66,S66)=0,"",SUM(G66,K66,O66,S66))</f>
        <v/>
      </c>
      <c r="V66" s="22">
        <f>IF(OR(T66="",U66=""),"",U66-T66)</f>
        <v/>
      </c>
      <c r="W66" s="22">
        <f>IF(Q66&lt;&gt;"",Q66,IF(M66&lt;&gt;"",M66,IF(I66&lt;&gt;"",I66,IF(E66&lt;&gt;"",E66,""))))</f>
        <v/>
      </c>
      <c r="X66" s="18">
        <f>IF(U66="","",U66*N(Produits!$E$65))</f>
        <v/>
      </c>
    </row>
    <row r="67">
      <c r="A67" s="33">
        <f>IF(Produits!$A$66="","",Produits!$A$66)</f>
        <v/>
      </c>
      <c r="B67" s="34">
        <f>IF(Produits!$A$66="","",Produits!$C$66)</f>
        <v/>
      </c>
      <c r="C67" s="34">
        <f>IF(Produits!$A$66="","",Produits!$D$66)</f>
        <v/>
      </c>
      <c r="D67" s="32" t="n"/>
      <c r="E67" s="29" t="n"/>
      <c r="F67" s="29" t="n"/>
      <c r="G67" s="29" t="n"/>
      <c r="H67" s="32" t="n"/>
      <c r="I67" s="29" t="n"/>
      <c r="J67" s="29" t="n"/>
      <c r="K67" s="29" t="n"/>
      <c r="L67" s="32" t="n"/>
      <c r="M67" s="29" t="n"/>
      <c r="N67" s="29" t="n"/>
      <c r="O67" s="29" t="n"/>
      <c r="P67" s="32" t="n"/>
      <c r="Q67" s="29" t="n"/>
      <c r="R67" s="29" t="n"/>
      <c r="S67" s="29" t="n"/>
      <c r="T67" s="22">
        <f>IF(COUNT(F67,J67,N67,R67)=0,"",SUM(F67,J67,N67,R67))</f>
        <v/>
      </c>
      <c r="U67" s="22">
        <f>IF(COUNT(G67,K67,O67,S67)=0,"",SUM(G67,K67,O67,S67))</f>
        <v/>
      </c>
      <c r="V67" s="22">
        <f>IF(OR(T67="",U67=""),"",U67-T67)</f>
        <v/>
      </c>
      <c r="W67" s="22">
        <f>IF(Q67&lt;&gt;"",Q67,IF(M67&lt;&gt;"",M67,IF(I67&lt;&gt;"",I67,IF(E67&lt;&gt;"",E67,""))))</f>
        <v/>
      </c>
      <c r="X67" s="18">
        <f>IF(U67="","",U67*N(Produits!$E$66))</f>
        <v/>
      </c>
    </row>
    <row r="68">
      <c r="A68" s="33">
        <f>IF(Produits!$A$67="","",Produits!$A$67)</f>
        <v/>
      </c>
      <c r="B68" s="34">
        <f>IF(Produits!$A$67="","",Produits!$C$67)</f>
        <v/>
      </c>
      <c r="C68" s="34">
        <f>IF(Produits!$A$67="","",Produits!$D$67)</f>
        <v/>
      </c>
      <c r="D68" s="32" t="n"/>
      <c r="E68" s="29" t="n"/>
      <c r="F68" s="29" t="n"/>
      <c r="G68" s="29" t="n"/>
      <c r="H68" s="32" t="n"/>
      <c r="I68" s="29" t="n"/>
      <c r="J68" s="29" t="n"/>
      <c r="K68" s="29" t="n"/>
      <c r="L68" s="32" t="n"/>
      <c r="M68" s="29" t="n"/>
      <c r="N68" s="29" t="n"/>
      <c r="O68" s="29" t="n"/>
      <c r="P68" s="32" t="n"/>
      <c r="Q68" s="29" t="n"/>
      <c r="R68" s="29" t="n"/>
      <c r="S68" s="29" t="n"/>
      <c r="T68" s="22">
        <f>IF(COUNT(F68,J68,N68,R68)=0,"",SUM(F68,J68,N68,R68))</f>
        <v/>
      </c>
      <c r="U68" s="22">
        <f>IF(COUNT(G68,K68,O68,S68)=0,"",SUM(G68,K68,O68,S68))</f>
        <v/>
      </c>
      <c r="V68" s="22">
        <f>IF(OR(T68="",U68=""),"",U68-T68)</f>
        <v/>
      </c>
      <c r="W68" s="22">
        <f>IF(Q68&lt;&gt;"",Q68,IF(M68&lt;&gt;"",M68,IF(I68&lt;&gt;"",I68,IF(E68&lt;&gt;"",E68,""))))</f>
        <v/>
      </c>
      <c r="X68" s="18">
        <f>IF(U68="","",U68*N(Produits!$E$67))</f>
        <v/>
      </c>
    </row>
    <row r="69">
      <c r="A69" s="33">
        <f>IF(Produits!$A$68="","",Produits!$A$68)</f>
        <v/>
      </c>
      <c r="B69" s="34">
        <f>IF(Produits!$A$68="","",Produits!$C$68)</f>
        <v/>
      </c>
      <c r="C69" s="34">
        <f>IF(Produits!$A$68="","",Produits!$D$68)</f>
        <v/>
      </c>
      <c r="D69" s="32" t="n"/>
      <c r="E69" s="29" t="n"/>
      <c r="F69" s="29" t="n"/>
      <c r="G69" s="29" t="n"/>
      <c r="H69" s="32" t="n"/>
      <c r="I69" s="29" t="n"/>
      <c r="J69" s="29" t="n"/>
      <c r="K69" s="29" t="n"/>
      <c r="L69" s="32" t="n"/>
      <c r="M69" s="29" t="n"/>
      <c r="N69" s="29" t="n"/>
      <c r="O69" s="29" t="n"/>
      <c r="P69" s="32" t="n"/>
      <c r="Q69" s="29" t="n"/>
      <c r="R69" s="29" t="n"/>
      <c r="S69" s="29" t="n"/>
      <c r="T69" s="22">
        <f>IF(COUNT(F69,J69,N69,R69)=0,"",SUM(F69,J69,N69,R69))</f>
        <v/>
      </c>
      <c r="U69" s="22">
        <f>IF(COUNT(G69,K69,O69,S69)=0,"",SUM(G69,K69,O69,S69))</f>
        <v/>
      </c>
      <c r="V69" s="22">
        <f>IF(OR(T69="",U69=""),"",U69-T69)</f>
        <v/>
      </c>
      <c r="W69" s="22">
        <f>IF(Q69&lt;&gt;"",Q69,IF(M69&lt;&gt;"",M69,IF(I69&lt;&gt;"",I69,IF(E69&lt;&gt;"",E69,""))))</f>
        <v/>
      </c>
      <c r="X69" s="18">
        <f>IF(U69="","",U69*N(Produits!$E$68))</f>
        <v/>
      </c>
    </row>
    <row r="71">
      <c r="A71" s="15" t="inlineStr">
        <is>
          <t>Total des dépenses du mois</t>
        </is>
      </c>
      <c r="B71" s="19" t="n"/>
      <c r="C71" s="19" t="n"/>
      <c r="X71" s="35">
        <f>SUM(X7:X69)</f>
        <v/>
      </c>
    </row>
  </sheetData>
  <mergeCells count="14">
    <mergeCell ref="H4:K4"/>
    <mergeCell ref="A71:C71"/>
    <mergeCell ref="B4:B5"/>
    <mergeCell ref="C4:C5"/>
    <mergeCell ref="A4:A5"/>
    <mergeCell ref="T4:W4"/>
    <mergeCell ref="X4:X5"/>
    <mergeCell ref="A38:X38"/>
    <mergeCell ref="A54:X54"/>
    <mergeCell ref="L4:O4"/>
    <mergeCell ref="P4:S4"/>
    <mergeCell ref="A6:X6"/>
    <mergeCell ref="A22:X22"/>
    <mergeCell ref="D4:G4"/>
  </mergeCells>
  <conditionalFormatting sqref="V7:V69">
    <cfRule type="expression" priority="1" dxfId="0">
      <formula>AND(ISNUMBER(V7),V7&lt;0)</formula>
    </cfRule>
  </conditionalFormatting>
  <conditionalFormatting sqref="E7:E69">
    <cfRule type="expression" priority="2" dxfId="1">
      <formula>AND(ISNUMBER(E7),ISNUMBER($C7),E7&lt;=$C7)</formula>
    </cfRule>
  </conditionalFormatting>
  <conditionalFormatting sqref="G7:G69">
    <cfRule type="expression" priority="3" dxfId="0">
      <formula>AND(ISNUMBER(G7),ISNUMBER(F7),G7&lt;F7)</formula>
    </cfRule>
  </conditionalFormatting>
  <conditionalFormatting sqref="I7:I69">
    <cfRule type="expression" priority="4" dxfId="1">
      <formula>AND(ISNUMBER(I7),ISNUMBER($C7),I7&lt;=$C7)</formula>
    </cfRule>
  </conditionalFormatting>
  <conditionalFormatting sqref="K7:K69">
    <cfRule type="expression" priority="5" dxfId="0">
      <formula>AND(ISNUMBER(K7),ISNUMBER(J7),K7&lt;J7)</formula>
    </cfRule>
  </conditionalFormatting>
  <conditionalFormatting sqref="M7:M69">
    <cfRule type="expression" priority="6" dxfId="1">
      <formula>AND(ISNUMBER(M7),ISNUMBER($C7),M7&lt;=$C7)</formula>
    </cfRule>
  </conditionalFormatting>
  <conditionalFormatting sqref="O7:O69">
    <cfRule type="expression" priority="7" dxfId="0">
      <formula>AND(ISNUMBER(O7),ISNUMBER(N7),O7&lt;N7)</formula>
    </cfRule>
  </conditionalFormatting>
  <conditionalFormatting sqref="Q7:Q69">
    <cfRule type="expression" priority="8" dxfId="1">
      <formula>AND(ISNUMBER(Q7),ISNUMBER($C7),Q7&lt;=$C7)</formula>
    </cfRule>
  </conditionalFormatting>
  <conditionalFormatting sqref="S7:S69">
    <cfRule type="expression" priority="9" dxfId="0">
      <formula>AND(ISNUMBER(S7),ISNUMBER(R7),S7&lt;R7)</formula>
    </cfRule>
  </conditionalFormatting>
  <dataValidations count="4">
    <dataValidation sqref="E7:G69" showDropDown="0" showInputMessage="0" showErrorMessage="1" allowBlank="1" errorTitle="Valeur invalide" error="Entre un nombre positif (ou laisse vide)." type="decimal" operator="greaterThanOrEqual">
      <formula1>0</formula1>
    </dataValidation>
    <dataValidation sqref="I7:K69" showDropDown="0" showInputMessage="0" showErrorMessage="1" allowBlank="1" errorTitle="Valeur invalide" error="Entre un nombre positif (ou laisse vide)." type="decimal" operator="greaterThanOrEqual">
      <formula1>0</formula1>
    </dataValidation>
    <dataValidation sqref="M7:O69" showDropDown="0" showInputMessage="0" showErrorMessage="1" allowBlank="1" errorTitle="Valeur invalide" error="Entre un nombre positif (ou laisse vide)." type="decimal" operator="greaterThanOrEqual">
      <formula1>0</formula1>
    </dataValidation>
    <dataValidation sqref="Q7:S69"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71"/>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24" customWidth="1" min="1" max="1"/>
    <col width="7" customWidth="1" min="2" max="2"/>
    <col width="7" customWidth="1" min="3" max="3"/>
    <col width="11" customWidth="1" min="4" max="4"/>
    <col width="10.5" customWidth="1" min="5" max="5"/>
    <col width="10.5" customWidth="1" min="6" max="6"/>
    <col width="10.5" customWidth="1" min="7" max="7"/>
    <col width="11" customWidth="1" min="8" max="8"/>
    <col width="10.5" customWidth="1" min="9" max="9"/>
    <col width="10.5" customWidth="1" min="10" max="10"/>
    <col width="10.5" customWidth="1" min="11" max="11"/>
    <col width="11" customWidth="1" min="12" max="12"/>
    <col width="10.5" customWidth="1" min="13" max="13"/>
    <col width="10.5" customWidth="1" min="14" max="14"/>
    <col width="10.5" customWidth="1" min="15" max="15"/>
    <col width="11" customWidth="1" min="16" max="16"/>
    <col width="10.5" customWidth="1" min="17" max="17"/>
    <col width="10.5" customWidth="1" min="18" max="18"/>
    <col width="10.5" customWidth="1" min="19" max="19"/>
    <col width="11" customWidth="1" min="20" max="20"/>
    <col width="11" customWidth="1" min="21" max="21"/>
    <col width="11" customWidth="1" min="22" max="22"/>
    <col width="11" customWidth="1" min="23" max="23"/>
    <col width="12" customWidth="1" min="24" max="24"/>
  </cols>
  <sheetData>
    <row r="1" ht="26" customHeight="1">
      <c r="A1" s="1" t="inlineStr">
        <is>
          <t>Mars 2026</t>
        </is>
      </c>
    </row>
    <row r="2">
      <c r="A2" s="2" t="inlineStr">
        <is>
          <t>Date cmd = jour où tu passes la commande · Stock = ce qu'il reste · Commandé · Reçu = ce qui est arrivé</t>
        </is>
      </c>
    </row>
    <row r="4">
      <c r="A4" s="15" t="inlineStr">
        <is>
          <t>Produit</t>
        </is>
      </c>
      <c r="B4" s="15" t="inlineStr">
        <is>
          <t>Unité</t>
        </is>
      </c>
      <c r="C4" s="15" t="inlineStr">
        <is>
          <t>Mini</t>
        </is>
      </c>
      <c r="D4" s="15" t="inlineStr">
        <is>
          <t>Semaine 1</t>
        </is>
      </c>
      <c r="E4" s="19" t="n"/>
      <c r="F4" s="19" t="n"/>
      <c r="G4" s="19" t="n"/>
      <c r="H4" s="15" t="inlineStr">
        <is>
          <t>Semaine 2</t>
        </is>
      </c>
      <c r="I4" s="19" t="n"/>
      <c r="J4" s="19" t="n"/>
      <c r="K4" s="19" t="n"/>
      <c r="L4" s="15" t="inlineStr">
        <is>
          <t>Semaine 3</t>
        </is>
      </c>
      <c r="M4" s="19" t="n"/>
      <c r="N4" s="19" t="n"/>
      <c r="O4" s="19" t="n"/>
      <c r="P4" s="15" t="inlineStr">
        <is>
          <t>Semaine 4</t>
        </is>
      </c>
      <c r="Q4" s="19" t="n"/>
      <c r="R4" s="19" t="n"/>
      <c r="S4" s="19" t="n"/>
      <c r="T4" s="15" t="inlineStr">
        <is>
          <t>Total du mois</t>
        </is>
      </c>
      <c r="U4" s="19" t="n"/>
      <c r="V4" s="19" t="n"/>
      <c r="W4" s="19" t="n"/>
      <c r="X4" s="15" t="inlineStr">
        <is>
          <t>Dépense (€)</t>
        </is>
      </c>
    </row>
    <row r="5">
      <c r="A5" s="19" t="n"/>
      <c r="B5" s="19" t="n"/>
      <c r="C5" s="19" t="n"/>
      <c r="D5" s="8" t="inlineStr">
        <is>
          <t>Date cmd</t>
        </is>
      </c>
      <c r="E5" s="8" t="inlineStr">
        <is>
          <t>Stock</t>
        </is>
      </c>
      <c r="F5" s="8" t="inlineStr">
        <is>
          <t>Commandé</t>
        </is>
      </c>
      <c r="G5" s="8" t="inlineStr">
        <is>
          <t>Reçu</t>
        </is>
      </c>
      <c r="H5" s="8" t="inlineStr">
        <is>
          <t>Date cmd</t>
        </is>
      </c>
      <c r="I5" s="8" t="inlineStr">
        <is>
          <t>Stock</t>
        </is>
      </c>
      <c r="J5" s="8" t="inlineStr">
        <is>
          <t>Commandé</t>
        </is>
      </c>
      <c r="K5" s="8" t="inlineStr">
        <is>
          <t>Reçu</t>
        </is>
      </c>
      <c r="L5" s="8" t="inlineStr">
        <is>
          <t>Date cmd</t>
        </is>
      </c>
      <c r="M5" s="8" t="inlineStr">
        <is>
          <t>Stock</t>
        </is>
      </c>
      <c r="N5" s="8" t="inlineStr">
        <is>
          <t>Commandé</t>
        </is>
      </c>
      <c r="O5" s="8" t="inlineStr">
        <is>
          <t>Reçu</t>
        </is>
      </c>
      <c r="P5" s="8" t="inlineStr">
        <is>
          <t>Date cmd</t>
        </is>
      </c>
      <c r="Q5" s="8" t="inlineStr">
        <is>
          <t>Stock</t>
        </is>
      </c>
      <c r="R5" s="8" t="inlineStr">
        <is>
          <t>Commandé</t>
        </is>
      </c>
      <c r="S5" s="8" t="inlineStr">
        <is>
          <t>Reçu</t>
        </is>
      </c>
      <c r="T5" s="8" t="inlineStr">
        <is>
          <t>Commandé</t>
        </is>
      </c>
      <c r="U5" s="8" t="inlineStr">
        <is>
          <t>Reçu</t>
        </is>
      </c>
      <c r="V5" s="8" t="inlineStr">
        <is>
          <t>Écart</t>
        </is>
      </c>
      <c r="W5" s="8" t="inlineStr">
        <is>
          <t>Dernier stock</t>
        </is>
      </c>
      <c r="X5" s="19" t="n"/>
    </row>
    <row r="6" ht="20" customHeight="1">
      <c r="A6" s="23" t="inlineStr">
        <is>
          <t>RÉSERVE SÈCHE</t>
        </is>
      </c>
      <c r="B6" s="10" t="n"/>
      <c r="C6" s="10" t="n"/>
      <c r="D6" s="10" t="n"/>
      <c r="E6" s="10" t="n"/>
      <c r="F6" s="10" t="n"/>
      <c r="G6" s="10" t="n"/>
      <c r="H6" s="10" t="n"/>
      <c r="I6" s="10" t="n"/>
      <c r="J6" s="10" t="n"/>
      <c r="K6" s="10" t="n"/>
      <c r="L6" s="10" t="n"/>
      <c r="M6" s="10" t="n"/>
      <c r="N6" s="10" t="n"/>
      <c r="O6" s="10" t="n"/>
      <c r="P6" s="10" t="n"/>
      <c r="Q6" s="10" t="n"/>
      <c r="R6" s="10" t="n"/>
      <c r="S6" s="10" t="n"/>
      <c r="T6" s="10" t="n"/>
      <c r="U6" s="10" t="n"/>
      <c r="V6" s="10" t="n"/>
      <c r="W6" s="10" t="n"/>
      <c r="X6" s="10" t="n"/>
    </row>
    <row r="7">
      <c r="A7" s="33">
        <f>IF(Produits!$A$6="","",Produits!$A$6)</f>
        <v/>
      </c>
      <c r="B7" s="34">
        <f>IF(Produits!$A$6="","",Produits!$C$6)</f>
        <v/>
      </c>
      <c r="C7" s="34">
        <f>IF(Produits!$A$6="","",Produits!$D$6)</f>
        <v/>
      </c>
      <c r="D7" s="32" t="n"/>
      <c r="E7" s="29" t="n"/>
      <c r="F7" s="29" t="n"/>
      <c r="G7" s="29" t="n"/>
      <c r="H7" s="32" t="n"/>
      <c r="I7" s="29" t="n"/>
      <c r="J7" s="29" t="n"/>
      <c r="K7" s="29" t="n"/>
      <c r="L7" s="32" t="n"/>
      <c r="M7" s="29" t="n"/>
      <c r="N7" s="29" t="n"/>
      <c r="O7" s="29" t="n"/>
      <c r="P7" s="32" t="n"/>
      <c r="Q7" s="29" t="n"/>
      <c r="R7" s="29" t="n"/>
      <c r="S7" s="29" t="n"/>
      <c r="T7" s="22">
        <f>IF(COUNT(F7,J7,N7,R7)=0,"",SUM(F7,J7,N7,R7))</f>
        <v/>
      </c>
      <c r="U7" s="22">
        <f>IF(COUNT(G7,K7,O7,S7)=0,"",SUM(G7,K7,O7,S7))</f>
        <v/>
      </c>
      <c r="V7" s="22">
        <f>IF(OR(T7="",U7=""),"",U7-T7)</f>
        <v/>
      </c>
      <c r="W7" s="22">
        <f>IF(Q7&lt;&gt;"",Q7,IF(M7&lt;&gt;"",M7,IF(I7&lt;&gt;"",I7,IF(E7&lt;&gt;"",E7,""))))</f>
        <v/>
      </c>
      <c r="X7" s="18">
        <f>IF(U7="","",U7*N(Produits!$E$6))</f>
        <v/>
      </c>
    </row>
    <row r="8">
      <c r="A8" s="33">
        <f>IF(Produits!$A$7="","",Produits!$A$7)</f>
        <v/>
      </c>
      <c r="B8" s="34">
        <f>IF(Produits!$A$7="","",Produits!$C$7)</f>
        <v/>
      </c>
      <c r="C8" s="34">
        <f>IF(Produits!$A$7="","",Produits!$D$7)</f>
        <v/>
      </c>
      <c r="D8" s="32" t="n"/>
      <c r="E8" s="29" t="n"/>
      <c r="F8" s="29" t="n"/>
      <c r="G8" s="29" t="n"/>
      <c r="H8" s="32" t="n"/>
      <c r="I8" s="29" t="n"/>
      <c r="J8" s="29" t="n"/>
      <c r="K8" s="29" t="n"/>
      <c r="L8" s="32" t="n"/>
      <c r="M8" s="29" t="n"/>
      <c r="N8" s="29" t="n"/>
      <c r="O8" s="29" t="n"/>
      <c r="P8" s="32" t="n"/>
      <c r="Q8" s="29" t="n"/>
      <c r="R8" s="29" t="n"/>
      <c r="S8" s="29" t="n"/>
      <c r="T8" s="22">
        <f>IF(COUNT(F8,J8,N8,R8)=0,"",SUM(F8,J8,N8,R8))</f>
        <v/>
      </c>
      <c r="U8" s="22">
        <f>IF(COUNT(G8,K8,O8,S8)=0,"",SUM(G8,K8,O8,S8))</f>
        <v/>
      </c>
      <c r="V8" s="22">
        <f>IF(OR(T8="",U8=""),"",U8-T8)</f>
        <v/>
      </c>
      <c r="W8" s="22">
        <f>IF(Q8&lt;&gt;"",Q8,IF(M8&lt;&gt;"",M8,IF(I8&lt;&gt;"",I8,IF(E8&lt;&gt;"",E8,""))))</f>
        <v/>
      </c>
      <c r="X8" s="18">
        <f>IF(U8="","",U8*N(Produits!$E$7))</f>
        <v/>
      </c>
    </row>
    <row r="9">
      <c r="A9" s="33">
        <f>IF(Produits!$A$8="","",Produits!$A$8)</f>
        <v/>
      </c>
      <c r="B9" s="34">
        <f>IF(Produits!$A$8="","",Produits!$C$8)</f>
        <v/>
      </c>
      <c r="C9" s="34">
        <f>IF(Produits!$A$8="","",Produits!$D$8)</f>
        <v/>
      </c>
      <c r="D9" s="32" t="n"/>
      <c r="E9" s="29" t="n"/>
      <c r="F9" s="29" t="n"/>
      <c r="G9" s="29" t="n"/>
      <c r="H9" s="32" t="n"/>
      <c r="I9" s="29" t="n"/>
      <c r="J9" s="29" t="n"/>
      <c r="K9" s="29" t="n"/>
      <c r="L9" s="32" t="n"/>
      <c r="M9" s="29" t="n"/>
      <c r="N9" s="29" t="n"/>
      <c r="O9" s="29" t="n"/>
      <c r="P9" s="32" t="n"/>
      <c r="Q9" s="29" t="n"/>
      <c r="R9" s="29" t="n"/>
      <c r="S9" s="29" t="n"/>
      <c r="T9" s="22">
        <f>IF(COUNT(F9,J9,N9,R9)=0,"",SUM(F9,J9,N9,R9))</f>
        <v/>
      </c>
      <c r="U9" s="22">
        <f>IF(COUNT(G9,K9,O9,S9)=0,"",SUM(G9,K9,O9,S9))</f>
        <v/>
      </c>
      <c r="V9" s="22">
        <f>IF(OR(T9="",U9=""),"",U9-T9)</f>
        <v/>
      </c>
      <c r="W9" s="22">
        <f>IF(Q9&lt;&gt;"",Q9,IF(M9&lt;&gt;"",M9,IF(I9&lt;&gt;"",I9,IF(E9&lt;&gt;"",E9,""))))</f>
        <v/>
      </c>
      <c r="X9" s="18">
        <f>IF(U9="","",U9*N(Produits!$E$8))</f>
        <v/>
      </c>
    </row>
    <row r="10">
      <c r="A10" s="33">
        <f>IF(Produits!$A$9="","",Produits!$A$9)</f>
        <v/>
      </c>
      <c r="B10" s="34">
        <f>IF(Produits!$A$9="","",Produits!$C$9)</f>
        <v/>
      </c>
      <c r="C10" s="34">
        <f>IF(Produits!$A$9="","",Produits!$D$9)</f>
        <v/>
      </c>
      <c r="D10" s="32" t="n"/>
      <c r="E10" s="29" t="n"/>
      <c r="F10" s="29" t="n"/>
      <c r="G10" s="29" t="n"/>
      <c r="H10" s="32" t="n"/>
      <c r="I10" s="29" t="n"/>
      <c r="J10" s="29" t="n"/>
      <c r="K10" s="29" t="n"/>
      <c r="L10" s="32" t="n"/>
      <c r="M10" s="29" t="n"/>
      <c r="N10" s="29" t="n"/>
      <c r="O10" s="29" t="n"/>
      <c r="P10" s="32" t="n"/>
      <c r="Q10" s="29" t="n"/>
      <c r="R10" s="29" t="n"/>
      <c r="S10" s="29" t="n"/>
      <c r="T10" s="22">
        <f>IF(COUNT(F10,J10,N10,R10)=0,"",SUM(F10,J10,N10,R10))</f>
        <v/>
      </c>
      <c r="U10" s="22">
        <f>IF(COUNT(G10,K10,O10,S10)=0,"",SUM(G10,K10,O10,S10))</f>
        <v/>
      </c>
      <c r="V10" s="22">
        <f>IF(OR(T10="",U10=""),"",U10-T10)</f>
        <v/>
      </c>
      <c r="W10" s="22">
        <f>IF(Q10&lt;&gt;"",Q10,IF(M10&lt;&gt;"",M10,IF(I10&lt;&gt;"",I10,IF(E10&lt;&gt;"",E10,""))))</f>
        <v/>
      </c>
      <c r="X10" s="18">
        <f>IF(U10="","",U10*N(Produits!$E$9))</f>
        <v/>
      </c>
    </row>
    <row r="11">
      <c r="A11" s="33">
        <f>IF(Produits!$A$10="","",Produits!$A$10)</f>
        <v/>
      </c>
      <c r="B11" s="34">
        <f>IF(Produits!$A$10="","",Produits!$C$10)</f>
        <v/>
      </c>
      <c r="C11" s="34">
        <f>IF(Produits!$A$10="","",Produits!$D$10)</f>
        <v/>
      </c>
      <c r="D11" s="32" t="n"/>
      <c r="E11" s="29" t="n"/>
      <c r="F11" s="29" t="n"/>
      <c r="G11" s="29" t="n"/>
      <c r="H11" s="32" t="n"/>
      <c r="I11" s="29" t="n"/>
      <c r="J11" s="29" t="n"/>
      <c r="K11" s="29" t="n"/>
      <c r="L11" s="32" t="n"/>
      <c r="M11" s="29" t="n"/>
      <c r="N11" s="29" t="n"/>
      <c r="O11" s="29" t="n"/>
      <c r="P11" s="32" t="n"/>
      <c r="Q11" s="29" t="n"/>
      <c r="R11" s="29" t="n"/>
      <c r="S11" s="29" t="n"/>
      <c r="T11" s="22">
        <f>IF(COUNT(F11,J11,N11,R11)=0,"",SUM(F11,J11,N11,R11))</f>
        <v/>
      </c>
      <c r="U11" s="22">
        <f>IF(COUNT(G11,K11,O11,S11)=0,"",SUM(G11,K11,O11,S11))</f>
        <v/>
      </c>
      <c r="V11" s="22">
        <f>IF(OR(T11="",U11=""),"",U11-T11)</f>
        <v/>
      </c>
      <c r="W11" s="22">
        <f>IF(Q11&lt;&gt;"",Q11,IF(M11&lt;&gt;"",M11,IF(I11&lt;&gt;"",I11,IF(E11&lt;&gt;"",E11,""))))</f>
        <v/>
      </c>
      <c r="X11" s="18">
        <f>IF(U11="","",U11*N(Produits!$E$10))</f>
        <v/>
      </c>
    </row>
    <row r="12">
      <c r="A12" s="33">
        <f>IF(Produits!$A$11="","",Produits!$A$11)</f>
        <v/>
      </c>
      <c r="B12" s="34">
        <f>IF(Produits!$A$11="","",Produits!$C$11)</f>
        <v/>
      </c>
      <c r="C12" s="34">
        <f>IF(Produits!$A$11="","",Produits!$D$11)</f>
        <v/>
      </c>
      <c r="D12" s="32" t="n"/>
      <c r="E12" s="29" t="n"/>
      <c r="F12" s="29" t="n"/>
      <c r="G12" s="29" t="n"/>
      <c r="H12" s="32" t="n"/>
      <c r="I12" s="29" t="n"/>
      <c r="J12" s="29" t="n"/>
      <c r="K12" s="29" t="n"/>
      <c r="L12" s="32" t="n"/>
      <c r="M12" s="29" t="n"/>
      <c r="N12" s="29" t="n"/>
      <c r="O12" s="29" t="n"/>
      <c r="P12" s="32" t="n"/>
      <c r="Q12" s="29" t="n"/>
      <c r="R12" s="29" t="n"/>
      <c r="S12" s="29" t="n"/>
      <c r="T12" s="22">
        <f>IF(COUNT(F12,J12,N12,R12)=0,"",SUM(F12,J12,N12,R12))</f>
        <v/>
      </c>
      <c r="U12" s="22">
        <f>IF(COUNT(G12,K12,O12,S12)=0,"",SUM(G12,K12,O12,S12))</f>
        <v/>
      </c>
      <c r="V12" s="22">
        <f>IF(OR(T12="",U12=""),"",U12-T12)</f>
        <v/>
      </c>
      <c r="W12" s="22">
        <f>IF(Q12&lt;&gt;"",Q12,IF(M12&lt;&gt;"",M12,IF(I12&lt;&gt;"",I12,IF(E12&lt;&gt;"",E12,""))))</f>
        <v/>
      </c>
      <c r="X12" s="18">
        <f>IF(U12="","",U12*N(Produits!$E$11))</f>
        <v/>
      </c>
    </row>
    <row r="13">
      <c r="A13" s="33">
        <f>IF(Produits!$A$12="","",Produits!$A$12)</f>
        <v/>
      </c>
      <c r="B13" s="34">
        <f>IF(Produits!$A$12="","",Produits!$C$12)</f>
        <v/>
      </c>
      <c r="C13" s="34">
        <f>IF(Produits!$A$12="","",Produits!$D$12)</f>
        <v/>
      </c>
      <c r="D13" s="32" t="n"/>
      <c r="E13" s="29" t="n"/>
      <c r="F13" s="29" t="n"/>
      <c r="G13" s="29" t="n"/>
      <c r="H13" s="32" t="n"/>
      <c r="I13" s="29" t="n"/>
      <c r="J13" s="29" t="n"/>
      <c r="K13" s="29" t="n"/>
      <c r="L13" s="32" t="n"/>
      <c r="M13" s="29" t="n"/>
      <c r="N13" s="29" t="n"/>
      <c r="O13" s="29" t="n"/>
      <c r="P13" s="32" t="n"/>
      <c r="Q13" s="29" t="n"/>
      <c r="R13" s="29" t="n"/>
      <c r="S13" s="29" t="n"/>
      <c r="T13" s="22">
        <f>IF(COUNT(F13,J13,N13,R13)=0,"",SUM(F13,J13,N13,R13))</f>
        <v/>
      </c>
      <c r="U13" s="22">
        <f>IF(COUNT(G13,K13,O13,S13)=0,"",SUM(G13,K13,O13,S13))</f>
        <v/>
      </c>
      <c r="V13" s="22">
        <f>IF(OR(T13="",U13=""),"",U13-T13)</f>
        <v/>
      </c>
      <c r="W13" s="22">
        <f>IF(Q13&lt;&gt;"",Q13,IF(M13&lt;&gt;"",M13,IF(I13&lt;&gt;"",I13,IF(E13&lt;&gt;"",E13,""))))</f>
        <v/>
      </c>
      <c r="X13" s="18">
        <f>IF(U13="","",U13*N(Produits!$E$12))</f>
        <v/>
      </c>
    </row>
    <row r="14">
      <c r="A14" s="33">
        <f>IF(Produits!$A$13="","",Produits!$A$13)</f>
        <v/>
      </c>
      <c r="B14" s="34">
        <f>IF(Produits!$A$13="","",Produits!$C$13)</f>
        <v/>
      </c>
      <c r="C14" s="34">
        <f>IF(Produits!$A$13="","",Produits!$D$13)</f>
        <v/>
      </c>
      <c r="D14" s="32" t="n"/>
      <c r="E14" s="29" t="n"/>
      <c r="F14" s="29" t="n"/>
      <c r="G14" s="29" t="n"/>
      <c r="H14" s="32" t="n"/>
      <c r="I14" s="29" t="n"/>
      <c r="J14" s="29" t="n"/>
      <c r="K14" s="29" t="n"/>
      <c r="L14" s="32" t="n"/>
      <c r="M14" s="29" t="n"/>
      <c r="N14" s="29" t="n"/>
      <c r="O14" s="29" t="n"/>
      <c r="P14" s="32" t="n"/>
      <c r="Q14" s="29" t="n"/>
      <c r="R14" s="29" t="n"/>
      <c r="S14" s="29" t="n"/>
      <c r="T14" s="22">
        <f>IF(COUNT(F14,J14,N14,R14)=0,"",SUM(F14,J14,N14,R14))</f>
        <v/>
      </c>
      <c r="U14" s="22">
        <f>IF(COUNT(G14,K14,O14,S14)=0,"",SUM(G14,K14,O14,S14))</f>
        <v/>
      </c>
      <c r="V14" s="22">
        <f>IF(OR(T14="",U14=""),"",U14-T14)</f>
        <v/>
      </c>
      <c r="W14" s="22">
        <f>IF(Q14&lt;&gt;"",Q14,IF(M14&lt;&gt;"",M14,IF(I14&lt;&gt;"",I14,IF(E14&lt;&gt;"",E14,""))))</f>
        <v/>
      </c>
      <c r="X14" s="18">
        <f>IF(U14="","",U14*N(Produits!$E$13))</f>
        <v/>
      </c>
    </row>
    <row r="15">
      <c r="A15" s="33">
        <f>IF(Produits!$A$14="","",Produits!$A$14)</f>
        <v/>
      </c>
      <c r="B15" s="34">
        <f>IF(Produits!$A$14="","",Produits!$C$14)</f>
        <v/>
      </c>
      <c r="C15" s="34">
        <f>IF(Produits!$A$14="","",Produits!$D$14)</f>
        <v/>
      </c>
      <c r="D15" s="32" t="n"/>
      <c r="E15" s="29" t="n"/>
      <c r="F15" s="29" t="n"/>
      <c r="G15" s="29" t="n"/>
      <c r="H15" s="32" t="n"/>
      <c r="I15" s="29" t="n"/>
      <c r="J15" s="29" t="n"/>
      <c r="K15" s="29" t="n"/>
      <c r="L15" s="32" t="n"/>
      <c r="M15" s="29" t="n"/>
      <c r="N15" s="29" t="n"/>
      <c r="O15" s="29" t="n"/>
      <c r="P15" s="32" t="n"/>
      <c r="Q15" s="29" t="n"/>
      <c r="R15" s="29" t="n"/>
      <c r="S15" s="29" t="n"/>
      <c r="T15" s="22">
        <f>IF(COUNT(F15,J15,N15,R15)=0,"",SUM(F15,J15,N15,R15))</f>
        <v/>
      </c>
      <c r="U15" s="22">
        <f>IF(COUNT(G15,K15,O15,S15)=0,"",SUM(G15,K15,O15,S15))</f>
        <v/>
      </c>
      <c r="V15" s="22">
        <f>IF(OR(T15="",U15=""),"",U15-T15)</f>
        <v/>
      </c>
      <c r="W15" s="22">
        <f>IF(Q15&lt;&gt;"",Q15,IF(M15&lt;&gt;"",M15,IF(I15&lt;&gt;"",I15,IF(E15&lt;&gt;"",E15,""))))</f>
        <v/>
      </c>
      <c r="X15" s="18">
        <f>IF(U15="","",U15*N(Produits!$E$14))</f>
        <v/>
      </c>
    </row>
    <row r="16">
      <c r="A16" s="33">
        <f>IF(Produits!$A$15="","",Produits!$A$15)</f>
        <v/>
      </c>
      <c r="B16" s="34">
        <f>IF(Produits!$A$15="","",Produits!$C$15)</f>
        <v/>
      </c>
      <c r="C16" s="34">
        <f>IF(Produits!$A$15="","",Produits!$D$15)</f>
        <v/>
      </c>
      <c r="D16" s="32" t="n"/>
      <c r="E16" s="29" t="n"/>
      <c r="F16" s="29" t="n"/>
      <c r="G16" s="29" t="n"/>
      <c r="H16" s="32" t="n"/>
      <c r="I16" s="29" t="n"/>
      <c r="J16" s="29" t="n"/>
      <c r="K16" s="29" t="n"/>
      <c r="L16" s="32" t="n"/>
      <c r="M16" s="29" t="n"/>
      <c r="N16" s="29" t="n"/>
      <c r="O16" s="29" t="n"/>
      <c r="P16" s="32" t="n"/>
      <c r="Q16" s="29" t="n"/>
      <c r="R16" s="29" t="n"/>
      <c r="S16" s="29" t="n"/>
      <c r="T16" s="22">
        <f>IF(COUNT(F16,J16,N16,R16)=0,"",SUM(F16,J16,N16,R16))</f>
        <v/>
      </c>
      <c r="U16" s="22">
        <f>IF(COUNT(G16,K16,O16,S16)=0,"",SUM(G16,K16,O16,S16))</f>
        <v/>
      </c>
      <c r="V16" s="22">
        <f>IF(OR(T16="",U16=""),"",U16-T16)</f>
        <v/>
      </c>
      <c r="W16" s="22">
        <f>IF(Q16&lt;&gt;"",Q16,IF(M16&lt;&gt;"",M16,IF(I16&lt;&gt;"",I16,IF(E16&lt;&gt;"",E16,""))))</f>
        <v/>
      </c>
      <c r="X16" s="18">
        <f>IF(U16="","",U16*N(Produits!$E$15))</f>
        <v/>
      </c>
    </row>
    <row r="17">
      <c r="A17" s="33">
        <f>IF(Produits!$A$16="","",Produits!$A$16)</f>
        <v/>
      </c>
      <c r="B17" s="34">
        <f>IF(Produits!$A$16="","",Produits!$C$16)</f>
        <v/>
      </c>
      <c r="C17" s="34">
        <f>IF(Produits!$A$16="","",Produits!$D$16)</f>
        <v/>
      </c>
      <c r="D17" s="32" t="n"/>
      <c r="E17" s="29" t="n"/>
      <c r="F17" s="29" t="n"/>
      <c r="G17" s="29" t="n"/>
      <c r="H17" s="32" t="n"/>
      <c r="I17" s="29" t="n"/>
      <c r="J17" s="29" t="n"/>
      <c r="K17" s="29" t="n"/>
      <c r="L17" s="32" t="n"/>
      <c r="M17" s="29" t="n"/>
      <c r="N17" s="29" t="n"/>
      <c r="O17" s="29" t="n"/>
      <c r="P17" s="32" t="n"/>
      <c r="Q17" s="29" t="n"/>
      <c r="R17" s="29" t="n"/>
      <c r="S17" s="29" t="n"/>
      <c r="T17" s="22">
        <f>IF(COUNT(F17,J17,N17,R17)=0,"",SUM(F17,J17,N17,R17))</f>
        <v/>
      </c>
      <c r="U17" s="22">
        <f>IF(COUNT(G17,K17,O17,S17)=0,"",SUM(G17,K17,O17,S17))</f>
        <v/>
      </c>
      <c r="V17" s="22">
        <f>IF(OR(T17="",U17=""),"",U17-T17)</f>
        <v/>
      </c>
      <c r="W17" s="22">
        <f>IF(Q17&lt;&gt;"",Q17,IF(M17&lt;&gt;"",M17,IF(I17&lt;&gt;"",I17,IF(E17&lt;&gt;"",E17,""))))</f>
        <v/>
      </c>
      <c r="X17" s="18">
        <f>IF(U17="","",U17*N(Produits!$E$16))</f>
        <v/>
      </c>
    </row>
    <row r="18">
      <c r="A18" s="33">
        <f>IF(Produits!$A$17="","",Produits!$A$17)</f>
        <v/>
      </c>
      <c r="B18" s="34">
        <f>IF(Produits!$A$17="","",Produits!$C$17)</f>
        <v/>
      </c>
      <c r="C18" s="34">
        <f>IF(Produits!$A$17="","",Produits!$D$17)</f>
        <v/>
      </c>
      <c r="D18" s="32" t="n"/>
      <c r="E18" s="29" t="n"/>
      <c r="F18" s="29" t="n"/>
      <c r="G18" s="29" t="n"/>
      <c r="H18" s="32" t="n"/>
      <c r="I18" s="29" t="n"/>
      <c r="J18" s="29" t="n"/>
      <c r="K18" s="29" t="n"/>
      <c r="L18" s="32" t="n"/>
      <c r="M18" s="29" t="n"/>
      <c r="N18" s="29" t="n"/>
      <c r="O18" s="29" t="n"/>
      <c r="P18" s="32" t="n"/>
      <c r="Q18" s="29" t="n"/>
      <c r="R18" s="29" t="n"/>
      <c r="S18" s="29" t="n"/>
      <c r="T18" s="22">
        <f>IF(COUNT(F18,J18,N18,R18)=0,"",SUM(F18,J18,N18,R18))</f>
        <v/>
      </c>
      <c r="U18" s="22">
        <f>IF(COUNT(G18,K18,O18,S18)=0,"",SUM(G18,K18,O18,S18))</f>
        <v/>
      </c>
      <c r="V18" s="22">
        <f>IF(OR(T18="",U18=""),"",U18-T18)</f>
        <v/>
      </c>
      <c r="W18" s="22">
        <f>IF(Q18&lt;&gt;"",Q18,IF(M18&lt;&gt;"",M18,IF(I18&lt;&gt;"",I18,IF(E18&lt;&gt;"",E18,""))))</f>
        <v/>
      </c>
      <c r="X18" s="18">
        <f>IF(U18="","",U18*N(Produits!$E$17))</f>
        <v/>
      </c>
    </row>
    <row r="19">
      <c r="A19" s="33">
        <f>IF(Produits!$A$18="","",Produits!$A$18)</f>
        <v/>
      </c>
      <c r="B19" s="34">
        <f>IF(Produits!$A$18="","",Produits!$C$18)</f>
        <v/>
      </c>
      <c r="C19" s="34">
        <f>IF(Produits!$A$18="","",Produits!$D$18)</f>
        <v/>
      </c>
      <c r="D19" s="32" t="n"/>
      <c r="E19" s="29" t="n"/>
      <c r="F19" s="29" t="n"/>
      <c r="G19" s="29" t="n"/>
      <c r="H19" s="32" t="n"/>
      <c r="I19" s="29" t="n"/>
      <c r="J19" s="29" t="n"/>
      <c r="K19" s="29" t="n"/>
      <c r="L19" s="32" t="n"/>
      <c r="M19" s="29" t="n"/>
      <c r="N19" s="29" t="n"/>
      <c r="O19" s="29" t="n"/>
      <c r="P19" s="32" t="n"/>
      <c r="Q19" s="29" t="n"/>
      <c r="R19" s="29" t="n"/>
      <c r="S19" s="29" t="n"/>
      <c r="T19" s="22">
        <f>IF(COUNT(F19,J19,N19,R19)=0,"",SUM(F19,J19,N19,R19))</f>
        <v/>
      </c>
      <c r="U19" s="22">
        <f>IF(COUNT(G19,K19,O19,S19)=0,"",SUM(G19,K19,O19,S19))</f>
        <v/>
      </c>
      <c r="V19" s="22">
        <f>IF(OR(T19="",U19=""),"",U19-T19)</f>
        <v/>
      </c>
      <c r="W19" s="22">
        <f>IF(Q19&lt;&gt;"",Q19,IF(M19&lt;&gt;"",M19,IF(I19&lt;&gt;"",I19,IF(E19&lt;&gt;"",E19,""))))</f>
        <v/>
      </c>
      <c r="X19" s="18">
        <f>IF(U19="","",U19*N(Produits!$E$18))</f>
        <v/>
      </c>
    </row>
    <row r="20">
      <c r="A20" s="33">
        <f>IF(Produits!$A$19="","",Produits!$A$19)</f>
        <v/>
      </c>
      <c r="B20" s="34">
        <f>IF(Produits!$A$19="","",Produits!$C$19)</f>
        <v/>
      </c>
      <c r="C20" s="34">
        <f>IF(Produits!$A$19="","",Produits!$D$19)</f>
        <v/>
      </c>
      <c r="D20" s="32" t="n"/>
      <c r="E20" s="29" t="n"/>
      <c r="F20" s="29" t="n"/>
      <c r="G20" s="29" t="n"/>
      <c r="H20" s="32" t="n"/>
      <c r="I20" s="29" t="n"/>
      <c r="J20" s="29" t="n"/>
      <c r="K20" s="29" t="n"/>
      <c r="L20" s="32" t="n"/>
      <c r="M20" s="29" t="n"/>
      <c r="N20" s="29" t="n"/>
      <c r="O20" s="29" t="n"/>
      <c r="P20" s="32" t="n"/>
      <c r="Q20" s="29" t="n"/>
      <c r="R20" s="29" t="n"/>
      <c r="S20" s="29" t="n"/>
      <c r="T20" s="22">
        <f>IF(COUNT(F20,J20,N20,R20)=0,"",SUM(F20,J20,N20,R20))</f>
        <v/>
      </c>
      <c r="U20" s="22">
        <f>IF(COUNT(G20,K20,O20,S20)=0,"",SUM(G20,K20,O20,S20))</f>
        <v/>
      </c>
      <c r="V20" s="22">
        <f>IF(OR(T20="",U20=""),"",U20-T20)</f>
        <v/>
      </c>
      <c r="W20" s="22">
        <f>IF(Q20&lt;&gt;"",Q20,IF(M20&lt;&gt;"",M20,IF(I20&lt;&gt;"",I20,IF(E20&lt;&gt;"",E20,""))))</f>
        <v/>
      </c>
      <c r="X20" s="18">
        <f>IF(U20="","",U20*N(Produits!$E$19))</f>
        <v/>
      </c>
    </row>
    <row r="21">
      <c r="A21" s="33">
        <f>IF(Produits!$A$20="","",Produits!$A$20)</f>
        <v/>
      </c>
      <c r="B21" s="34">
        <f>IF(Produits!$A$20="","",Produits!$C$20)</f>
        <v/>
      </c>
      <c r="C21" s="34">
        <f>IF(Produits!$A$20="","",Produits!$D$20)</f>
        <v/>
      </c>
      <c r="D21" s="32" t="n"/>
      <c r="E21" s="29" t="n"/>
      <c r="F21" s="29" t="n"/>
      <c r="G21" s="29" t="n"/>
      <c r="H21" s="32" t="n"/>
      <c r="I21" s="29" t="n"/>
      <c r="J21" s="29" t="n"/>
      <c r="K21" s="29" t="n"/>
      <c r="L21" s="32" t="n"/>
      <c r="M21" s="29" t="n"/>
      <c r="N21" s="29" t="n"/>
      <c r="O21" s="29" t="n"/>
      <c r="P21" s="32" t="n"/>
      <c r="Q21" s="29" t="n"/>
      <c r="R21" s="29" t="n"/>
      <c r="S21" s="29" t="n"/>
      <c r="T21" s="22">
        <f>IF(COUNT(F21,J21,N21,R21)=0,"",SUM(F21,J21,N21,R21))</f>
        <v/>
      </c>
      <c r="U21" s="22">
        <f>IF(COUNT(G21,K21,O21,S21)=0,"",SUM(G21,K21,O21,S21))</f>
        <v/>
      </c>
      <c r="V21" s="22">
        <f>IF(OR(T21="",U21=""),"",U21-T21)</f>
        <v/>
      </c>
      <c r="W21" s="22">
        <f>IF(Q21&lt;&gt;"",Q21,IF(M21&lt;&gt;"",M21,IF(I21&lt;&gt;"",I21,IF(E21&lt;&gt;"",E21,""))))</f>
        <v/>
      </c>
      <c r="X21" s="18">
        <f>IF(U21="","",U21*N(Produits!$E$20))</f>
        <v/>
      </c>
    </row>
    <row r="22" ht="20" customHeight="1">
      <c r="A22" s="23" t="inlineStr">
        <is>
          <t>CHAMBRE FROIDE POSITIVE</t>
        </is>
      </c>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row>
    <row r="23">
      <c r="A23" s="33">
        <f>IF(Produits!$A$22="","",Produits!$A$22)</f>
        <v/>
      </c>
      <c r="B23" s="34">
        <f>IF(Produits!$A$22="","",Produits!$C$22)</f>
        <v/>
      </c>
      <c r="C23" s="34">
        <f>IF(Produits!$A$22="","",Produits!$D$22)</f>
        <v/>
      </c>
      <c r="D23" s="32" t="n"/>
      <c r="E23" s="29" t="n"/>
      <c r="F23" s="29" t="n"/>
      <c r="G23" s="29" t="n"/>
      <c r="H23" s="32" t="n"/>
      <c r="I23" s="29" t="n"/>
      <c r="J23" s="29" t="n"/>
      <c r="K23" s="29" t="n"/>
      <c r="L23" s="32" t="n"/>
      <c r="M23" s="29" t="n"/>
      <c r="N23" s="29" t="n"/>
      <c r="O23" s="29" t="n"/>
      <c r="P23" s="32" t="n"/>
      <c r="Q23" s="29" t="n"/>
      <c r="R23" s="29" t="n"/>
      <c r="S23" s="29" t="n"/>
      <c r="T23" s="22">
        <f>IF(COUNT(F23,J23,N23,R23)=0,"",SUM(F23,J23,N23,R23))</f>
        <v/>
      </c>
      <c r="U23" s="22">
        <f>IF(COUNT(G23,K23,O23,S23)=0,"",SUM(G23,K23,O23,S23))</f>
        <v/>
      </c>
      <c r="V23" s="22">
        <f>IF(OR(T23="",U23=""),"",U23-T23)</f>
        <v/>
      </c>
      <c r="W23" s="22">
        <f>IF(Q23&lt;&gt;"",Q23,IF(M23&lt;&gt;"",M23,IF(I23&lt;&gt;"",I23,IF(E23&lt;&gt;"",E23,""))))</f>
        <v/>
      </c>
      <c r="X23" s="18">
        <f>IF(U23="","",U23*N(Produits!$E$22))</f>
        <v/>
      </c>
    </row>
    <row r="24">
      <c r="A24" s="33">
        <f>IF(Produits!$A$23="","",Produits!$A$23)</f>
        <v/>
      </c>
      <c r="B24" s="34">
        <f>IF(Produits!$A$23="","",Produits!$C$23)</f>
        <v/>
      </c>
      <c r="C24" s="34">
        <f>IF(Produits!$A$23="","",Produits!$D$23)</f>
        <v/>
      </c>
      <c r="D24" s="32" t="n"/>
      <c r="E24" s="29" t="n"/>
      <c r="F24" s="29" t="n"/>
      <c r="G24" s="29" t="n"/>
      <c r="H24" s="32" t="n"/>
      <c r="I24" s="29" t="n"/>
      <c r="J24" s="29" t="n"/>
      <c r="K24" s="29" t="n"/>
      <c r="L24" s="32" t="n"/>
      <c r="M24" s="29" t="n"/>
      <c r="N24" s="29" t="n"/>
      <c r="O24" s="29" t="n"/>
      <c r="P24" s="32" t="n"/>
      <c r="Q24" s="29" t="n"/>
      <c r="R24" s="29" t="n"/>
      <c r="S24" s="29" t="n"/>
      <c r="T24" s="22">
        <f>IF(COUNT(F24,J24,N24,R24)=0,"",SUM(F24,J24,N24,R24))</f>
        <v/>
      </c>
      <c r="U24" s="22">
        <f>IF(COUNT(G24,K24,O24,S24)=0,"",SUM(G24,K24,O24,S24))</f>
        <v/>
      </c>
      <c r="V24" s="22">
        <f>IF(OR(T24="",U24=""),"",U24-T24)</f>
        <v/>
      </c>
      <c r="W24" s="22">
        <f>IF(Q24&lt;&gt;"",Q24,IF(M24&lt;&gt;"",M24,IF(I24&lt;&gt;"",I24,IF(E24&lt;&gt;"",E24,""))))</f>
        <v/>
      </c>
      <c r="X24" s="18">
        <f>IF(U24="","",U24*N(Produits!$E$23))</f>
        <v/>
      </c>
    </row>
    <row r="25">
      <c r="A25" s="33">
        <f>IF(Produits!$A$24="","",Produits!$A$24)</f>
        <v/>
      </c>
      <c r="B25" s="34">
        <f>IF(Produits!$A$24="","",Produits!$C$24)</f>
        <v/>
      </c>
      <c r="C25" s="34">
        <f>IF(Produits!$A$24="","",Produits!$D$24)</f>
        <v/>
      </c>
      <c r="D25" s="32" t="n"/>
      <c r="E25" s="29" t="n"/>
      <c r="F25" s="29" t="n"/>
      <c r="G25" s="29" t="n"/>
      <c r="H25" s="32" t="n"/>
      <c r="I25" s="29" t="n"/>
      <c r="J25" s="29" t="n"/>
      <c r="K25" s="29" t="n"/>
      <c r="L25" s="32" t="n"/>
      <c r="M25" s="29" t="n"/>
      <c r="N25" s="29" t="n"/>
      <c r="O25" s="29" t="n"/>
      <c r="P25" s="32" t="n"/>
      <c r="Q25" s="29" t="n"/>
      <c r="R25" s="29" t="n"/>
      <c r="S25" s="29" t="n"/>
      <c r="T25" s="22">
        <f>IF(COUNT(F25,J25,N25,R25)=0,"",SUM(F25,J25,N25,R25))</f>
        <v/>
      </c>
      <c r="U25" s="22">
        <f>IF(COUNT(G25,K25,O25,S25)=0,"",SUM(G25,K25,O25,S25))</f>
        <v/>
      </c>
      <c r="V25" s="22">
        <f>IF(OR(T25="",U25=""),"",U25-T25)</f>
        <v/>
      </c>
      <c r="W25" s="22">
        <f>IF(Q25&lt;&gt;"",Q25,IF(M25&lt;&gt;"",M25,IF(I25&lt;&gt;"",I25,IF(E25&lt;&gt;"",E25,""))))</f>
        <v/>
      </c>
      <c r="X25" s="18">
        <f>IF(U25="","",U25*N(Produits!$E$24))</f>
        <v/>
      </c>
    </row>
    <row r="26">
      <c r="A26" s="33">
        <f>IF(Produits!$A$25="","",Produits!$A$25)</f>
        <v/>
      </c>
      <c r="B26" s="34">
        <f>IF(Produits!$A$25="","",Produits!$C$25)</f>
        <v/>
      </c>
      <c r="C26" s="34">
        <f>IF(Produits!$A$25="","",Produits!$D$25)</f>
        <v/>
      </c>
      <c r="D26" s="32" t="n"/>
      <c r="E26" s="29" t="n"/>
      <c r="F26" s="29" t="n"/>
      <c r="G26" s="29" t="n"/>
      <c r="H26" s="32" t="n"/>
      <c r="I26" s="29" t="n"/>
      <c r="J26" s="29" t="n"/>
      <c r="K26" s="29" t="n"/>
      <c r="L26" s="32" t="n"/>
      <c r="M26" s="29" t="n"/>
      <c r="N26" s="29" t="n"/>
      <c r="O26" s="29" t="n"/>
      <c r="P26" s="32" t="n"/>
      <c r="Q26" s="29" t="n"/>
      <c r="R26" s="29" t="n"/>
      <c r="S26" s="29" t="n"/>
      <c r="T26" s="22">
        <f>IF(COUNT(F26,J26,N26,R26)=0,"",SUM(F26,J26,N26,R26))</f>
        <v/>
      </c>
      <c r="U26" s="22">
        <f>IF(COUNT(G26,K26,O26,S26)=0,"",SUM(G26,K26,O26,S26))</f>
        <v/>
      </c>
      <c r="V26" s="22">
        <f>IF(OR(T26="",U26=""),"",U26-T26)</f>
        <v/>
      </c>
      <c r="W26" s="22">
        <f>IF(Q26&lt;&gt;"",Q26,IF(M26&lt;&gt;"",M26,IF(I26&lt;&gt;"",I26,IF(E26&lt;&gt;"",E26,""))))</f>
        <v/>
      </c>
      <c r="X26" s="18">
        <f>IF(U26="","",U26*N(Produits!$E$25))</f>
        <v/>
      </c>
    </row>
    <row r="27">
      <c r="A27" s="33">
        <f>IF(Produits!$A$26="","",Produits!$A$26)</f>
        <v/>
      </c>
      <c r="B27" s="34">
        <f>IF(Produits!$A$26="","",Produits!$C$26)</f>
        <v/>
      </c>
      <c r="C27" s="34">
        <f>IF(Produits!$A$26="","",Produits!$D$26)</f>
        <v/>
      </c>
      <c r="D27" s="32" t="n"/>
      <c r="E27" s="29" t="n"/>
      <c r="F27" s="29" t="n"/>
      <c r="G27" s="29" t="n"/>
      <c r="H27" s="32" t="n"/>
      <c r="I27" s="29" t="n"/>
      <c r="J27" s="29" t="n"/>
      <c r="K27" s="29" t="n"/>
      <c r="L27" s="32" t="n"/>
      <c r="M27" s="29" t="n"/>
      <c r="N27" s="29" t="n"/>
      <c r="O27" s="29" t="n"/>
      <c r="P27" s="32" t="n"/>
      <c r="Q27" s="29" t="n"/>
      <c r="R27" s="29" t="n"/>
      <c r="S27" s="29" t="n"/>
      <c r="T27" s="22">
        <f>IF(COUNT(F27,J27,N27,R27)=0,"",SUM(F27,J27,N27,R27))</f>
        <v/>
      </c>
      <c r="U27" s="22">
        <f>IF(COUNT(G27,K27,O27,S27)=0,"",SUM(G27,K27,O27,S27))</f>
        <v/>
      </c>
      <c r="V27" s="22">
        <f>IF(OR(T27="",U27=""),"",U27-T27)</f>
        <v/>
      </c>
      <c r="W27" s="22">
        <f>IF(Q27&lt;&gt;"",Q27,IF(M27&lt;&gt;"",M27,IF(I27&lt;&gt;"",I27,IF(E27&lt;&gt;"",E27,""))))</f>
        <v/>
      </c>
      <c r="X27" s="18">
        <f>IF(U27="","",U27*N(Produits!$E$26))</f>
        <v/>
      </c>
    </row>
    <row r="28">
      <c r="A28" s="33">
        <f>IF(Produits!$A$27="","",Produits!$A$27)</f>
        <v/>
      </c>
      <c r="B28" s="34">
        <f>IF(Produits!$A$27="","",Produits!$C$27)</f>
        <v/>
      </c>
      <c r="C28" s="34">
        <f>IF(Produits!$A$27="","",Produits!$D$27)</f>
        <v/>
      </c>
      <c r="D28" s="32" t="n"/>
      <c r="E28" s="29" t="n"/>
      <c r="F28" s="29" t="n"/>
      <c r="G28" s="29" t="n"/>
      <c r="H28" s="32" t="n"/>
      <c r="I28" s="29" t="n"/>
      <c r="J28" s="29" t="n"/>
      <c r="K28" s="29" t="n"/>
      <c r="L28" s="32" t="n"/>
      <c r="M28" s="29" t="n"/>
      <c r="N28" s="29" t="n"/>
      <c r="O28" s="29" t="n"/>
      <c r="P28" s="32" t="n"/>
      <c r="Q28" s="29" t="n"/>
      <c r="R28" s="29" t="n"/>
      <c r="S28" s="29" t="n"/>
      <c r="T28" s="22">
        <f>IF(COUNT(F28,J28,N28,R28)=0,"",SUM(F28,J28,N28,R28))</f>
        <v/>
      </c>
      <c r="U28" s="22">
        <f>IF(COUNT(G28,K28,O28,S28)=0,"",SUM(G28,K28,O28,S28))</f>
        <v/>
      </c>
      <c r="V28" s="22">
        <f>IF(OR(T28="",U28=""),"",U28-T28)</f>
        <v/>
      </c>
      <c r="W28" s="22">
        <f>IF(Q28&lt;&gt;"",Q28,IF(M28&lt;&gt;"",M28,IF(I28&lt;&gt;"",I28,IF(E28&lt;&gt;"",E28,""))))</f>
        <v/>
      </c>
      <c r="X28" s="18">
        <f>IF(U28="","",U28*N(Produits!$E$27))</f>
        <v/>
      </c>
    </row>
    <row r="29">
      <c r="A29" s="33">
        <f>IF(Produits!$A$28="","",Produits!$A$28)</f>
        <v/>
      </c>
      <c r="B29" s="34">
        <f>IF(Produits!$A$28="","",Produits!$C$28)</f>
        <v/>
      </c>
      <c r="C29" s="34">
        <f>IF(Produits!$A$28="","",Produits!$D$28)</f>
        <v/>
      </c>
      <c r="D29" s="32" t="n"/>
      <c r="E29" s="29" t="n"/>
      <c r="F29" s="29" t="n"/>
      <c r="G29" s="29" t="n"/>
      <c r="H29" s="32" t="n"/>
      <c r="I29" s="29" t="n"/>
      <c r="J29" s="29" t="n"/>
      <c r="K29" s="29" t="n"/>
      <c r="L29" s="32" t="n"/>
      <c r="M29" s="29" t="n"/>
      <c r="N29" s="29" t="n"/>
      <c r="O29" s="29" t="n"/>
      <c r="P29" s="32" t="n"/>
      <c r="Q29" s="29" t="n"/>
      <c r="R29" s="29" t="n"/>
      <c r="S29" s="29" t="n"/>
      <c r="T29" s="22">
        <f>IF(COUNT(F29,J29,N29,R29)=0,"",SUM(F29,J29,N29,R29))</f>
        <v/>
      </c>
      <c r="U29" s="22">
        <f>IF(COUNT(G29,K29,O29,S29)=0,"",SUM(G29,K29,O29,S29))</f>
        <v/>
      </c>
      <c r="V29" s="22">
        <f>IF(OR(T29="",U29=""),"",U29-T29)</f>
        <v/>
      </c>
      <c r="W29" s="22">
        <f>IF(Q29&lt;&gt;"",Q29,IF(M29&lt;&gt;"",M29,IF(I29&lt;&gt;"",I29,IF(E29&lt;&gt;"",E29,""))))</f>
        <v/>
      </c>
      <c r="X29" s="18">
        <f>IF(U29="","",U29*N(Produits!$E$28))</f>
        <v/>
      </c>
    </row>
    <row r="30">
      <c r="A30" s="33">
        <f>IF(Produits!$A$29="","",Produits!$A$29)</f>
        <v/>
      </c>
      <c r="B30" s="34">
        <f>IF(Produits!$A$29="","",Produits!$C$29)</f>
        <v/>
      </c>
      <c r="C30" s="34">
        <f>IF(Produits!$A$29="","",Produits!$D$29)</f>
        <v/>
      </c>
      <c r="D30" s="32" t="n"/>
      <c r="E30" s="29" t="n"/>
      <c r="F30" s="29" t="n"/>
      <c r="G30" s="29" t="n"/>
      <c r="H30" s="32" t="n"/>
      <c r="I30" s="29" t="n"/>
      <c r="J30" s="29" t="n"/>
      <c r="K30" s="29" t="n"/>
      <c r="L30" s="32" t="n"/>
      <c r="M30" s="29" t="n"/>
      <c r="N30" s="29" t="n"/>
      <c r="O30" s="29" t="n"/>
      <c r="P30" s="32" t="n"/>
      <c r="Q30" s="29" t="n"/>
      <c r="R30" s="29" t="n"/>
      <c r="S30" s="29" t="n"/>
      <c r="T30" s="22">
        <f>IF(COUNT(F30,J30,N30,R30)=0,"",SUM(F30,J30,N30,R30))</f>
        <v/>
      </c>
      <c r="U30" s="22">
        <f>IF(COUNT(G30,K30,O30,S30)=0,"",SUM(G30,K30,O30,S30))</f>
        <v/>
      </c>
      <c r="V30" s="22">
        <f>IF(OR(T30="",U30=""),"",U30-T30)</f>
        <v/>
      </c>
      <c r="W30" s="22">
        <f>IF(Q30&lt;&gt;"",Q30,IF(M30&lt;&gt;"",M30,IF(I30&lt;&gt;"",I30,IF(E30&lt;&gt;"",E30,""))))</f>
        <v/>
      </c>
      <c r="X30" s="18">
        <f>IF(U30="","",U30*N(Produits!$E$29))</f>
        <v/>
      </c>
    </row>
    <row r="31">
      <c r="A31" s="33">
        <f>IF(Produits!$A$30="","",Produits!$A$30)</f>
        <v/>
      </c>
      <c r="B31" s="34">
        <f>IF(Produits!$A$30="","",Produits!$C$30)</f>
        <v/>
      </c>
      <c r="C31" s="34">
        <f>IF(Produits!$A$30="","",Produits!$D$30)</f>
        <v/>
      </c>
      <c r="D31" s="32" t="n"/>
      <c r="E31" s="29" t="n"/>
      <c r="F31" s="29" t="n"/>
      <c r="G31" s="29" t="n"/>
      <c r="H31" s="32" t="n"/>
      <c r="I31" s="29" t="n"/>
      <c r="J31" s="29" t="n"/>
      <c r="K31" s="29" t="n"/>
      <c r="L31" s="32" t="n"/>
      <c r="M31" s="29" t="n"/>
      <c r="N31" s="29" t="n"/>
      <c r="O31" s="29" t="n"/>
      <c r="P31" s="32" t="n"/>
      <c r="Q31" s="29" t="n"/>
      <c r="R31" s="29" t="n"/>
      <c r="S31" s="29" t="n"/>
      <c r="T31" s="22">
        <f>IF(COUNT(F31,J31,N31,R31)=0,"",SUM(F31,J31,N31,R31))</f>
        <v/>
      </c>
      <c r="U31" s="22">
        <f>IF(COUNT(G31,K31,O31,S31)=0,"",SUM(G31,K31,O31,S31))</f>
        <v/>
      </c>
      <c r="V31" s="22">
        <f>IF(OR(T31="",U31=""),"",U31-T31)</f>
        <v/>
      </c>
      <c r="W31" s="22">
        <f>IF(Q31&lt;&gt;"",Q31,IF(M31&lt;&gt;"",M31,IF(I31&lt;&gt;"",I31,IF(E31&lt;&gt;"",E31,""))))</f>
        <v/>
      </c>
      <c r="X31" s="18">
        <f>IF(U31="","",U31*N(Produits!$E$30))</f>
        <v/>
      </c>
    </row>
    <row r="32">
      <c r="A32" s="33">
        <f>IF(Produits!$A$31="","",Produits!$A$31)</f>
        <v/>
      </c>
      <c r="B32" s="34">
        <f>IF(Produits!$A$31="","",Produits!$C$31)</f>
        <v/>
      </c>
      <c r="C32" s="34">
        <f>IF(Produits!$A$31="","",Produits!$D$31)</f>
        <v/>
      </c>
      <c r="D32" s="32" t="n"/>
      <c r="E32" s="29" t="n"/>
      <c r="F32" s="29" t="n"/>
      <c r="G32" s="29" t="n"/>
      <c r="H32" s="32" t="n"/>
      <c r="I32" s="29" t="n"/>
      <c r="J32" s="29" t="n"/>
      <c r="K32" s="29" t="n"/>
      <c r="L32" s="32" t="n"/>
      <c r="M32" s="29" t="n"/>
      <c r="N32" s="29" t="n"/>
      <c r="O32" s="29" t="n"/>
      <c r="P32" s="32" t="n"/>
      <c r="Q32" s="29" t="n"/>
      <c r="R32" s="29" t="n"/>
      <c r="S32" s="29" t="n"/>
      <c r="T32" s="22">
        <f>IF(COUNT(F32,J32,N32,R32)=0,"",SUM(F32,J32,N32,R32))</f>
        <v/>
      </c>
      <c r="U32" s="22">
        <f>IF(COUNT(G32,K32,O32,S32)=0,"",SUM(G32,K32,O32,S32))</f>
        <v/>
      </c>
      <c r="V32" s="22">
        <f>IF(OR(T32="",U32=""),"",U32-T32)</f>
        <v/>
      </c>
      <c r="W32" s="22">
        <f>IF(Q32&lt;&gt;"",Q32,IF(M32&lt;&gt;"",M32,IF(I32&lt;&gt;"",I32,IF(E32&lt;&gt;"",E32,""))))</f>
        <v/>
      </c>
      <c r="X32" s="18">
        <f>IF(U32="","",U32*N(Produits!$E$31))</f>
        <v/>
      </c>
    </row>
    <row r="33">
      <c r="A33" s="33">
        <f>IF(Produits!$A$32="","",Produits!$A$32)</f>
        <v/>
      </c>
      <c r="B33" s="34">
        <f>IF(Produits!$A$32="","",Produits!$C$32)</f>
        <v/>
      </c>
      <c r="C33" s="34">
        <f>IF(Produits!$A$32="","",Produits!$D$32)</f>
        <v/>
      </c>
      <c r="D33" s="32" t="n"/>
      <c r="E33" s="29" t="n"/>
      <c r="F33" s="29" t="n"/>
      <c r="G33" s="29" t="n"/>
      <c r="H33" s="32" t="n"/>
      <c r="I33" s="29" t="n"/>
      <c r="J33" s="29" t="n"/>
      <c r="K33" s="29" t="n"/>
      <c r="L33" s="32" t="n"/>
      <c r="M33" s="29" t="n"/>
      <c r="N33" s="29" t="n"/>
      <c r="O33" s="29" t="n"/>
      <c r="P33" s="32" t="n"/>
      <c r="Q33" s="29" t="n"/>
      <c r="R33" s="29" t="n"/>
      <c r="S33" s="29" t="n"/>
      <c r="T33" s="22">
        <f>IF(COUNT(F33,J33,N33,R33)=0,"",SUM(F33,J33,N33,R33))</f>
        <v/>
      </c>
      <c r="U33" s="22">
        <f>IF(COUNT(G33,K33,O33,S33)=0,"",SUM(G33,K33,O33,S33))</f>
        <v/>
      </c>
      <c r="V33" s="22">
        <f>IF(OR(T33="",U33=""),"",U33-T33)</f>
        <v/>
      </c>
      <c r="W33" s="22">
        <f>IF(Q33&lt;&gt;"",Q33,IF(M33&lt;&gt;"",M33,IF(I33&lt;&gt;"",I33,IF(E33&lt;&gt;"",E33,""))))</f>
        <v/>
      </c>
      <c r="X33" s="18">
        <f>IF(U33="","",U33*N(Produits!$E$32))</f>
        <v/>
      </c>
    </row>
    <row r="34">
      <c r="A34" s="33">
        <f>IF(Produits!$A$33="","",Produits!$A$33)</f>
        <v/>
      </c>
      <c r="B34" s="34">
        <f>IF(Produits!$A$33="","",Produits!$C$33)</f>
        <v/>
      </c>
      <c r="C34" s="34">
        <f>IF(Produits!$A$33="","",Produits!$D$33)</f>
        <v/>
      </c>
      <c r="D34" s="32" t="n"/>
      <c r="E34" s="29" t="n"/>
      <c r="F34" s="29" t="n"/>
      <c r="G34" s="29" t="n"/>
      <c r="H34" s="32" t="n"/>
      <c r="I34" s="29" t="n"/>
      <c r="J34" s="29" t="n"/>
      <c r="K34" s="29" t="n"/>
      <c r="L34" s="32" t="n"/>
      <c r="M34" s="29" t="n"/>
      <c r="N34" s="29" t="n"/>
      <c r="O34" s="29" t="n"/>
      <c r="P34" s="32" t="n"/>
      <c r="Q34" s="29" t="n"/>
      <c r="R34" s="29" t="n"/>
      <c r="S34" s="29" t="n"/>
      <c r="T34" s="22">
        <f>IF(COUNT(F34,J34,N34,R34)=0,"",SUM(F34,J34,N34,R34))</f>
        <v/>
      </c>
      <c r="U34" s="22">
        <f>IF(COUNT(G34,K34,O34,S34)=0,"",SUM(G34,K34,O34,S34))</f>
        <v/>
      </c>
      <c r="V34" s="22">
        <f>IF(OR(T34="",U34=""),"",U34-T34)</f>
        <v/>
      </c>
      <c r="W34" s="22">
        <f>IF(Q34&lt;&gt;"",Q34,IF(M34&lt;&gt;"",M34,IF(I34&lt;&gt;"",I34,IF(E34&lt;&gt;"",E34,""))))</f>
        <v/>
      </c>
      <c r="X34" s="18">
        <f>IF(U34="","",U34*N(Produits!$E$33))</f>
        <v/>
      </c>
    </row>
    <row r="35">
      <c r="A35" s="33">
        <f>IF(Produits!$A$34="","",Produits!$A$34)</f>
        <v/>
      </c>
      <c r="B35" s="34">
        <f>IF(Produits!$A$34="","",Produits!$C$34)</f>
        <v/>
      </c>
      <c r="C35" s="34">
        <f>IF(Produits!$A$34="","",Produits!$D$34)</f>
        <v/>
      </c>
      <c r="D35" s="32" t="n"/>
      <c r="E35" s="29" t="n"/>
      <c r="F35" s="29" t="n"/>
      <c r="G35" s="29" t="n"/>
      <c r="H35" s="32" t="n"/>
      <c r="I35" s="29" t="n"/>
      <c r="J35" s="29" t="n"/>
      <c r="K35" s="29" t="n"/>
      <c r="L35" s="32" t="n"/>
      <c r="M35" s="29" t="n"/>
      <c r="N35" s="29" t="n"/>
      <c r="O35" s="29" t="n"/>
      <c r="P35" s="32" t="n"/>
      <c r="Q35" s="29" t="n"/>
      <c r="R35" s="29" t="n"/>
      <c r="S35" s="29" t="n"/>
      <c r="T35" s="22">
        <f>IF(COUNT(F35,J35,N35,R35)=0,"",SUM(F35,J35,N35,R35))</f>
        <v/>
      </c>
      <c r="U35" s="22">
        <f>IF(COUNT(G35,K35,O35,S35)=0,"",SUM(G35,K35,O35,S35))</f>
        <v/>
      </c>
      <c r="V35" s="22">
        <f>IF(OR(T35="",U35=""),"",U35-T35)</f>
        <v/>
      </c>
      <c r="W35" s="22">
        <f>IF(Q35&lt;&gt;"",Q35,IF(M35&lt;&gt;"",M35,IF(I35&lt;&gt;"",I35,IF(E35&lt;&gt;"",E35,""))))</f>
        <v/>
      </c>
      <c r="X35" s="18">
        <f>IF(U35="","",U35*N(Produits!$E$34))</f>
        <v/>
      </c>
    </row>
    <row r="36">
      <c r="A36" s="33">
        <f>IF(Produits!$A$35="","",Produits!$A$35)</f>
        <v/>
      </c>
      <c r="B36" s="34">
        <f>IF(Produits!$A$35="","",Produits!$C$35)</f>
        <v/>
      </c>
      <c r="C36" s="34">
        <f>IF(Produits!$A$35="","",Produits!$D$35)</f>
        <v/>
      </c>
      <c r="D36" s="32" t="n"/>
      <c r="E36" s="29" t="n"/>
      <c r="F36" s="29" t="n"/>
      <c r="G36" s="29" t="n"/>
      <c r="H36" s="32" t="n"/>
      <c r="I36" s="29" t="n"/>
      <c r="J36" s="29" t="n"/>
      <c r="K36" s="29" t="n"/>
      <c r="L36" s="32" t="n"/>
      <c r="M36" s="29" t="n"/>
      <c r="N36" s="29" t="n"/>
      <c r="O36" s="29" t="n"/>
      <c r="P36" s="32" t="n"/>
      <c r="Q36" s="29" t="n"/>
      <c r="R36" s="29" t="n"/>
      <c r="S36" s="29" t="n"/>
      <c r="T36" s="22">
        <f>IF(COUNT(F36,J36,N36,R36)=0,"",SUM(F36,J36,N36,R36))</f>
        <v/>
      </c>
      <c r="U36" s="22">
        <f>IF(COUNT(G36,K36,O36,S36)=0,"",SUM(G36,K36,O36,S36))</f>
        <v/>
      </c>
      <c r="V36" s="22">
        <f>IF(OR(T36="",U36=""),"",U36-T36)</f>
        <v/>
      </c>
      <c r="W36" s="22">
        <f>IF(Q36&lt;&gt;"",Q36,IF(M36&lt;&gt;"",M36,IF(I36&lt;&gt;"",I36,IF(E36&lt;&gt;"",E36,""))))</f>
        <v/>
      </c>
      <c r="X36" s="18">
        <f>IF(U36="","",U36*N(Produits!$E$35))</f>
        <v/>
      </c>
    </row>
    <row r="37">
      <c r="A37" s="33">
        <f>IF(Produits!$A$36="","",Produits!$A$36)</f>
        <v/>
      </c>
      <c r="B37" s="34">
        <f>IF(Produits!$A$36="","",Produits!$C$36)</f>
        <v/>
      </c>
      <c r="C37" s="34">
        <f>IF(Produits!$A$36="","",Produits!$D$36)</f>
        <v/>
      </c>
      <c r="D37" s="32" t="n"/>
      <c r="E37" s="29" t="n"/>
      <c r="F37" s="29" t="n"/>
      <c r="G37" s="29" t="n"/>
      <c r="H37" s="32" t="n"/>
      <c r="I37" s="29" t="n"/>
      <c r="J37" s="29" t="n"/>
      <c r="K37" s="29" t="n"/>
      <c r="L37" s="32" t="n"/>
      <c r="M37" s="29" t="n"/>
      <c r="N37" s="29" t="n"/>
      <c r="O37" s="29" t="n"/>
      <c r="P37" s="32" t="n"/>
      <c r="Q37" s="29" t="n"/>
      <c r="R37" s="29" t="n"/>
      <c r="S37" s="29" t="n"/>
      <c r="T37" s="22">
        <f>IF(COUNT(F37,J37,N37,R37)=0,"",SUM(F37,J37,N37,R37))</f>
        <v/>
      </c>
      <c r="U37" s="22">
        <f>IF(COUNT(G37,K37,O37,S37)=0,"",SUM(G37,K37,O37,S37))</f>
        <v/>
      </c>
      <c r="V37" s="22">
        <f>IF(OR(T37="",U37=""),"",U37-T37)</f>
        <v/>
      </c>
      <c r="W37" s="22">
        <f>IF(Q37&lt;&gt;"",Q37,IF(M37&lt;&gt;"",M37,IF(I37&lt;&gt;"",I37,IF(E37&lt;&gt;"",E37,""))))</f>
        <v/>
      </c>
      <c r="X37" s="18">
        <f>IF(U37="","",U37*N(Produits!$E$36))</f>
        <v/>
      </c>
    </row>
    <row r="38" ht="20" customHeight="1">
      <c r="A38" s="23" t="inlineStr">
        <is>
          <t>CHAMBRE FROIDE NÉGATIVE</t>
        </is>
      </c>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row>
    <row r="39">
      <c r="A39" s="33">
        <f>IF(Produits!$A$38="","",Produits!$A$38)</f>
        <v/>
      </c>
      <c r="B39" s="34">
        <f>IF(Produits!$A$38="","",Produits!$C$38)</f>
        <v/>
      </c>
      <c r="C39" s="34">
        <f>IF(Produits!$A$38="","",Produits!$D$38)</f>
        <v/>
      </c>
      <c r="D39" s="32" t="n"/>
      <c r="E39" s="29" t="n"/>
      <c r="F39" s="29" t="n"/>
      <c r="G39" s="29" t="n"/>
      <c r="H39" s="32" t="n"/>
      <c r="I39" s="29" t="n"/>
      <c r="J39" s="29" t="n"/>
      <c r="K39" s="29" t="n"/>
      <c r="L39" s="32" t="n"/>
      <c r="M39" s="29" t="n"/>
      <c r="N39" s="29" t="n"/>
      <c r="O39" s="29" t="n"/>
      <c r="P39" s="32" t="n"/>
      <c r="Q39" s="29" t="n"/>
      <c r="R39" s="29" t="n"/>
      <c r="S39" s="29" t="n"/>
      <c r="T39" s="22">
        <f>IF(COUNT(F39,J39,N39,R39)=0,"",SUM(F39,J39,N39,R39))</f>
        <v/>
      </c>
      <c r="U39" s="22">
        <f>IF(COUNT(G39,K39,O39,S39)=0,"",SUM(G39,K39,O39,S39))</f>
        <v/>
      </c>
      <c r="V39" s="22">
        <f>IF(OR(T39="",U39=""),"",U39-T39)</f>
        <v/>
      </c>
      <c r="W39" s="22">
        <f>IF(Q39&lt;&gt;"",Q39,IF(M39&lt;&gt;"",M39,IF(I39&lt;&gt;"",I39,IF(E39&lt;&gt;"",E39,""))))</f>
        <v/>
      </c>
      <c r="X39" s="18">
        <f>IF(U39="","",U39*N(Produits!$E$38))</f>
        <v/>
      </c>
    </row>
    <row r="40">
      <c r="A40" s="33">
        <f>IF(Produits!$A$39="","",Produits!$A$39)</f>
        <v/>
      </c>
      <c r="B40" s="34">
        <f>IF(Produits!$A$39="","",Produits!$C$39)</f>
        <v/>
      </c>
      <c r="C40" s="34">
        <f>IF(Produits!$A$39="","",Produits!$D$39)</f>
        <v/>
      </c>
      <c r="D40" s="32" t="n"/>
      <c r="E40" s="29" t="n"/>
      <c r="F40" s="29" t="n"/>
      <c r="G40" s="29" t="n"/>
      <c r="H40" s="32" t="n"/>
      <c r="I40" s="29" t="n"/>
      <c r="J40" s="29" t="n"/>
      <c r="K40" s="29" t="n"/>
      <c r="L40" s="32" t="n"/>
      <c r="M40" s="29" t="n"/>
      <c r="N40" s="29" t="n"/>
      <c r="O40" s="29" t="n"/>
      <c r="P40" s="32" t="n"/>
      <c r="Q40" s="29" t="n"/>
      <c r="R40" s="29" t="n"/>
      <c r="S40" s="29" t="n"/>
      <c r="T40" s="22">
        <f>IF(COUNT(F40,J40,N40,R40)=0,"",SUM(F40,J40,N40,R40))</f>
        <v/>
      </c>
      <c r="U40" s="22">
        <f>IF(COUNT(G40,K40,O40,S40)=0,"",SUM(G40,K40,O40,S40))</f>
        <v/>
      </c>
      <c r="V40" s="22">
        <f>IF(OR(T40="",U40=""),"",U40-T40)</f>
        <v/>
      </c>
      <c r="W40" s="22">
        <f>IF(Q40&lt;&gt;"",Q40,IF(M40&lt;&gt;"",M40,IF(I40&lt;&gt;"",I40,IF(E40&lt;&gt;"",E40,""))))</f>
        <v/>
      </c>
      <c r="X40" s="18">
        <f>IF(U40="","",U40*N(Produits!$E$39))</f>
        <v/>
      </c>
    </row>
    <row r="41">
      <c r="A41" s="33">
        <f>IF(Produits!$A$40="","",Produits!$A$40)</f>
        <v/>
      </c>
      <c r="B41" s="34">
        <f>IF(Produits!$A$40="","",Produits!$C$40)</f>
        <v/>
      </c>
      <c r="C41" s="34">
        <f>IF(Produits!$A$40="","",Produits!$D$40)</f>
        <v/>
      </c>
      <c r="D41" s="32" t="n"/>
      <c r="E41" s="29" t="n"/>
      <c r="F41" s="29" t="n"/>
      <c r="G41" s="29" t="n"/>
      <c r="H41" s="32" t="n"/>
      <c r="I41" s="29" t="n"/>
      <c r="J41" s="29" t="n"/>
      <c r="K41" s="29" t="n"/>
      <c r="L41" s="32" t="n"/>
      <c r="M41" s="29" t="n"/>
      <c r="N41" s="29" t="n"/>
      <c r="O41" s="29" t="n"/>
      <c r="P41" s="32" t="n"/>
      <c r="Q41" s="29" t="n"/>
      <c r="R41" s="29" t="n"/>
      <c r="S41" s="29" t="n"/>
      <c r="T41" s="22">
        <f>IF(COUNT(F41,J41,N41,R41)=0,"",SUM(F41,J41,N41,R41))</f>
        <v/>
      </c>
      <c r="U41" s="22">
        <f>IF(COUNT(G41,K41,O41,S41)=0,"",SUM(G41,K41,O41,S41))</f>
        <v/>
      </c>
      <c r="V41" s="22">
        <f>IF(OR(T41="",U41=""),"",U41-T41)</f>
        <v/>
      </c>
      <c r="W41" s="22">
        <f>IF(Q41&lt;&gt;"",Q41,IF(M41&lt;&gt;"",M41,IF(I41&lt;&gt;"",I41,IF(E41&lt;&gt;"",E41,""))))</f>
        <v/>
      </c>
      <c r="X41" s="18">
        <f>IF(U41="","",U41*N(Produits!$E$40))</f>
        <v/>
      </c>
    </row>
    <row r="42">
      <c r="A42" s="33">
        <f>IF(Produits!$A$41="","",Produits!$A$41)</f>
        <v/>
      </c>
      <c r="B42" s="34">
        <f>IF(Produits!$A$41="","",Produits!$C$41)</f>
        <v/>
      </c>
      <c r="C42" s="34">
        <f>IF(Produits!$A$41="","",Produits!$D$41)</f>
        <v/>
      </c>
      <c r="D42" s="32" t="n"/>
      <c r="E42" s="29" t="n"/>
      <c r="F42" s="29" t="n"/>
      <c r="G42" s="29" t="n"/>
      <c r="H42" s="32" t="n"/>
      <c r="I42" s="29" t="n"/>
      <c r="J42" s="29" t="n"/>
      <c r="K42" s="29" t="n"/>
      <c r="L42" s="32" t="n"/>
      <c r="M42" s="29" t="n"/>
      <c r="N42" s="29" t="n"/>
      <c r="O42" s="29" t="n"/>
      <c r="P42" s="32" t="n"/>
      <c r="Q42" s="29" t="n"/>
      <c r="R42" s="29" t="n"/>
      <c r="S42" s="29" t="n"/>
      <c r="T42" s="22">
        <f>IF(COUNT(F42,J42,N42,R42)=0,"",SUM(F42,J42,N42,R42))</f>
        <v/>
      </c>
      <c r="U42" s="22">
        <f>IF(COUNT(G42,K42,O42,S42)=0,"",SUM(G42,K42,O42,S42))</f>
        <v/>
      </c>
      <c r="V42" s="22">
        <f>IF(OR(T42="",U42=""),"",U42-T42)</f>
        <v/>
      </c>
      <c r="W42" s="22">
        <f>IF(Q42&lt;&gt;"",Q42,IF(M42&lt;&gt;"",M42,IF(I42&lt;&gt;"",I42,IF(E42&lt;&gt;"",E42,""))))</f>
        <v/>
      </c>
      <c r="X42" s="18">
        <f>IF(U42="","",U42*N(Produits!$E$41))</f>
        <v/>
      </c>
    </row>
    <row r="43">
      <c r="A43" s="33">
        <f>IF(Produits!$A$42="","",Produits!$A$42)</f>
        <v/>
      </c>
      <c r="B43" s="34">
        <f>IF(Produits!$A$42="","",Produits!$C$42)</f>
        <v/>
      </c>
      <c r="C43" s="34">
        <f>IF(Produits!$A$42="","",Produits!$D$42)</f>
        <v/>
      </c>
      <c r="D43" s="32" t="n"/>
      <c r="E43" s="29" t="n"/>
      <c r="F43" s="29" t="n"/>
      <c r="G43" s="29" t="n"/>
      <c r="H43" s="32" t="n"/>
      <c r="I43" s="29" t="n"/>
      <c r="J43" s="29" t="n"/>
      <c r="K43" s="29" t="n"/>
      <c r="L43" s="32" t="n"/>
      <c r="M43" s="29" t="n"/>
      <c r="N43" s="29" t="n"/>
      <c r="O43" s="29" t="n"/>
      <c r="P43" s="32" t="n"/>
      <c r="Q43" s="29" t="n"/>
      <c r="R43" s="29" t="n"/>
      <c r="S43" s="29" t="n"/>
      <c r="T43" s="22">
        <f>IF(COUNT(F43,J43,N43,R43)=0,"",SUM(F43,J43,N43,R43))</f>
        <v/>
      </c>
      <c r="U43" s="22">
        <f>IF(COUNT(G43,K43,O43,S43)=0,"",SUM(G43,K43,O43,S43))</f>
        <v/>
      </c>
      <c r="V43" s="22">
        <f>IF(OR(T43="",U43=""),"",U43-T43)</f>
        <v/>
      </c>
      <c r="W43" s="22">
        <f>IF(Q43&lt;&gt;"",Q43,IF(M43&lt;&gt;"",M43,IF(I43&lt;&gt;"",I43,IF(E43&lt;&gt;"",E43,""))))</f>
        <v/>
      </c>
      <c r="X43" s="18">
        <f>IF(U43="","",U43*N(Produits!$E$42))</f>
        <v/>
      </c>
    </row>
    <row r="44">
      <c r="A44" s="33">
        <f>IF(Produits!$A$43="","",Produits!$A$43)</f>
        <v/>
      </c>
      <c r="B44" s="34">
        <f>IF(Produits!$A$43="","",Produits!$C$43)</f>
        <v/>
      </c>
      <c r="C44" s="34">
        <f>IF(Produits!$A$43="","",Produits!$D$43)</f>
        <v/>
      </c>
      <c r="D44" s="32" t="n"/>
      <c r="E44" s="29" t="n"/>
      <c r="F44" s="29" t="n"/>
      <c r="G44" s="29" t="n"/>
      <c r="H44" s="32" t="n"/>
      <c r="I44" s="29" t="n"/>
      <c r="J44" s="29" t="n"/>
      <c r="K44" s="29" t="n"/>
      <c r="L44" s="32" t="n"/>
      <c r="M44" s="29" t="n"/>
      <c r="N44" s="29" t="n"/>
      <c r="O44" s="29" t="n"/>
      <c r="P44" s="32" t="n"/>
      <c r="Q44" s="29" t="n"/>
      <c r="R44" s="29" t="n"/>
      <c r="S44" s="29" t="n"/>
      <c r="T44" s="22">
        <f>IF(COUNT(F44,J44,N44,R44)=0,"",SUM(F44,J44,N44,R44))</f>
        <v/>
      </c>
      <c r="U44" s="22">
        <f>IF(COUNT(G44,K44,O44,S44)=0,"",SUM(G44,K44,O44,S44))</f>
        <v/>
      </c>
      <c r="V44" s="22">
        <f>IF(OR(T44="",U44=""),"",U44-T44)</f>
        <v/>
      </c>
      <c r="W44" s="22">
        <f>IF(Q44&lt;&gt;"",Q44,IF(M44&lt;&gt;"",M44,IF(I44&lt;&gt;"",I44,IF(E44&lt;&gt;"",E44,""))))</f>
        <v/>
      </c>
      <c r="X44" s="18">
        <f>IF(U44="","",U44*N(Produits!$E$43))</f>
        <v/>
      </c>
    </row>
    <row r="45">
      <c r="A45" s="33">
        <f>IF(Produits!$A$44="","",Produits!$A$44)</f>
        <v/>
      </c>
      <c r="B45" s="34">
        <f>IF(Produits!$A$44="","",Produits!$C$44)</f>
        <v/>
      </c>
      <c r="C45" s="34">
        <f>IF(Produits!$A$44="","",Produits!$D$44)</f>
        <v/>
      </c>
      <c r="D45" s="32" t="n"/>
      <c r="E45" s="29" t="n"/>
      <c r="F45" s="29" t="n"/>
      <c r="G45" s="29" t="n"/>
      <c r="H45" s="32" t="n"/>
      <c r="I45" s="29" t="n"/>
      <c r="J45" s="29" t="n"/>
      <c r="K45" s="29" t="n"/>
      <c r="L45" s="32" t="n"/>
      <c r="M45" s="29" t="n"/>
      <c r="N45" s="29" t="n"/>
      <c r="O45" s="29" t="n"/>
      <c r="P45" s="32" t="n"/>
      <c r="Q45" s="29" t="n"/>
      <c r="R45" s="29" t="n"/>
      <c r="S45" s="29" t="n"/>
      <c r="T45" s="22">
        <f>IF(COUNT(F45,J45,N45,R45)=0,"",SUM(F45,J45,N45,R45))</f>
        <v/>
      </c>
      <c r="U45" s="22">
        <f>IF(COUNT(G45,K45,O45,S45)=0,"",SUM(G45,K45,O45,S45))</f>
        <v/>
      </c>
      <c r="V45" s="22">
        <f>IF(OR(T45="",U45=""),"",U45-T45)</f>
        <v/>
      </c>
      <c r="W45" s="22">
        <f>IF(Q45&lt;&gt;"",Q45,IF(M45&lt;&gt;"",M45,IF(I45&lt;&gt;"",I45,IF(E45&lt;&gt;"",E45,""))))</f>
        <v/>
      </c>
      <c r="X45" s="18">
        <f>IF(U45="","",U45*N(Produits!$E$44))</f>
        <v/>
      </c>
    </row>
    <row r="46">
      <c r="A46" s="33">
        <f>IF(Produits!$A$45="","",Produits!$A$45)</f>
        <v/>
      </c>
      <c r="B46" s="34">
        <f>IF(Produits!$A$45="","",Produits!$C$45)</f>
        <v/>
      </c>
      <c r="C46" s="34">
        <f>IF(Produits!$A$45="","",Produits!$D$45)</f>
        <v/>
      </c>
      <c r="D46" s="32" t="n"/>
      <c r="E46" s="29" t="n"/>
      <c r="F46" s="29" t="n"/>
      <c r="G46" s="29" t="n"/>
      <c r="H46" s="32" t="n"/>
      <c r="I46" s="29" t="n"/>
      <c r="J46" s="29" t="n"/>
      <c r="K46" s="29" t="n"/>
      <c r="L46" s="32" t="n"/>
      <c r="M46" s="29" t="n"/>
      <c r="N46" s="29" t="n"/>
      <c r="O46" s="29" t="n"/>
      <c r="P46" s="32" t="n"/>
      <c r="Q46" s="29" t="n"/>
      <c r="R46" s="29" t="n"/>
      <c r="S46" s="29" t="n"/>
      <c r="T46" s="22">
        <f>IF(COUNT(F46,J46,N46,R46)=0,"",SUM(F46,J46,N46,R46))</f>
        <v/>
      </c>
      <c r="U46" s="22">
        <f>IF(COUNT(G46,K46,O46,S46)=0,"",SUM(G46,K46,O46,S46))</f>
        <v/>
      </c>
      <c r="V46" s="22">
        <f>IF(OR(T46="",U46=""),"",U46-T46)</f>
        <v/>
      </c>
      <c r="W46" s="22">
        <f>IF(Q46&lt;&gt;"",Q46,IF(M46&lt;&gt;"",M46,IF(I46&lt;&gt;"",I46,IF(E46&lt;&gt;"",E46,""))))</f>
        <v/>
      </c>
      <c r="X46" s="18">
        <f>IF(U46="","",U46*N(Produits!$E$45))</f>
        <v/>
      </c>
    </row>
    <row r="47">
      <c r="A47" s="33">
        <f>IF(Produits!$A$46="","",Produits!$A$46)</f>
        <v/>
      </c>
      <c r="B47" s="34">
        <f>IF(Produits!$A$46="","",Produits!$C$46)</f>
        <v/>
      </c>
      <c r="C47" s="34">
        <f>IF(Produits!$A$46="","",Produits!$D$46)</f>
        <v/>
      </c>
      <c r="D47" s="32" t="n"/>
      <c r="E47" s="29" t="n"/>
      <c r="F47" s="29" t="n"/>
      <c r="G47" s="29" t="n"/>
      <c r="H47" s="32" t="n"/>
      <c r="I47" s="29" t="n"/>
      <c r="J47" s="29" t="n"/>
      <c r="K47" s="29" t="n"/>
      <c r="L47" s="32" t="n"/>
      <c r="M47" s="29" t="n"/>
      <c r="N47" s="29" t="n"/>
      <c r="O47" s="29" t="n"/>
      <c r="P47" s="32" t="n"/>
      <c r="Q47" s="29" t="n"/>
      <c r="R47" s="29" t="n"/>
      <c r="S47" s="29" t="n"/>
      <c r="T47" s="22">
        <f>IF(COUNT(F47,J47,N47,R47)=0,"",SUM(F47,J47,N47,R47))</f>
        <v/>
      </c>
      <c r="U47" s="22">
        <f>IF(COUNT(G47,K47,O47,S47)=0,"",SUM(G47,K47,O47,S47))</f>
        <v/>
      </c>
      <c r="V47" s="22">
        <f>IF(OR(T47="",U47=""),"",U47-T47)</f>
        <v/>
      </c>
      <c r="W47" s="22">
        <f>IF(Q47&lt;&gt;"",Q47,IF(M47&lt;&gt;"",M47,IF(I47&lt;&gt;"",I47,IF(E47&lt;&gt;"",E47,""))))</f>
        <v/>
      </c>
      <c r="X47" s="18">
        <f>IF(U47="","",U47*N(Produits!$E$46))</f>
        <v/>
      </c>
    </row>
    <row r="48">
      <c r="A48" s="33">
        <f>IF(Produits!$A$47="","",Produits!$A$47)</f>
        <v/>
      </c>
      <c r="B48" s="34">
        <f>IF(Produits!$A$47="","",Produits!$C$47)</f>
        <v/>
      </c>
      <c r="C48" s="34">
        <f>IF(Produits!$A$47="","",Produits!$D$47)</f>
        <v/>
      </c>
      <c r="D48" s="32" t="n"/>
      <c r="E48" s="29" t="n"/>
      <c r="F48" s="29" t="n"/>
      <c r="G48" s="29" t="n"/>
      <c r="H48" s="32" t="n"/>
      <c r="I48" s="29" t="n"/>
      <c r="J48" s="29" t="n"/>
      <c r="K48" s="29" t="n"/>
      <c r="L48" s="32" t="n"/>
      <c r="M48" s="29" t="n"/>
      <c r="N48" s="29" t="n"/>
      <c r="O48" s="29" t="n"/>
      <c r="P48" s="32" t="n"/>
      <c r="Q48" s="29" t="n"/>
      <c r="R48" s="29" t="n"/>
      <c r="S48" s="29" t="n"/>
      <c r="T48" s="22">
        <f>IF(COUNT(F48,J48,N48,R48)=0,"",SUM(F48,J48,N48,R48))</f>
        <v/>
      </c>
      <c r="U48" s="22">
        <f>IF(COUNT(G48,K48,O48,S48)=0,"",SUM(G48,K48,O48,S48))</f>
        <v/>
      </c>
      <c r="V48" s="22">
        <f>IF(OR(T48="",U48=""),"",U48-T48)</f>
        <v/>
      </c>
      <c r="W48" s="22">
        <f>IF(Q48&lt;&gt;"",Q48,IF(M48&lt;&gt;"",M48,IF(I48&lt;&gt;"",I48,IF(E48&lt;&gt;"",E48,""))))</f>
        <v/>
      </c>
      <c r="X48" s="18">
        <f>IF(U48="","",U48*N(Produits!$E$47))</f>
        <v/>
      </c>
    </row>
    <row r="49">
      <c r="A49" s="33">
        <f>IF(Produits!$A$48="","",Produits!$A$48)</f>
        <v/>
      </c>
      <c r="B49" s="34">
        <f>IF(Produits!$A$48="","",Produits!$C$48)</f>
        <v/>
      </c>
      <c r="C49" s="34">
        <f>IF(Produits!$A$48="","",Produits!$D$48)</f>
        <v/>
      </c>
      <c r="D49" s="32" t="n"/>
      <c r="E49" s="29" t="n"/>
      <c r="F49" s="29" t="n"/>
      <c r="G49" s="29" t="n"/>
      <c r="H49" s="32" t="n"/>
      <c r="I49" s="29" t="n"/>
      <c r="J49" s="29" t="n"/>
      <c r="K49" s="29" t="n"/>
      <c r="L49" s="32" t="n"/>
      <c r="M49" s="29" t="n"/>
      <c r="N49" s="29" t="n"/>
      <c r="O49" s="29" t="n"/>
      <c r="P49" s="32" t="n"/>
      <c r="Q49" s="29" t="n"/>
      <c r="R49" s="29" t="n"/>
      <c r="S49" s="29" t="n"/>
      <c r="T49" s="22">
        <f>IF(COUNT(F49,J49,N49,R49)=0,"",SUM(F49,J49,N49,R49))</f>
        <v/>
      </c>
      <c r="U49" s="22">
        <f>IF(COUNT(G49,K49,O49,S49)=0,"",SUM(G49,K49,O49,S49))</f>
        <v/>
      </c>
      <c r="V49" s="22">
        <f>IF(OR(T49="",U49=""),"",U49-T49)</f>
        <v/>
      </c>
      <c r="W49" s="22">
        <f>IF(Q49&lt;&gt;"",Q49,IF(M49&lt;&gt;"",M49,IF(I49&lt;&gt;"",I49,IF(E49&lt;&gt;"",E49,""))))</f>
        <v/>
      </c>
      <c r="X49" s="18">
        <f>IF(U49="","",U49*N(Produits!$E$48))</f>
        <v/>
      </c>
    </row>
    <row r="50">
      <c r="A50" s="33">
        <f>IF(Produits!$A$49="","",Produits!$A$49)</f>
        <v/>
      </c>
      <c r="B50" s="34">
        <f>IF(Produits!$A$49="","",Produits!$C$49)</f>
        <v/>
      </c>
      <c r="C50" s="34">
        <f>IF(Produits!$A$49="","",Produits!$D$49)</f>
        <v/>
      </c>
      <c r="D50" s="32" t="n"/>
      <c r="E50" s="29" t="n"/>
      <c r="F50" s="29" t="n"/>
      <c r="G50" s="29" t="n"/>
      <c r="H50" s="32" t="n"/>
      <c r="I50" s="29" t="n"/>
      <c r="J50" s="29" t="n"/>
      <c r="K50" s="29" t="n"/>
      <c r="L50" s="32" t="n"/>
      <c r="M50" s="29" t="n"/>
      <c r="N50" s="29" t="n"/>
      <c r="O50" s="29" t="n"/>
      <c r="P50" s="32" t="n"/>
      <c r="Q50" s="29" t="n"/>
      <c r="R50" s="29" t="n"/>
      <c r="S50" s="29" t="n"/>
      <c r="T50" s="22">
        <f>IF(COUNT(F50,J50,N50,R50)=0,"",SUM(F50,J50,N50,R50))</f>
        <v/>
      </c>
      <c r="U50" s="22">
        <f>IF(COUNT(G50,K50,O50,S50)=0,"",SUM(G50,K50,O50,S50))</f>
        <v/>
      </c>
      <c r="V50" s="22">
        <f>IF(OR(T50="",U50=""),"",U50-T50)</f>
        <v/>
      </c>
      <c r="W50" s="22">
        <f>IF(Q50&lt;&gt;"",Q50,IF(M50&lt;&gt;"",M50,IF(I50&lt;&gt;"",I50,IF(E50&lt;&gt;"",E50,""))))</f>
        <v/>
      </c>
      <c r="X50" s="18">
        <f>IF(U50="","",U50*N(Produits!$E$49))</f>
        <v/>
      </c>
    </row>
    <row r="51">
      <c r="A51" s="33">
        <f>IF(Produits!$A$50="","",Produits!$A$50)</f>
        <v/>
      </c>
      <c r="B51" s="34">
        <f>IF(Produits!$A$50="","",Produits!$C$50)</f>
        <v/>
      </c>
      <c r="C51" s="34">
        <f>IF(Produits!$A$50="","",Produits!$D$50)</f>
        <v/>
      </c>
      <c r="D51" s="32" t="n"/>
      <c r="E51" s="29" t="n"/>
      <c r="F51" s="29" t="n"/>
      <c r="G51" s="29" t="n"/>
      <c r="H51" s="32" t="n"/>
      <c r="I51" s="29" t="n"/>
      <c r="J51" s="29" t="n"/>
      <c r="K51" s="29" t="n"/>
      <c r="L51" s="32" t="n"/>
      <c r="M51" s="29" t="n"/>
      <c r="N51" s="29" t="n"/>
      <c r="O51" s="29" t="n"/>
      <c r="P51" s="32" t="n"/>
      <c r="Q51" s="29" t="n"/>
      <c r="R51" s="29" t="n"/>
      <c r="S51" s="29" t="n"/>
      <c r="T51" s="22">
        <f>IF(COUNT(F51,J51,N51,R51)=0,"",SUM(F51,J51,N51,R51))</f>
        <v/>
      </c>
      <c r="U51" s="22">
        <f>IF(COUNT(G51,K51,O51,S51)=0,"",SUM(G51,K51,O51,S51))</f>
        <v/>
      </c>
      <c r="V51" s="22">
        <f>IF(OR(T51="",U51=""),"",U51-T51)</f>
        <v/>
      </c>
      <c r="W51" s="22">
        <f>IF(Q51&lt;&gt;"",Q51,IF(M51&lt;&gt;"",M51,IF(I51&lt;&gt;"",I51,IF(E51&lt;&gt;"",E51,""))))</f>
        <v/>
      </c>
      <c r="X51" s="18">
        <f>IF(U51="","",U51*N(Produits!$E$50))</f>
        <v/>
      </c>
    </row>
    <row r="52">
      <c r="A52" s="33">
        <f>IF(Produits!$A$51="","",Produits!$A$51)</f>
        <v/>
      </c>
      <c r="B52" s="34">
        <f>IF(Produits!$A$51="","",Produits!$C$51)</f>
        <v/>
      </c>
      <c r="C52" s="34">
        <f>IF(Produits!$A$51="","",Produits!$D$51)</f>
        <v/>
      </c>
      <c r="D52" s="32" t="n"/>
      <c r="E52" s="29" t="n"/>
      <c r="F52" s="29" t="n"/>
      <c r="G52" s="29" t="n"/>
      <c r="H52" s="32" t="n"/>
      <c r="I52" s="29" t="n"/>
      <c r="J52" s="29" t="n"/>
      <c r="K52" s="29" t="n"/>
      <c r="L52" s="32" t="n"/>
      <c r="M52" s="29" t="n"/>
      <c r="N52" s="29" t="n"/>
      <c r="O52" s="29" t="n"/>
      <c r="P52" s="32" t="n"/>
      <c r="Q52" s="29" t="n"/>
      <c r="R52" s="29" t="n"/>
      <c r="S52" s="29" t="n"/>
      <c r="T52" s="22">
        <f>IF(COUNT(F52,J52,N52,R52)=0,"",SUM(F52,J52,N52,R52))</f>
        <v/>
      </c>
      <c r="U52" s="22">
        <f>IF(COUNT(G52,K52,O52,S52)=0,"",SUM(G52,K52,O52,S52))</f>
        <v/>
      </c>
      <c r="V52" s="22">
        <f>IF(OR(T52="",U52=""),"",U52-T52)</f>
        <v/>
      </c>
      <c r="W52" s="22">
        <f>IF(Q52&lt;&gt;"",Q52,IF(M52&lt;&gt;"",M52,IF(I52&lt;&gt;"",I52,IF(E52&lt;&gt;"",E52,""))))</f>
        <v/>
      </c>
      <c r="X52" s="18">
        <f>IF(U52="","",U52*N(Produits!$E$51))</f>
        <v/>
      </c>
    </row>
    <row r="53">
      <c r="A53" s="33">
        <f>IF(Produits!$A$52="","",Produits!$A$52)</f>
        <v/>
      </c>
      <c r="B53" s="34">
        <f>IF(Produits!$A$52="","",Produits!$C$52)</f>
        <v/>
      </c>
      <c r="C53" s="34">
        <f>IF(Produits!$A$52="","",Produits!$D$52)</f>
        <v/>
      </c>
      <c r="D53" s="32" t="n"/>
      <c r="E53" s="29" t="n"/>
      <c r="F53" s="29" t="n"/>
      <c r="G53" s="29" t="n"/>
      <c r="H53" s="32" t="n"/>
      <c r="I53" s="29" t="n"/>
      <c r="J53" s="29" t="n"/>
      <c r="K53" s="29" t="n"/>
      <c r="L53" s="32" t="n"/>
      <c r="M53" s="29" t="n"/>
      <c r="N53" s="29" t="n"/>
      <c r="O53" s="29" t="n"/>
      <c r="P53" s="32" t="n"/>
      <c r="Q53" s="29" t="n"/>
      <c r="R53" s="29" t="n"/>
      <c r="S53" s="29" t="n"/>
      <c r="T53" s="22">
        <f>IF(COUNT(F53,J53,N53,R53)=0,"",SUM(F53,J53,N53,R53))</f>
        <v/>
      </c>
      <c r="U53" s="22">
        <f>IF(COUNT(G53,K53,O53,S53)=0,"",SUM(G53,K53,O53,S53))</f>
        <v/>
      </c>
      <c r="V53" s="22">
        <f>IF(OR(T53="",U53=""),"",U53-T53)</f>
        <v/>
      </c>
      <c r="W53" s="22">
        <f>IF(Q53&lt;&gt;"",Q53,IF(M53&lt;&gt;"",M53,IF(I53&lt;&gt;"",I53,IF(E53&lt;&gt;"",E53,""))))</f>
        <v/>
      </c>
      <c r="X53" s="18">
        <f>IF(U53="","",U53*N(Produits!$E$52))</f>
        <v/>
      </c>
    </row>
    <row r="54" ht="20" customHeight="1">
      <c r="A54" s="23" t="inlineStr">
        <is>
          <t>MÉNAGER</t>
        </is>
      </c>
      <c r="B54" s="10" t="n"/>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row>
    <row r="55">
      <c r="A55" s="33">
        <f>IF(Produits!$A$54="","",Produits!$A$54)</f>
        <v/>
      </c>
      <c r="B55" s="34">
        <f>IF(Produits!$A$54="","",Produits!$C$54)</f>
        <v/>
      </c>
      <c r="C55" s="34">
        <f>IF(Produits!$A$54="","",Produits!$D$54)</f>
        <v/>
      </c>
      <c r="D55" s="32" t="n"/>
      <c r="E55" s="29" t="n"/>
      <c r="F55" s="29" t="n"/>
      <c r="G55" s="29" t="n"/>
      <c r="H55" s="32" t="n"/>
      <c r="I55" s="29" t="n"/>
      <c r="J55" s="29" t="n"/>
      <c r="K55" s="29" t="n"/>
      <c r="L55" s="32" t="n"/>
      <c r="M55" s="29" t="n"/>
      <c r="N55" s="29" t="n"/>
      <c r="O55" s="29" t="n"/>
      <c r="P55" s="32" t="n"/>
      <c r="Q55" s="29" t="n"/>
      <c r="R55" s="29" t="n"/>
      <c r="S55" s="29" t="n"/>
      <c r="T55" s="22">
        <f>IF(COUNT(F55,J55,N55,R55)=0,"",SUM(F55,J55,N55,R55))</f>
        <v/>
      </c>
      <c r="U55" s="22">
        <f>IF(COUNT(G55,K55,O55,S55)=0,"",SUM(G55,K55,O55,S55))</f>
        <v/>
      </c>
      <c r="V55" s="22">
        <f>IF(OR(T55="",U55=""),"",U55-T55)</f>
        <v/>
      </c>
      <c r="W55" s="22">
        <f>IF(Q55&lt;&gt;"",Q55,IF(M55&lt;&gt;"",M55,IF(I55&lt;&gt;"",I55,IF(E55&lt;&gt;"",E55,""))))</f>
        <v/>
      </c>
      <c r="X55" s="18">
        <f>IF(U55="","",U55*N(Produits!$E$54))</f>
        <v/>
      </c>
    </row>
    <row r="56">
      <c r="A56" s="33">
        <f>IF(Produits!$A$55="","",Produits!$A$55)</f>
        <v/>
      </c>
      <c r="B56" s="34">
        <f>IF(Produits!$A$55="","",Produits!$C$55)</f>
        <v/>
      </c>
      <c r="C56" s="34">
        <f>IF(Produits!$A$55="","",Produits!$D$55)</f>
        <v/>
      </c>
      <c r="D56" s="32" t="n"/>
      <c r="E56" s="29" t="n"/>
      <c r="F56" s="29" t="n"/>
      <c r="G56" s="29" t="n"/>
      <c r="H56" s="32" t="n"/>
      <c r="I56" s="29" t="n"/>
      <c r="J56" s="29" t="n"/>
      <c r="K56" s="29" t="n"/>
      <c r="L56" s="32" t="n"/>
      <c r="M56" s="29" t="n"/>
      <c r="N56" s="29" t="n"/>
      <c r="O56" s="29" t="n"/>
      <c r="P56" s="32" t="n"/>
      <c r="Q56" s="29" t="n"/>
      <c r="R56" s="29" t="n"/>
      <c r="S56" s="29" t="n"/>
      <c r="T56" s="22">
        <f>IF(COUNT(F56,J56,N56,R56)=0,"",SUM(F56,J56,N56,R56))</f>
        <v/>
      </c>
      <c r="U56" s="22">
        <f>IF(COUNT(G56,K56,O56,S56)=0,"",SUM(G56,K56,O56,S56))</f>
        <v/>
      </c>
      <c r="V56" s="22">
        <f>IF(OR(T56="",U56=""),"",U56-T56)</f>
        <v/>
      </c>
      <c r="W56" s="22">
        <f>IF(Q56&lt;&gt;"",Q56,IF(M56&lt;&gt;"",M56,IF(I56&lt;&gt;"",I56,IF(E56&lt;&gt;"",E56,""))))</f>
        <v/>
      </c>
      <c r="X56" s="18">
        <f>IF(U56="","",U56*N(Produits!$E$55))</f>
        <v/>
      </c>
    </row>
    <row r="57">
      <c r="A57" s="33">
        <f>IF(Produits!$A$56="","",Produits!$A$56)</f>
        <v/>
      </c>
      <c r="B57" s="34">
        <f>IF(Produits!$A$56="","",Produits!$C$56)</f>
        <v/>
      </c>
      <c r="C57" s="34">
        <f>IF(Produits!$A$56="","",Produits!$D$56)</f>
        <v/>
      </c>
      <c r="D57" s="32" t="n"/>
      <c r="E57" s="29" t="n"/>
      <c r="F57" s="29" t="n"/>
      <c r="G57" s="29" t="n"/>
      <c r="H57" s="32" t="n"/>
      <c r="I57" s="29" t="n"/>
      <c r="J57" s="29" t="n"/>
      <c r="K57" s="29" t="n"/>
      <c r="L57" s="32" t="n"/>
      <c r="M57" s="29" t="n"/>
      <c r="N57" s="29" t="n"/>
      <c r="O57" s="29" t="n"/>
      <c r="P57" s="32" t="n"/>
      <c r="Q57" s="29" t="n"/>
      <c r="R57" s="29" t="n"/>
      <c r="S57" s="29" t="n"/>
      <c r="T57" s="22">
        <f>IF(COUNT(F57,J57,N57,R57)=0,"",SUM(F57,J57,N57,R57))</f>
        <v/>
      </c>
      <c r="U57" s="22">
        <f>IF(COUNT(G57,K57,O57,S57)=0,"",SUM(G57,K57,O57,S57))</f>
        <v/>
      </c>
      <c r="V57" s="22">
        <f>IF(OR(T57="",U57=""),"",U57-T57)</f>
        <v/>
      </c>
      <c r="W57" s="22">
        <f>IF(Q57&lt;&gt;"",Q57,IF(M57&lt;&gt;"",M57,IF(I57&lt;&gt;"",I57,IF(E57&lt;&gt;"",E57,""))))</f>
        <v/>
      </c>
      <c r="X57" s="18">
        <f>IF(U57="","",U57*N(Produits!$E$56))</f>
        <v/>
      </c>
    </row>
    <row r="58">
      <c r="A58" s="33">
        <f>IF(Produits!$A$57="","",Produits!$A$57)</f>
        <v/>
      </c>
      <c r="B58" s="34">
        <f>IF(Produits!$A$57="","",Produits!$C$57)</f>
        <v/>
      </c>
      <c r="C58" s="34">
        <f>IF(Produits!$A$57="","",Produits!$D$57)</f>
        <v/>
      </c>
      <c r="D58" s="32" t="n"/>
      <c r="E58" s="29" t="n"/>
      <c r="F58" s="29" t="n"/>
      <c r="G58" s="29" t="n"/>
      <c r="H58" s="32" t="n"/>
      <c r="I58" s="29" t="n"/>
      <c r="J58" s="29" t="n"/>
      <c r="K58" s="29" t="n"/>
      <c r="L58" s="32" t="n"/>
      <c r="M58" s="29" t="n"/>
      <c r="N58" s="29" t="n"/>
      <c r="O58" s="29" t="n"/>
      <c r="P58" s="32" t="n"/>
      <c r="Q58" s="29" t="n"/>
      <c r="R58" s="29" t="n"/>
      <c r="S58" s="29" t="n"/>
      <c r="T58" s="22">
        <f>IF(COUNT(F58,J58,N58,R58)=0,"",SUM(F58,J58,N58,R58))</f>
        <v/>
      </c>
      <c r="U58" s="22">
        <f>IF(COUNT(G58,K58,O58,S58)=0,"",SUM(G58,K58,O58,S58))</f>
        <v/>
      </c>
      <c r="V58" s="22">
        <f>IF(OR(T58="",U58=""),"",U58-T58)</f>
        <v/>
      </c>
      <c r="W58" s="22">
        <f>IF(Q58&lt;&gt;"",Q58,IF(M58&lt;&gt;"",M58,IF(I58&lt;&gt;"",I58,IF(E58&lt;&gt;"",E58,""))))</f>
        <v/>
      </c>
      <c r="X58" s="18">
        <f>IF(U58="","",U58*N(Produits!$E$57))</f>
        <v/>
      </c>
    </row>
    <row r="59">
      <c r="A59" s="33">
        <f>IF(Produits!$A$58="","",Produits!$A$58)</f>
        <v/>
      </c>
      <c r="B59" s="34">
        <f>IF(Produits!$A$58="","",Produits!$C$58)</f>
        <v/>
      </c>
      <c r="C59" s="34">
        <f>IF(Produits!$A$58="","",Produits!$D$58)</f>
        <v/>
      </c>
      <c r="D59" s="32" t="n"/>
      <c r="E59" s="29" t="n"/>
      <c r="F59" s="29" t="n"/>
      <c r="G59" s="29" t="n"/>
      <c r="H59" s="32" t="n"/>
      <c r="I59" s="29" t="n"/>
      <c r="J59" s="29" t="n"/>
      <c r="K59" s="29" t="n"/>
      <c r="L59" s="32" t="n"/>
      <c r="M59" s="29" t="n"/>
      <c r="N59" s="29" t="n"/>
      <c r="O59" s="29" t="n"/>
      <c r="P59" s="32" t="n"/>
      <c r="Q59" s="29" t="n"/>
      <c r="R59" s="29" t="n"/>
      <c r="S59" s="29" t="n"/>
      <c r="T59" s="22">
        <f>IF(COUNT(F59,J59,N59,R59)=0,"",SUM(F59,J59,N59,R59))</f>
        <v/>
      </c>
      <c r="U59" s="22">
        <f>IF(COUNT(G59,K59,O59,S59)=0,"",SUM(G59,K59,O59,S59))</f>
        <v/>
      </c>
      <c r="V59" s="22">
        <f>IF(OR(T59="",U59=""),"",U59-T59)</f>
        <v/>
      </c>
      <c r="W59" s="22">
        <f>IF(Q59&lt;&gt;"",Q59,IF(M59&lt;&gt;"",M59,IF(I59&lt;&gt;"",I59,IF(E59&lt;&gt;"",E59,""))))</f>
        <v/>
      </c>
      <c r="X59" s="18">
        <f>IF(U59="","",U59*N(Produits!$E$58))</f>
        <v/>
      </c>
    </row>
    <row r="60">
      <c r="A60" s="33">
        <f>IF(Produits!$A$59="","",Produits!$A$59)</f>
        <v/>
      </c>
      <c r="B60" s="34">
        <f>IF(Produits!$A$59="","",Produits!$C$59)</f>
        <v/>
      </c>
      <c r="C60" s="34">
        <f>IF(Produits!$A$59="","",Produits!$D$59)</f>
        <v/>
      </c>
      <c r="D60" s="32" t="n"/>
      <c r="E60" s="29" t="n"/>
      <c r="F60" s="29" t="n"/>
      <c r="G60" s="29" t="n"/>
      <c r="H60" s="32" t="n"/>
      <c r="I60" s="29" t="n"/>
      <c r="J60" s="29" t="n"/>
      <c r="K60" s="29" t="n"/>
      <c r="L60" s="32" t="n"/>
      <c r="M60" s="29" t="n"/>
      <c r="N60" s="29" t="n"/>
      <c r="O60" s="29" t="n"/>
      <c r="P60" s="32" t="n"/>
      <c r="Q60" s="29" t="n"/>
      <c r="R60" s="29" t="n"/>
      <c r="S60" s="29" t="n"/>
      <c r="T60" s="22">
        <f>IF(COUNT(F60,J60,N60,R60)=0,"",SUM(F60,J60,N60,R60))</f>
        <v/>
      </c>
      <c r="U60" s="22">
        <f>IF(COUNT(G60,K60,O60,S60)=0,"",SUM(G60,K60,O60,S60))</f>
        <v/>
      </c>
      <c r="V60" s="22">
        <f>IF(OR(T60="",U60=""),"",U60-T60)</f>
        <v/>
      </c>
      <c r="W60" s="22">
        <f>IF(Q60&lt;&gt;"",Q60,IF(M60&lt;&gt;"",M60,IF(I60&lt;&gt;"",I60,IF(E60&lt;&gt;"",E60,""))))</f>
        <v/>
      </c>
      <c r="X60" s="18">
        <f>IF(U60="","",U60*N(Produits!$E$59))</f>
        <v/>
      </c>
    </row>
    <row r="61">
      <c r="A61" s="33">
        <f>IF(Produits!$A$60="","",Produits!$A$60)</f>
        <v/>
      </c>
      <c r="B61" s="34">
        <f>IF(Produits!$A$60="","",Produits!$C$60)</f>
        <v/>
      </c>
      <c r="C61" s="34">
        <f>IF(Produits!$A$60="","",Produits!$D$60)</f>
        <v/>
      </c>
      <c r="D61" s="32" t="n"/>
      <c r="E61" s="29" t="n"/>
      <c r="F61" s="29" t="n"/>
      <c r="G61" s="29" t="n"/>
      <c r="H61" s="32" t="n"/>
      <c r="I61" s="29" t="n"/>
      <c r="J61" s="29" t="n"/>
      <c r="K61" s="29" t="n"/>
      <c r="L61" s="32" t="n"/>
      <c r="M61" s="29" t="n"/>
      <c r="N61" s="29" t="n"/>
      <c r="O61" s="29" t="n"/>
      <c r="P61" s="32" t="n"/>
      <c r="Q61" s="29" t="n"/>
      <c r="R61" s="29" t="n"/>
      <c r="S61" s="29" t="n"/>
      <c r="T61" s="22">
        <f>IF(COUNT(F61,J61,N61,R61)=0,"",SUM(F61,J61,N61,R61))</f>
        <v/>
      </c>
      <c r="U61" s="22">
        <f>IF(COUNT(G61,K61,O61,S61)=0,"",SUM(G61,K61,O61,S61))</f>
        <v/>
      </c>
      <c r="V61" s="22">
        <f>IF(OR(T61="",U61=""),"",U61-T61)</f>
        <v/>
      </c>
      <c r="W61" s="22">
        <f>IF(Q61&lt;&gt;"",Q61,IF(M61&lt;&gt;"",M61,IF(I61&lt;&gt;"",I61,IF(E61&lt;&gt;"",E61,""))))</f>
        <v/>
      </c>
      <c r="X61" s="18">
        <f>IF(U61="","",U61*N(Produits!$E$60))</f>
        <v/>
      </c>
    </row>
    <row r="62">
      <c r="A62" s="33">
        <f>IF(Produits!$A$61="","",Produits!$A$61)</f>
        <v/>
      </c>
      <c r="B62" s="34">
        <f>IF(Produits!$A$61="","",Produits!$C$61)</f>
        <v/>
      </c>
      <c r="C62" s="34">
        <f>IF(Produits!$A$61="","",Produits!$D$61)</f>
        <v/>
      </c>
      <c r="D62" s="32" t="n"/>
      <c r="E62" s="29" t="n"/>
      <c r="F62" s="29" t="n"/>
      <c r="G62" s="29" t="n"/>
      <c r="H62" s="32" t="n"/>
      <c r="I62" s="29" t="n"/>
      <c r="J62" s="29" t="n"/>
      <c r="K62" s="29" t="n"/>
      <c r="L62" s="32" t="n"/>
      <c r="M62" s="29" t="n"/>
      <c r="N62" s="29" t="n"/>
      <c r="O62" s="29" t="n"/>
      <c r="P62" s="32" t="n"/>
      <c r="Q62" s="29" t="n"/>
      <c r="R62" s="29" t="n"/>
      <c r="S62" s="29" t="n"/>
      <c r="T62" s="22">
        <f>IF(COUNT(F62,J62,N62,R62)=0,"",SUM(F62,J62,N62,R62))</f>
        <v/>
      </c>
      <c r="U62" s="22">
        <f>IF(COUNT(G62,K62,O62,S62)=0,"",SUM(G62,K62,O62,S62))</f>
        <v/>
      </c>
      <c r="V62" s="22">
        <f>IF(OR(T62="",U62=""),"",U62-T62)</f>
        <v/>
      </c>
      <c r="W62" s="22">
        <f>IF(Q62&lt;&gt;"",Q62,IF(M62&lt;&gt;"",M62,IF(I62&lt;&gt;"",I62,IF(E62&lt;&gt;"",E62,""))))</f>
        <v/>
      </c>
      <c r="X62" s="18">
        <f>IF(U62="","",U62*N(Produits!$E$61))</f>
        <v/>
      </c>
    </row>
    <row r="63">
      <c r="A63" s="33">
        <f>IF(Produits!$A$62="","",Produits!$A$62)</f>
        <v/>
      </c>
      <c r="B63" s="34">
        <f>IF(Produits!$A$62="","",Produits!$C$62)</f>
        <v/>
      </c>
      <c r="C63" s="34">
        <f>IF(Produits!$A$62="","",Produits!$D$62)</f>
        <v/>
      </c>
      <c r="D63" s="32" t="n"/>
      <c r="E63" s="29" t="n"/>
      <c r="F63" s="29" t="n"/>
      <c r="G63" s="29" t="n"/>
      <c r="H63" s="32" t="n"/>
      <c r="I63" s="29" t="n"/>
      <c r="J63" s="29" t="n"/>
      <c r="K63" s="29" t="n"/>
      <c r="L63" s="32" t="n"/>
      <c r="M63" s="29" t="n"/>
      <c r="N63" s="29" t="n"/>
      <c r="O63" s="29" t="n"/>
      <c r="P63" s="32" t="n"/>
      <c r="Q63" s="29" t="n"/>
      <c r="R63" s="29" t="n"/>
      <c r="S63" s="29" t="n"/>
      <c r="T63" s="22">
        <f>IF(COUNT(F63,J63,N63,R63)=0,"",SUM(F63,J63,N63,R63))</f>
        <v/>
      </c>
      <c r="U63" s="22">
        <f>IF(COUNT(G63,K63,O63,S63)=0,"",SUM(G63,K63,O63,S63))</f>
        <v/>
      </c>
      <c r="V63" s="22">
        <f>IF(OR(T63="",U63=""),"",U63-T63)</f>
        <v/>
      </c>
      <c r="W63" s="22">
        <f>IF(Q63&lt;&gt;"",Q63,IF(M63&lt;&gt;"",M63,IF(I63&lt;&gt;"",I63,IF(E63&lt;&gt;"",E63,""))))</f>
        <v/>
      </c>
      <c r="X63" s="18">
        <f>IF(U63="","",U63*N(Produits!$E$62))</f>
        <v/>
      </c>
    </row>
    <row r="64">
      <c r="A64" s="33">
        <f>IF(Produits!$A$63="","",Produits!$A$63)</f>
        <v/>
      </c>
      <c r="B64" s="34">
        <f>IF(Produits!$A$63="","",Produits!$C$63)</f>
        <v/>
      </c>
      <c r="C64" s="34">
        <f>IF(Produits!$A$63="","",Produits!$D$63)</f>
        <v/>
      </c>
      <c r="D64" s="32" t="n"/>
      <c r="E64" s="29" t="n"/>
      <c r="F64" s="29" t="n"/>
      <c r="G64" s="29" t="n"/>
      <c r="H64" s="32" t="n"/>
      <c r="I64" s="29" t="n"/>
      <c r="J64" s="29" t="n"/>
      <c r="K64" s="29" t="n"/>
      <c r="L64" s="32" t="n"/>
      <c r="M64" s="29" t="n"/>
      <c r="N64" s="29" t="n"/>
      <c r="O64" s="29" t="n"/>
      <c r="P64" s="32" t="n"/>
      <c r="Q64" s="29" t="n"/>
      <c r="R64" s="29" t="n"/>
      <c r="S64" s="29" t="n"/>
      <c r="T64" s="22">
        <f>IF(COUNT(F64,J64,N64,R64)=0,"",SUM(F64,J64,N64,R64))</f>
        <v/>
      </c>
      <c r="U64" s="22">
        <f>IF(COUNT(G64,K64,O64,S64)=0,"",SUM(G64,K64,O64,S64))</f>
        <v/>
      </c>
      <c r="V64" s="22">
        <f>IF(OR(T64="",U64=""),"",U64-T64)</f>
        <v/>
      </c>
      <c r="W64" s="22">
        <f>IF(Q64&lt;&gt;"",Q64,IF(M64&lt;&gt;"",M64,IF(I64&lt;&gt;"",I64,IF(E64&lt;&gt;"",E64,""))))</f>
        <v/>
      </c>
      <c r="X64" s="18">
        <f>IF(U64="","",U64*N(Produits!$E$63))</f>
        <v/>
      </c>
    </row>
    <row r="65">
      <c r="A65" s="33">
        <f>IF(Produits!$A$64="","",Produits!$A$64)</f>
        <v/>
      </c>
      <c r="B65" s="34">
        <f>IF(Produits!$A$64="","",Produits!$C$64)</f>
        <v/>
      </c>
      <c r="C65" s="34">
        <f>IF(Produits!$A$64="","",Produits!$D$64)</f>
        <v/>
      </c>
      <c r="D65" s="32" t="n"/>
      <c r="E65" s="29" t="n"/>
      <c r="F65" s="29" t="n"/>
      <c r="G65" s="29" t="n"/>
      <c r="H65" s="32" t="n"/>
      <c r="I65" s="29" t="n"/>
      <c r="J65" s="29" t="n"/>
      <c r="K65" s="29" t="n"/>
      <c r="L65" s="32" t="n"/>
      <c r="M65" s="29" t="n"/>
      <c r="N65" s="29" t="n"/>
      <c r="O65" s="29" t="n"/>
      <c r="P65" s="32" t="n"/>
      <c r="Q65" s="29" t="n"/>
      <c r="R65" s="29" t="n"/>
      <c r="S65" s="29" t="n"/>
      <c r="T65" s="22">
        <f>IF(COUNT(F65,J65,N65,R65)=0,"",SUM(F65,J65,N65,R65))</f>
        <v/>
      </c>
      <c r="U65" s="22">
        <f>IF(COUNT(G65,K65,O65,S65)=0,"",SUM(G65,K65,O65,S65))</f>
        <v/>
      </c>
      <c r="V65" s="22">
        <f>IF(OR(T65="",U65=""),"",U65-T65)</f>
        <v/>
      </c>
      <c r="W65" s="22">
        <f>IF(Q65&lt;&gt;"",Q65,IF(M65&lt;&gt;"",M65,IF(I65&lt;&gt;"",I65,IF(E65&lt;&gt;"",E65,""))))</f>
        <v/>
      </c>
      <c r="X65" s="18">
        <f>IF(U65="","",U65*N(Produits!$E$64))</f>
        <v/>
      </c>
    </row>
    <row r="66">
      <c r="A66" s="33">
        <f>IF(Produits!$A$65="","",Produits!$A$65)</f>
        <v/>
      </c>
      <c r="B66" s="34">
        <f>IF(Produits!$A$65="","",Produits!$C$65)</f>
        <v/>
      </c>
      <c r="C66" s="34">
        <f>IF(Produits!$A$65="","",Produits!$D$65)</f>
        <v/>
      </c>
      <c r="D66" s="32" t="n"/>
      <c r="E66" s="29" t="n"/>
      <c r="F66" s="29" t="n"/>
      <c r="G66" s="29" t="n"/>
      <c r="H66" s="32" t="n"/>
      <c r="I66" s="29" t="n"/>
      <c r="J66" s="29" t="n"/>
      <c r="K66" s="29" t="n"/>
      <c r="L66" s="32" t="n"/>
      <c r="M66" s="29" t="n"/>
      <c r="N66" s="29" t="n"/>
      <c r="O66" s="29" t="n"/>
      <c r="P66" s="32" t="n"/>
      <c r="Q66" s="29" t="n"/>
      <c r="R66" s="29" t="n"/>
      <c r="S66" s="29" t="n"/>
      <c r="T66" s="22">
        <f>IF(COUNT(F66,J66,N66,R66)=0,"",SUM(F66,J66,N66,R66))</f>
        <v/>
      </c>
      <c r="U66" s="22">
        <f>IF(COUNT(G66,K66,O66,S66)=0,"",SUM(G66,K66,O66,S66))</f>
        <v/>
      </c>
      <c r="V66" s="22">
        <f>IF(OR(T66="",U66=""),"",U66-T66)</f>
        <v/>
      </c>
      <c r="W66" s="22">
        <f>IF(Q66&lt;&gt;"",Q66,IF(M66&lt;&gt;"",M66,IF(I66&lt;&gt;"",I66,IF(E66&lt;&gt;"",E66,""))))</f>
        <v/>
      </c>
      <c r="X66" s="18">
        <f>IF(U66="","",U66*N(Produits!$E$65))</f>
        <v/>
      </c>
    </row>
    <row r="67">
      <c r="A67" s="33">
        <f>IF(Produits!$A$66="","",Produits!$A$66)</f>
        <v/>
      </c>
      <c r="B67" s="34">
        <f>IF(Produits!$A$66="","",Produits!$C$66)</f>
        <v/>
      </c>
      <c r="C67" s="34">
        <f>IF(Produits!$A$66="","",Produits!$D$66)</f>
        <v/>
      </c>
      <c r="D67" s="32" t="n"/>
      <c r="E67" s="29" t="n"/>
      <c r="F67" s="29" t="n"/>
      <c r="G67" s="29" t="n"/>
      <c r="H67" s="32" t="n"/>
      <c r="I67" s="29" t="n"/>
      <c r="J67" s="29" t="n"/>
      <c r="K67" s="29" t="n"/>
      <c r="L67" s="32" t="n"/>
      <c r="M67" s="29" t="n"/>
      <c r="N67" s="29" t="n"/>
      <c r="O67" s="29" t="n"/>
      <c r="P67" s="32" t="n"/>
      <c r="Q67" s="29" t="n"/>
      <c r="R67" s="29" t="n"/>
      <c r="S67" s="29" t="n"/>
      <c r="T67" s="22">
        <f>IF(COUNT(F67,J67,N67,R67)=0,"",SUM(F67,J67,N67,R67))</f>
        <v/>
      </c>
      <c r="U67" s="22">
        <f>IF(COUNT(G67,K67,O67,S67)=0,"",SUM(G67,K67,O67,S67))</f>
        <v/>
      </c>
      <c r="V67" s="22">
        <f>IF(OR(T67="",U67=""),"",U67-T67)</f>
        <v/>
      </c>
      <c r="W67" s="22">
        <f>IF(Q67&lt;&gt;"",Q67,IF(M67&lt;&gt;"",M67,IF(I67&lt;&gt;"",I67,IF(E67&lt;&gt;"",E67,""))))</f>
        <v/>
      </c>
      <c r="X67" s="18">
        <f>IF(U67="","",U67*N(Produits!$E$66))</f>
        <v/>
      </c>
    </row>
    <row r="68">
      <c r="A68" s="33">
        <f>IF(Produits!$A$67="","",Produits!$A$67)</f>
        <v/>
      </c>
      <c r="B68" s="34">
        <f>IF(Produits!$A$67="","",Produits!$C$67)</f>
        <v/>
      </c>
      <c r="C68" s="34">
        <f>IF(Produits!$A$67="","",Produits!$D$67)</f>
        <v/>
      </c>
      <c r="D68" s="32" t="n"/>
      <c r="E68" s="29" t="n"/>
      <c r="F68" s="29" t="n"/>
      <c r="G68" s="29" t="n"/>
      <c r="H68" s="32" t="n"/>
      <c r="I68" s="29" t="n"/>
      <c r="J68" s="29" t="n"/>
      <c r="K68" s="29" t="n"/>
      <c r="L68" s="32" t="n"/>
      <c r="M68" s="29" t="n"/>
      <c r="N68" s="29" t="n"/>
      <c r="O68" s="29" t="n"/>
      <c r="P68" s="32" t="n"/>
      <c r="Q68" s="29" t="n"/>
      <c r="R68" s="29" t="n"/>
      <c r="S68" s="29" t="n"/>
      <c r="T68" s="22">
        <f>IF(COUNT(F68,J68,N68,R68)=0,"",SUM(F68,J68,N68,R68))</f>
        <v/>
      </c>
      <c r="U68" s="22">
        <f>IF(COUNT(G68,K68,O68,S68)=0,"",SUM(G68,K68,O68,S68))</f>
        <v/>
      </c>
      <c r="V68" s="22">
        <f>IF(OR(T68="",U68=""),"",U68-T68)</f>
        <v/>
      </c>
      <c r="W68" s="22">
        <f>IF(Q68&lt;&gt;"",Q68,IF(M68&lt;&gt;"",M68,IF(I68&lt;&gt;"",I68,IF(E68&lt;&gt;"",E68,""))))</f>
        <v/>
      </c>
      <c r="X68" s="18">
        <f>IF(U68="","",U68*N(Produits!$E$67))</f>
        <v/>
      </c>
    </row>
    <row r="69">
      <c r="A69" s="33">
        <f>IF(Produits!$A$68="","",Produits!$A$68)</f>
        <v/>
      </c>
      <c r="B69" s="34">
        <f>IF(Produits!$A$68="","",Produits!$C$68)</f>
        <v/>
      </c>
      <c r="C69" s="34">
        <f>IF(Produits!$A$68="","",Produits!$D$68)</f>
        <v/>
      </c>
      <c r="D69" s="32" t="n"/>
      <c r="E69" s="29" t="n"/>
      <c r="F69" s="29" t="n"/>
      <c r="G69" s="29" t="n"/>
      <c r="H69" s="32" t="n"/>
      <c r="I69" s="29" t="n"/>
      <c r="J69" s="29" t="n"/>
      <c r="K69" s="29" t="n"/>
      <c r="L69" s="32" t="n"/>
      <c r="M69" s="29" t="n"/>
      <c r="N69" s="29" t="n"/>
      <c r="O69" s="29" t="n"/>
      <c r="P69" s="32" t="n"/>
      <c r="Q69" s="29" t="n"/>
      <c r="R69" s="29" t="n"/>
      <c r="S69" s="29" t="n"/>
      <c r="T69" s="22">
        <f>IF(COUNT(F69,J69,N69,R69)=0,"",SUM(F69,J69,N69,R69))</f>
        <v/>
      </c>
      <c r="U69" s="22">
        <f>IF(COUNT(G69,K69,O69,S69)=0,"",SUM(G69,K69,O69,S69))</f>
        <v/>
      </c>
      <c r="V69" s="22">
        <f>IF(OR(T69="",U69=""),"",U69-T69)</f>
        <v/>
      </c>
      <c r="W69" s="22">
        <f>IF(Q69&lt;&gt;"",Q69,IF(M69&lt;&gt;"",M69,IF(I69&lt;&gt;"",I69,IF(E69&lt;&gt;"",E69,""))))</f>
        <v/>
      </c>
      <c r="X69" s="18">
        <f>IF(U69="","",U69*N(Produits!$E$68))</f>
        <v/>
      </c>
    </row>
    <row r="71">
      <c r="A71" s="15" t="inlineStr">
        <is>
          <t>Total des dépenses du mois</t>
        </is>
      </c>
      <c r="B71" s="19" t="n"/>
      <c r="C71" s="19" t="n"/>
      <c r="X71" s="35">
        <f>SUM(X7:X69)</f>
        <v/>
      </c>
    </row>
  </sheetData>
  <mergeCells count="14">
    <mergeCell ref="H4:K4"/>
    <mergeCell ref="A71:C71"/>
    <mergeCell ref="B4:B5"/>
    <mergeCell ref="C4:C5"/>
    <mergeCell ref="A4:A5"/>
    <mergeCell ref="T4:W4"/>
    <mergeCell ref="X4:X5"/>
    <mergeCell ref="A38:X38"/>
    <mergeCell ref="A54:X54"/>
    <mergeCell ref="L4:O4"/>
    <mergeCell ref="P4:S4"/>
    <mergeCell ref="A6:X6"/>
    <mergeCell ref="A22:X22"/>
    <mergeCell ref="D4:G4"/>
  </mergeCells>
  <conditionalFormatting sqref="V7:V69">
    <cfRule type="expression" priority="1" dxfId="0">
      <formula>AND(ISNUMBER(V7),V7&lt;0)</formula>
    </cfRule>
  </conditionalFormatting>
  <conditionalFormatting sqref="E7:E69">
    <cfRule type="expression" priority="2" dxfId="1">
      <formula>AND(ISNUMBER(E7),ISNUMBER($C7),E7&lt;=$C7)</formula>
    </cfRule>
  </conditionalFormatting>
  <conditionalFormatting sqref="G7:G69">
    <cfRule type="expression" priority="3" dxfId="0">
      <formula>AND(ISNUMBER(G7),ISNUMBER(F7),G7&lt;F7)</formula>
    </cfRule>
  </conditionalFormatting>
  <conditionalFormatting sqref="I7:I69">
    <cfRule type="expression" priority="4" dxfId="1">
      <formula>AND(ISNUMBER(I7),ISNUMBER($C7),I7&lt;=$C7)</formula>
    </cfRule>
  </conditionalFormatting>
  <conditionalFormatting sqref="K7:K69">
    <cfRule type="expression" priority="5" dxfId="0">
      <formula>AND(ISNUMBER(K7),ISNUMBER(J7),K7&lt;J7)</formula>
    </cfRule>
  </conditionalFormatting>
  <conditionalFormatting sqref="M7:M69">
    <cfRule type="expression" priority="6" dxfId="1">
      <formula>AND(ISNUMBER(M7),ISNUMBER($C7),M7&lt;=$C7)</formula>
    </cfRule>
  </conditionalFormatting>
  <conditionalFormatting sqref="O7:O69">
    <cfRule type="expression" priority="7" dxfId="0">
      <formula>AND(ISNUMBER(O7),ISNUMBER(N7),O7&lt;N7)</formula>
    </cfRule>
  </conditionalFormatting>
  <conditionalFormatting sqref="Q7:Q69">
    <cfRule type="expression" priority="8" dxfId="1">
      <formula>AND(ISNUMBER(Q7),ISNUMBER($C7),Q7&lt;=$C7)</formula>
    </cfRule>
  </conditionalFormatting>
  <conditionalFormatting sqref="S7:S69">
    <cfRule type="expression" priority="9" dxfId="0">
      <formula>AND(ISNUMBER(S7),ISNUMBER(R7),S7&lt;R7)</formula>
    </cfRule>
  </conditionalFormatting>
  <dataValidations count="4">
    <dataValidation sqref="E7:G69" showDropDown="0" showInputMessage="0" showErrorMessage="1" allowBlank="1" errorTitle="Valeur invalide" error="Entre un nombre positif (ou laisse vide)." type="decimal" operator="greaterThanOrEqual">
      <formula1>0</formula1>
    </dataValidation>
    <dataValidation sqref="I7:K69" showDropDown="0" showInputMessage="0" showErrorMessage="1" allowBlank="1" errorTitle="Valeur invalide" error="Entre un nombre positif (ou laisse vide)." type="decimal" operator="greaterThanOrEqual">
      <formula1>0</formula1>
    </dataValidation>
    <dataValidation sqref="M7:O69" showDropDown="0" showInputMessage="0" showErrorMessage="1" allowBlank="1" errorTitle="Valeur invalide" error="Entre un nombre positif (ou laisse vide)." type="decimal" operator="greaterThanOrEqual">
      <formula1>0</formula1>
    </dataValidation>
    <dataValidation sqref="Q7:S69"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X71"/>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24" customWidth="1" min="1" max="1"/>
    <col width="7" customWidth="1" min="2" max="2"/>
    <col width="7" customWidth="1" min="3" max="3"/>
    <col width="11" customWidth="1" min="4" max="4"/>
    <col width="10.5" customWidth="1" min="5" max="5"/>
    <col width="10.5" customWidth="1" min="6" max="6"/>
    <col width="10.5" customWidth="1" min="7" max="7"/>
    <col width="11" customWidth="1" min="8" max="8"/>
    <col width="10.5" customWidth="1" min="9" max="9"/>
    <col width="10.5" customWidth="1" min="10" max="10"/>
    <col width="10.5" customWidth="1" min="11" max="11"/>
    <col width="11" customWidth="1" min="12" max="12"/>
    <col width="10.5" customWidth="1" min="13" max="13"/>
    <col width="10.5" customWidth="1" min="14" max="14"/>
    <col width="10.5" customWidth="1" min="15" max="15"/>
    <col width="11" customWidth="1" min="16" max="16"/>
    <col width="10.5" customWidth="1" min="17" max="17"/>
    <col width="10.5" customWidth="1" min="18" max="18"/>
    <col width="10.5" customWidth="1" min="19" max="19"/>
    <col width="11" customWidth="1" min="20" max="20"/>
    <col width="11" customWidth="1" min="21" max="21"/>
    <col width="11" customWidth="1" min="22" max="22"/>
    <col width="11" customWidth="1" min="23" max="23"/>
    <col width="12" customWidth="1" min="24" max="24"/>
  </cols>
  <sheetData>
    <row r="1" ht="26" customHeight="1">
      <c r="A1" s="1" t="inlineStr">
        <is>
          <t>Avril 2026</t>
        </is>
      </c>
    </row>
    <row r="2">
      <c r="A2" s="2" t="inlineStr">
        <is>
          <t>Date cmd = jour où tu passes la commande · Stock = ce qu'il reste · Commandé · Reçu = ce qui est arrivé</t>
        </is>
      </c>
    </row>
    <row r="4">
      <c r="A4" s="15" t="inlineStr">
        <is>
          <t>Produit</t>
        </is>
      </c>
      <c r="B4" s="15" t="inlineStr">
        <is>
          <t>Unité</t>
        </is>
      </c>
      <c r="C4" s="15" t="inlineStr">
        <is>
          <t>Mini</t>
        </is>
      </c>
      <c r="D4" s="15" t="inlineStr">
        <is>
          <t>Semaine 1</t>
        </is>
      </c>
      <c r="E4" s="19" t="n"/>
      <c r="F4" s="19" t="n"/>
      <c r="G4" s="19" t="n"/>
      <c r="H4" s="15" t="inlineStr">
        <is>
          <t>Semaine 2</t>
        </is>
      </c>
      <c r="I4" s="19" t="n"/>
      <c r="J4" s="19" t="n"/>
      <c r="K4" s="19" t="n"/>
      <c r="L4" s="15" t="inlineStr">
        <is>
          <t>Semaine 3</t>
        </is>
      </c>
      <c r="M4" s="19" t="n"/>
      <c r="N4" s="19" t="n"/>
      <c r="O4" s="19" t="n"/>
      <c r="P4" s="15" t="inlineStr">
        <is>
          <t>Semaine 4</t>
        </is>
      </c>
      <c r="Q4" s="19" t="n"/>
      <c r="R4" s="19" t="n"/>
      <c r="S4" s="19" t="n"/>
      <c r="T4" s="15" t="inlineStr">
        <is>
          <t>Total du mois</t>
        </is>
      </c>
      <c r="U4" s="19" t="n"/>
      <c r="V4" s="19" t="n"/>
      <c r="W4" s="19" t="n"/>
      <c r="X4" s="15" t="inlineStr">
        <is>
          <t>Dépense (€)</t>
        </is>
      </c>
    </row>
    <row r="5">
      <c r="A5" s="19" t="n"/>
      <c r="B5" s="19" t="n"/>
      <c r="C5" s="19" t="n"/>
      <c r="D5" s="8" t="inlineStr">
        <is>
          <t>Date cmd</t>
        </is>
      </c>
      <c r="E5" s="8" t="inlineStr">
        <is>
          <t>Stock</t>
        </is>
      </c>
      <c r="F5" s="8" t="inlineStr">
        <is>
          <t>Commandé</t>
        </is>
      </c>
      <c r="G5" s="8" t="inlineStr">
        <is>
          <t>Reçu</t>
        </is>
      </c>
      <c r="H5" s="8" t="inlineStr">
        <is>
          <t>Date cmd</t>
        </is>
      </c>
      <c r="I5" s="8" t="inlineStr">
        <is>
          <t>Stock</t>
        </is>
      </c>
      <c r="J5" s="8" t="inlineStr">
        <is>
          <t>Commandé</t>
        </is>
      </c>
      <c r="K5" s="8" t="inlineStr">
        <is>
          <t>Reçu</t>
        </is>
      </c>
      <c r="L5" s="8" t="inlineStr">
        <is>
          <t>Date cmd</t>
        </is>
      </c>
      <c r="M5" s="8" t="inlineStr">
        <is>
          <t>Stock</t>
        </is>
      </c>
      <c r="N5" s="8" t="inlineStr">
        <is>
          <t>Commandé</t>
        </is>
      </c>
      <c r="O5" s="8" t="inlineStr">
        <is>
          <t>Reçu</t>
        </is>
      </c>
      <c r="P5" s="8" t="inlineStr">
        <is>
          <t>Date cmd</t>
        </is>
      </c>
      <c r="Q5" s="8" t="inlineStr">
        <is>
          <t>Stock</t>
        </is>
      </c>
      <c r="R5" s="8" t="inlineStr">
        <is>
          <t>Commandé</t>
        </is>
      </c>
      <c r="S5" s="8" t="inlineStr">
        <is>
          <t>Reçu</t>
        </is>
      </c>
      <c r="T5" s="8" t="inlineStr">
        <is>
          <t>Commandé</t>
        </is>
      </c>
      <c r="U5" s="8" t="inlineStr">
        <is>
          <t>Reçu</t>
        </is>
      </c>
      <c r="V5" s="8" t="inlineStr">
        <is>
          <t>Écart</t>
        </is>
      </c>
      <c r="W5" s="8" t="inlineStr">
        <is>
          <t>Dernier stock</t>
        </is>
      </c>
      <c r="X5" s="19" t="n"/>
    </row>
    <row r="6" ht="20" customHeight="1">
      <c r="A6" s="23" t="inlineStr">
        <is>
          <t>RÉSERVE SÈCHE</t>
        </is>
      </c>
      <c r="B6" s="10" t="n"/>
      <c r="C6" s="10" t="n"/>
      <c r="D6" s="10" t="n"/>
      <c r="E6" s="10" t="n"/>
      <c r="F6" s="10" t="n"/>
      <c r="G6" s="10" t="n"/>
      <c r="H6" s="10" t="n"/>
      <c r="I6" s="10" t="n"/>
      <c r="J6" s="10" t="n"/>
      <c r="K6" s="10" t="n"/>
      <c r="L6" s="10" t="n"/>
      <c r="M6" s="10" t="n"/>
      <c r="N6" s="10" t="n"/>
      <c r="O6" s="10" t="n"/>
      <c r="P6" s="10" t="n"/>
      <c r="Q6" s="10" t="n"/>
      <c r="R6" s="10" t="n"/>
      <c r="S6" s="10" t="n"/>
      <c r="T6" s="10" t="n"/>
      <c r="U6" s="10" t="n"/>
      <c r="V6" s="10" t="n"/>
      <c r="W6" s="10" t="n"/>
      <c r="X6" s="10" t="n"/>
    </row>
    <row r="7">
      <c r="A7" s="33">
        <f>IF(Produits!$A$6="","",Produits!$A$6)</f>
        <v/>
      </c>
      <c r="B7" s="34">
        <f>IF(Produits!$A$6="","",Produits!$C$6)</f>
        <v/>
      </c>
      <c r="C7" s="34">
        <f>IF(Produits!$A$6="","",Produits!$D$6)</f>
        <v/>
      </c>
      <c r="D7" s="32" t="n"/>
      <c r="E7" s="29" t="n"/>
      <c r="F7" s="29" t="n"/>
      <c r="G7" s="29" t="n"/>
      <c r="H7" s="32" t="n"/>
      <c r="I7" s="29" t="n"/>
      <c r="J7" s="29" t="n"/>
      <c r="K7" s="29" t="n"/>
      <c r="L7" s="32" t="n"/>
      <c r="M7" s="29" t="n"/>
      <c r="N7" s="29" t="n"/>
      <c r="O7" s="29" t="n"/>
      <c r="P7" s="32" t="n"/>
      <c r="Q7" s="29" t="n"/>
      <c r="R7" s="29" t="n"/>
      <c r="S7" s="29" t="n"/>
      <c r="T7" s="22">
        <f>IF(COUNT(F7,J7,N7,R7)=0,"",SUM(F7,J7,N7,R7))</f>
        <v/>
      </c>
      <c r="U7" s="22">
        <f>IF(COUNT(G7,K7,O7,S7)=0,"",SUM(G7,K7,O7,S7))</f>
        <v/>
      </c>
      <c r="V7" s="22">
        <f>IF(OR(T7="",U7=""),"",U7-T7)</f>
        <v/>
      </c>
      <c r="W7" s="22">
        <f>IF(Q7&lt;&gt;"",Q7,IF(M7&lt;&gt;"",M7,IF(I7&lt;&gt;"",I7,IF(E7&lt;&gt;"",E7,""))))</f>
        <v/>
      </c>
      <c r="X7" s="18">
        <f>IF(U7="","",U7*N(Produits!$E$6))</f>
        <v/>
      </c>
    </row>
    <row r="8">
      <c r="A8" s="33">
        <f>IF(Produits!$A$7="","",Produits!$A$7)</f>
        <v/>
      </c>
      <c r="B8" s="34">
        <f>IF(Produits!$A$7="","",Produits!$C$7)</f>
        <v/>
      </c>
      <c r="C8" s="34">
        <f>IF(Produits!$A$7="","",Produits!$D$7)</f>
        <v/>
      </c>
      <c r="D8" s="32" t="n"/>
      <c r="E8" s="29" t="n"/>
      <c r="F8" s="29" t="n"/>
      <c r="G8" s="29" t="n"/>
      <c r="H8" s="32" t="n"/>
      <c r="I8" s="29" t="n"/>
      <c r="J8" s="29" t="n"/>
      <c r="K8" s="29" t="n"/>
      <c r="L8" s="32" t="n"/>
      <c r="M8" s="29" t="n"/>
      <c r="N8" s="29" t="n"/>
      <c r="O8" s="29" t="n"/>
      <c r="P8" s="32" t="n"/>
      <c r="Q8" s="29" t="n"/>
      <c r="R8" s="29" t="n"/>
      <c r="S8" s="29" t="n"/>
      <c r="T8" s="22">
        <f>IF(COUNT(F8,J8,N8,R8)=0,"",SUM(F8,J8,N8,R8))</f>
        <v/>
      </c>
      <c r="U8" s="22">
        <f>IF(COUNT(G8,K8,O8,S8)=0,"",SUM(G8,K8,O8,S8))</f>
        <v/>
      </c>
      <c r="V8" s="22">
        <f>IF(OR(T8="",U8=""),"",U8-T8)</f>
        <v/>
      </c>
      <c r="W8" s="22">
        <f>IF(Q8&lt;&gt;"",Q8,IF(M8&lt;&gt;"",M8,IF(I8&lt;&gt;"",I8,IF(E8&lt;&gt;"",E8,""))))</f>
        <v/>
      </c>
      <c r="X8" s="18">
        <f>IF(U8="","",U8*N(Produits!$E$7))</f>
        <v/>
      </c>
    </row>
    <row r="9">
      <c r="A9" s="33">
        <f>IF(Produits!$A$8="","",Produits!$A$8)</f>
        <v/>
      </c>
      <c r="B9" s="34">
        <f>IF(Produits!$A$8="","",Produits!$C$8)</f>
        <v/>
      </c>
      <c r="C9" s="34">
        <f>IF(Produits!$A$8="","",Produits!$D$8)</f>
        <v/>
      </c>
      <c r="D9" s="32" t="n"/>
      <c r="E9" s="29" t="n"/>
      <c r="F9" s="29" t="n"/>
      <c r="G9" s="29" t="n"/>
      <c r="H9" s="32" t="n"/>
      <c r="I9" s="29" t="n"/>
      <c r="J9" s="29" t="n"/>
      <c r="K9" s="29" t="n"/>
      <c r="L9" s="32" t="n"/>
      <c r="M9" s="29" t="n"/>
      <c r="N9" s="29" t="n"/>
      <c r="O9" s="29" t="n"/>
      <c r="P9" s="32" t="n"/>
      <c r="Q9" s="29" t="n"/>
      <c r="R9" s="29" t="n"/>
      <c r="S9" s="29" t="n"/>
      <c r="T9" s="22">
        <f>IF(COUNT(F9,J9,N9,R9)=0,"",SUM(F9,J9,N9,R9))</f>
        <v/>
      </c>
      <c r="U9" s="22">
        <f>IF(COUNT(G9,K9,O9,S9)=0,"",SUM(G9,K9,O9,S9))</f>
        <v/>
      </c>
      <c r="V9" s="22">
        <f>IF(OR(T9="",U9=""),"",U9-T9)</f>
        <v/>
      </c>
      <c r="W9" s="22">
        <f>IF(Q9&lt;&gt;"",Q9,IF(M9&lt;&gt;"",M9,IF(I9&lt;&gt;"",I9,IF(E9&lt;&gt;"",E9,""))))</f>
        <v/>
      </c>
      <c r="X9" s="18">
        <f>IF(U9="","",U9*N(Produits!$E$8))</f>
        <v/>
      </c>
    </row>
    <row r="10">
      <c r="A10" s="33">
        <f>IF(Produits!$A$9="","",Produits!$A$9)</f>
        <v/>
      </c>
      <c r="B10" s="34">
        <f>IF(Produits!$A$9="","",Produits!$C$9)</f>
        <v/>
      </c>
      <c r="C10" s="34">
        <f>IF(Produits!$A$9="","",Produits!$D$9)</f>
        <v/>
      </c>
      <c r="D10" s="32" t="n"/>
      <c r="E10" s="29" t="n"/>
      <c r="F10" s="29" t="n"/>
      <c r="G10" s="29" t="n"/>
      <c r="H10" s="32" t="n"/>
      <c r="I10" s="29" t="n"/>
      <c r="J10" s="29" t="n"/>
      <c r="K10" s="29" t="n"/>
      <c r="L10" s="32" t="n"/>
      <c r="M10" s="29" t="n"/>
      <c r="N10" s="29" t="n"/>
      <c r="O10" s="29" t="n"/>
      <c r="P10" s="32" t="n"/>
      <c r="Q10" s="29" t="n"/>
      <c r="R10" s="29" t="n"/>
      <c r="S10" s="29" t="n"/>
      <c r="T10" s="22">
        <f>IF(COUNT(F10,J10,N10,R10)=0,"",SUM(F10,J10,N10,R10))</f>
        <v/>
      </c>
      <c r="U10" s="22">
        <f>IF(COUNT(G10,K10,O10,S10)=0,"",SUM(G10,K10,O10,S10))</f>
        <v/>
      </c>
      <c r="V10" s="22">
        <f>IF(OR(T10="",U10=""),"",U10-T10)</f>
        <v/>
      </c>
      <c r="W10" s="22">
        <f>IF(Q10&lt;&gt;"",Q10,IF(M10&lt;&gt;"",M10,IF(I10&lt;&gt;"",I10,IF(E10&lt;&gt;"",E10,""))))</f>
        <v/>
      </c>
      <c r="X10" s="18">
        <f>IF(U10="","",U10*N(Produits!$E$9))</f>
        <v/>
      </c>
    </row>
    <row r="11">
      <c r="A11" s="33">
        <f>IF(Produits!$A$10="","",Produits!$A$10)</f>
        <v/>
      </c>
      <c r="B11" s="34">
        <f>IF(Produits!$A$10="","",Produits!$C$10)</f>
        <v/>
      </c>
      <c r="C11" s="34">
        <f>IF(Produits!$A$10="","",Produits!$D$10)</f>
        <v/>
      </c>
      <c r="D11" s="32" t="n"/>
      <c r="E11" s="29" t="n"/>
      <c r="F11" s="29" t="n"/>
      <c r="G11" s="29" t="n"/>
      <c r="H11" s="32" t="n"/>
      <c r="I11" s="29" t="n"/>
      <c r="J11" s="29" t="n"/>
      <c r="K11" s="29" t="n"/>
      <c r="L11" s="32" t="n"/>
      <c r="M11" s="29" t="n"/>
      <c r="N11" s="29" t="n"/>
      <c r="O11" s="29" t="n"/>
      <c r="P11" s="32" t="n"/>
      <c r="Q11" s="29" t="n"/>
      <c r="R11" s="29" t="n"/>
      <c r="S11" s="29" t="n"/>
      <c r="T11" s="22">
        <f>IF(COUNT(F11,J11,N11,R11)=0,"",SUM(F11,J11,N11,R11))</f>
        <v/>
      </c>
      <c r="U11" s="22">
        <f>IF(COUNT(G11,K11,O11,S11)=0,"",SUM(G11,K11,O11,S11))</f>
        <v/>
      </c>
      <c r="V11" s="22">
        <f>IF(OR(T11="",U11=""),"",U11-T11)</f>
        <v/>
      </c>
      <c r="W11" s="22">
        <f>IF(Q11&lt;&gt;"",Q11,IF(M11&lt;&gt;"",M11,IF(I11&lt;&gt;"",I11,IF(E11&lt;&gt;"",E11,""))))</f>
        <v/>
      </c>
      <c r="X11" s="18">
        <f>IF(U11="","",U11*N(Produits!$E$10))</f>
        <v/>
      </c>
    </row>
    <row r="12">
      <c r="A12" s="33">
        <f>IF(Produits!$A$11="","",Produits!$A$11)</f>
        <v/>
      </c>
      <c r="B12" s="34">
        <f>IF(Produits!$A$11="","",Produits!$C$11)</f>
        <v/>
      </c>
      <c r="C12" s="34">
        <f>IF(Produits!$A$11="","",Produits!$D$11)</f>
        <v/>
      </c>
      <c r="D12" s="32" t="n"/>
      <c r="E12" s="29" t="n"/>
      <c r="F12" s="29" t="n"/>
      <c r="G12" s="29" t="n"/>
      <c r="H12" s="32" t="n"/>
      <c r="I12" s="29" t="n"/>
      <c r="J12" s="29" t="n"/>
      <c r="K12" s="29" t="n"/>
      <c r="L12" s="32" t="n"/>
      <c r="M12" s="29" t="n"/>
      <c r="N12" s="29" t="n"/>
      <c r="O12" s="29" t="n"/>
      <c r="P12" s="32" t="n"/>
      <c r="Q12" s="29" t="n"/>
      <c r="R12" s="29" t="n"/>
      <c r="S12" s="29" t="n"/>
      <c r="T12" s="22">
        <f>IF(COUNT(F12,J12,N12,R12)=0,"",SUM(F12,J12,N12,R12))</f>
        <v/>
      </c>
      <c r="U12" s="22">
        <f>IF(COUNT(G12,K12,O12,S12)=0,"",SUM(G12,K12,O12,S12))</f>
        <v/>
      </c>
      <c r="V12" s="22">
        <f>IF(OR(T12="",U12=""),"",U12-T12)</f>
        <v/>
      </c>
      <c r="W12" s="22">
        <f>IF(Q12&lt;&gt;"",Q12,IF(M12&lt;&gt;"",M12,IF(I12&lt;&gt;"",I12,IF(E12&lt;&gt;"",E12,""))))</f>
        <v/>
      </c>
      <c r="X12" s="18">
        <f>IF(U12="","",U12*N(Produits!$E$11))</f>
        <v/>
      </c>
    </row>
    <row r="13">
      <c r="A13" s="33">
        <f>IF(Produits!$A$12="","",Produits!$A$12)</f>
        <v/>
      </c>
      <c r="B13" s="34">
        <f>IF(Produits!$A$12="","",Produits!$C$12)</f>
        <v/>
      </c>
      <c r="C13" s="34">
        <f>IF(Produits!$A$12="","",Produits!$D$12)</f>
        <v/>
      </c>
      <c r="D13" s="32" t="n"/>
      <c r="E13" s="29" t="n"/>
      <c r="F13" s="29" t="n"/>
      <c r="G13" s="29" t="n"/>
      <c r="H13" s="32" t="n"/>
      <c r="I13" s="29" t="n"/>
      <c r="J13" s="29" t="n"/>
      <c r="K13" s="29" t="n"/>
      <c r="L13" s="32" t="n"/>
      <c r="M13" s="29" t="n"/>
      <c r="N13" s="29" t="n"/>
      <c r="O13" s="29" t="n"/>
      <c r="P13" s="32" t="n"/>
      <c r="Q13" s="29" t="n"/>
      <c r="R13" s="29" t="n"/>
      <c r="S13" s="29" t="n"/>
      <c r="T13" s="22">
        <f>IF(COUNT(F13,J13,N13,R13)=0,"",SUM(F13,J13,N13,R13))</f>
        <v/>
      </c>
      <c r="U13" s="22">
        <f>IF(COUNT(G13,K13,O13,S13)=0,"",SUM(G13,K13,O13,S13))</f>
        <v/>
      </c>
      <c r="V13" s="22">
        <f>IF(OR(T13="",U13=""),"",U13-T13)</f>
        <v/>
      </c>
      <c r="W13" s="22">
        <f>IF(Q13&lt;&gt;"",Q13,IF(M13&lt;&gt;"",M13,IF(I13&lt;&gt;"",I13,IF(E13&lt;&gt;"",E13,""))))</f>
        <v/>
      </c>
      <c r="X13" s="18">
        <f>IF(U13="","",U13*N(Produits!$E$12))</f>
        <v/>
      </c>
    </row>
    <row r="14">
      <c r="A14" s="33">
        <f>IF(Produits!$A$13="","",Produits!$A$13)</f>
        <v/>
      </c>
      <c r="B14" s="34">
        <f>IF(Produits!$A$13="","",Produits!$C$13)</f>
        <v/>
      </c>
      <c r="C14" s="34">
        <f>IF(Produits!$A$13="","",Produits!$D$13)</f>
        <v/>
      </c>
      <c r="D14" s="32" t="n"/>
      <c r="E14" s="29" t="n"/>
      <c r="F14" s="29" t="n"/>
      <c r="G14" s="29" t="n"/>
      <c r="H14" s="32" t="n"/>
      <c r="I14" s="29" t="n"/>
      <c r="J14" s="29" t="n"/>
      <c r="K14" s="29" t="n"/>
      <c r="L14" s="32" t="n"/>
      <c r="M14" s="29" t="n"/>
      <c r="N14" s="29" t="n"/>
      <c r="O14" s="29" t="n"/>
      <c r="P14" s="32" t="n"/>
      <c r="Q14" s="29" t="n"/>
      <c r="R14" s="29" t="n"/>
      <c r="S14" s="29" t="n"/>
      <c r="T14" s="22">
        <f>IF(COUNT(F14,J14,N14,R14)=0,"",SUM(F14,J14,N14,R14))</f>
        <v/>
      </c>
      <c r="U14" s="22">
        <f>IF(COUNT(G14,K14,O14,S14)=0,"",SUM(G14,K14,O14,S14))</f>
        <v/>
      </c>
      <c r="V14" s="22">
        <f>IF(OR(T14="",U14=""),"",U14-T14)</f>
        <v/>
      </c>
      <c r="W14" s="22">
        <f>IF(Q14&lt;&gt;"",Q14,IF(M14&lt;&gt;"",M14,IF(I14&lt;&gt;"",I14,IF(E14&lt;&gt;"",E14,""))))</f>
        <v/>
      </c>
      <c r="X14" s="18">
        <f>IF(U14="","",U14*N(Produits!$E$13))</f>
        <v/>
      </c>
    </row>
    <row r="15">
      <c r="A15" s="33">
        <f>IF(Produits!$A$14="","",Produits!$A$14)</f>
        <v/>
      </c>
      <c r="B15" s="34">
        <f>IF(Produits!$A$14="","",Produits!$C$14)</f>
        <v/>
      </c>
      <c r="C15" s="34">
        <f>IF(Produits!$A$14="","",Produits!$D$14)</f>
        <v/>
      </c>
      <c r="D15" s="32" t="n"/>
      <c r="E15" s="29" t="n"/>
      <c r="F15" s="29" t="n"/>
      <c r="G15" s="29" t="n"/>
      <c r="H15" s="32" t="n"/>
      <c r="I15" s="29" t="n"/>
      <c r="J15" s="29" t="n"/>
      <c r="K15" s="29" t="n"/>
      <c r="L15" s="32" t="n"/>
      <c r="M15" s="29" t="n"/>
      <c r="N15" s="29" t="n"/>
      <c r="O15" s="29" t="n"/>
      <c r="P15" s="32" t="n"/>
      <c r="Q15" s="29" t="n"/>
      <c r="R15" s="29" t="n"/>
      <c r="S15" s="29" t="n"/>
      <c r="T15" s="22">
        <f>IF(COUNT(F15,J15,N15,R15)=0,"",SUM(F15,J15,N15,R15))</f>
        <v/>
      </c>
      <c r="U15" s="22">
        <f>IF(COUNT(G15,K15,O15,S15)=0,"",SUM(G15,K15,O15,S15))</f>
        <v/>
      </c>
      <c r="V15" s="22">
        <f>IF(OR(T15="",U15=""),"",U15-T15)</f>
        <v/>
      </c>
      <c r="W15" s="22">
        <f>IF(Q15&lt;&gt;"",Q15,IF(M15&lt;&gt;"",M15,IF(I15&lt;&gt;"",I15,IF(E15&lt;&gt;"",E15,""))))</f>
        <v/>
      </c>
      <c r="X15" s="18">
        <f>IF(U15="","",U15*N(Produits!$E$14))</f>
        <v/>
      </c>
    </row>
    <row r="16">
      <c r="A16" s="33">
        <f>IF(Produits!$A$15="","",Produits!$A$15)</f>
        <v/>
      </c>
      <c r="B16" s="34">
        <f>IF(Produits!$A$15="","",Produits!$C$15)</f>
        <v/>
      </c>
      <c r="C16" s="34">
        <f>IF(Produits!$A$15="","",Produits!$D$15)</f>
        <v/>
      </c>
      <c r="D16" s="32" t="n"/>
      <c r="E16" s="29" t="n"/>
      <c r="F16" s="29" t="n"/>
      <c r="G16" s="29" t="n"/>
      <c r="H16" s="32" t="n"/>
      <c r="I16" s="29" t="n"/>
      <c r="J16" s="29" t="n"/>
      <c r="K16" s="29" t="n"/>
      <c r="L16" s="32" t="n"/>
      <c r="M16" s="29" t="n"/>
      <c r="N16" s="29" t="n"/>
      <c r="O16" s="29" t="n"/>
      <c r="P16" s="32" t="n"/>
      <c r="Q16" s="29" t="n"/>
      <c r="R16" s="29" t="n"/>
      <c r="S16" s="29" t="n"/>
      <c r="T16" s="22">
        <f>IF(COUNT(F16,J16,N16,R16)=0,"",SUM(F16,J16,N16,R16))</f>
        <v/>
      </c>
      <c r="U16" s="22">
        <f>IF(COUNT(G16,K16,O16,S16)=0,"",SUM(G16,K16,O16,S16))</f>
        <v/>
      </c>
      <c r="V16" s="22">
        <f>IF(OR(T16="",U16=""),"",U16-T16)</f>
        <v/>
      </c>
      <c r="W16" s="22">
        <f>IF(Q16&lt;&gt;"",Q16,IF(M16&lt;&gt;"",M16,IF(I16&lt;&gt;"",I16,IF(E16&lt;&gt;"",E16,""))))</f>
        <v/>
      </c>
      <c r="X16" s="18">
        <f>IF(U16="","",U16*N(Produits!$E$15))</f>
        <v/>
      </c>
    </row>
    <row r="17">
      <c r="A17" s="33">
        <f>IF(Produits!$A$16="","",Produits!$A$16)</f>
        <v/>
      </c>
      <c r="B17" s="34">
        <f>IF(Produits!$A$16="","",Produits!$C$16)</f>
        <v/>
      </c>
      <c r="C17" s="34">
        <f>IF(Produits!$A$16="","",Produits!$D$16)</f>
        <v/>
      </c>
      <c r="D17" s="32" t="n"/>
      <c r="E17" s="29" t="n"/>
      <c r="F17" s="29" t="n"/>
      <c r="G17" s="29" t="n"/>
      <c r="H17" s="32" t="n"/>
      <c r="I17" s="29" t="n"/>
      <c r="J17" s="29" t="n"/>
      <c r="K17" s="29" t="n"/>
      <c r="L17" s="32" t="n"/>
      <c r="M17" s="29" t="n"/>
      <c r="N17" s="29" t="n"/>
      <c r="O17" s="29" t="n"/>
      <c r="P17" s="32" t="n"/>
      <c r="Q17" s="29" t="n"/>
      <c r="R17" s="29" t="n"/>
      <c r="S17" s="29" t="n"/>
      <c r="T17" s="22">
        <f>IF(COUNT(F17,J17,N17,R17)=0,"",SUM(F17,J17,N17,R17))</f>
        <v/>
      </c>
      <c r="U17" s="22">
        <f>IF(COUNT(G17,K17,O17,S17)=0,"",SUM(G17,K17,O17,S17))</f>
        <v/>
      </c>
      <c r="V17" s="22">
        <f>IF(OR(T17="",U17=""),"",U17-T17)</f>
        <v/>
      </c>
      <c r="W17" s="22">
        <f>IF(Q17&lt;&gt;"",Q17,IF(M17&lt;&gt;"",M17,IF(I17&lt;&gt;"",I17,IF(E17&lt;&gt;"",E17,""))))</f>
        <v/>
      </c>
      <c r="X17" s="18">
        <f>IF(U17="","",U17*N(Produits!$E$16))</f>
        <v/>
      </c>
    </row>
    <row r="18">
      <c r="A18" s="33">
        <f>IF(Produits!$A$17="","",Produits!$A$17)</f>
        <v/>
      </c>
      <c r="B18" s="34">
        <f>IF(Produits!$A$17="","",Produits!$C$17)</f>
        <v/>
      </c>
      <c r="C18" s="34">
        <f>IF(Produits!$A$17="","",Produits!$D$17)</f>
        <v/>
      </c>
      <c r="D18" s="32" t="n"/>
      <c r="E18" s="29" t="n"/>
      <c r="F18" s="29" t="n"/>
      <c r="G18" s="29" t="n"/>
      <c r="H18" s="32" t="n"/>
      <c r="I18" s="29" t="n"/>
      <c r="J18" s="29" t="n"/>
      <c r="K18" s="29" t="n"/>
      <c r="L18" s="32" t="n"/>
      <c r="M18" s="29" t="n"/>
      <c r="N18" s="29" t="n"/>
      <c r="O18" s="29" t="n"/>
      <c r="P18" s="32" t="n"/>
      <c r="Q18" s="29" t="n"/>
      <c r="R18" s="29" t="n"/>
      <c r="S18" s="29" t="n"/>
      <c r="T18" s="22">
        <f>IF(COUNT(F18,J18,N18,R18)=0,"",SUM(F18,J18,N18,R18))</f>
        <v/>
      </c>
      <c r="U18" s="22">
        <f>IF(COUNT(G18,K18,O18,S18)=0,"",SUM(G18,K18,O18,S18))</f>
        <v/>
      </c>
      <c r="V18" s="22">
        <f>IF(OR(T18="",U18=""),"",U18-T18)</f>
        <v/>
      </c>
      <c r="W18" s="22">
        <f>IF(Q18&lt;&gt;"",Q18,IF(M18&lt;&gt;"",M18,IF(I18&lt;&gt;"",I18,IF(E18&lt;&gt;"",E18,""))))</f>
        <v/>
      </c>
      <c r="X18" s="18">
        <f>IF(U18="","",U18*N(Produits!$E$17))</f>
        <v/>
      </c>
    </row>
    <row r="19">
      <c r="A19" s="33">
        <f>IF(Produits!$A$18="","",Produits!$A$18)</f>
        <v/>
      </c>
      <c r="B19" s="34">
        <f>IF(Produits!$A$18="","",Produits!$C$18)</f>
        <v/>
      </c>
      <c r="C19" s="34">
        <f>IF(Produits!$A$18="","",Produits!$D$18)</f>
        <v/>
      </c>
      <c r="D19" s="32" t="n"/>
      <c r="E19" s="29" t="n"/>
      <c r="F19" s="29" t="n"/>
      <c r="G19" s="29" t="n"/>
      <c r="H19" s="32" t="n"/>
      <c r="I19" s="29" t="n"/>
      <c r="J19" s="29" t="n"/>
      <c r="K19" s="29" t="n"/>
      <c r="L19" s="32" t="n"/>
      <c r="M19" s="29" t="n"/>
      <c r="N19" s="29" t="n"/>
      <c r="O19" s="29" t="n"/>
      <c r="P19" s="32" t="n"/>
      <c r="Q19" s="29" t="n"/>
      <c r="R19" s="29" t="n"/>
      <c r="S19" s="29" t="n"/>
      <c r="T19" s="22">
        <f>IF(COUNT(F19,J19,N19,R19)=0,"",SUM(F19,J19,N19,R19))</f>
        <v/>
      </c>
      <c r="U19" s="22">
        <f>IF(COUNT(G19,K19,O19,S19)=0,"",SUM(G19,K19,O19,S19))</f>
        <v/>
      </c>
      <c r="V19" s="22">
        <f>IF(OR(T19="",U19=""),"",U19-T19)</f>
        <v/>
      </c>
      <c r="W19" s="22">
        <f>IF(Q19&lt;&gt;"",Q19,IF(M19&lt;&gt;"",M19,IF(I19&lt;&gt;"",I19,IF(E19&lt;&gt;"",E19,""))))</f>
        <v/>
      </c>
      <c r="X19" s="18">
        <f>IF(U19="","",U19*N(Produits!$E$18))</f>
        <v/>
      </c>
    </row>
    <row r="20">
      <c r="A20" s="33">
        <f>IF(Produits!$A$19="","",Produits!$A$19)</f>
        <v/>
      </c>
      <c r="B20" s="34">
        <f>IF(Produits!$A$19="","",Produits!$C$19)</f>
        <v/>
      </c>
      <c r="C20" s="34">
        <f>IF(Produits!$A$19="","",Produits!$D$19)</f>
        <v/>
      </c>
      <c r="D20" s="32" t="n"/>
      <c r="E20" s="29" t="n"/>
      <c r="F20" s="29" t="n"/>
      <c r="G20" s="29" t="n"/>
      <c r="H20" s="32" t="n"/>
      <c r="I20" s="29" t="n"/>
      <c r="J20" s="29" t="n"/>
      <c r="K20" s="29" t="n"/>
      <c r="L20" s="32" t="n"/>
      <c r="M20" s="29" t="n"/>
      <c r="N20" s="29" t="n"/>
      <c r="O20" s="29" t="n"/>
      <c r="P20" s="32" t="n"/>
      <c r="Q20" s="29" t="n"/>
      <c r="R20" s="29" t="n"/>
      <c r="S20" s="29" t="n"/>
      <c r="T20" s="22">
        <f>IF(COUNT(F20,J20,N20,R20)=0,"",SUM(F20,J20,N20,R20))</f>
        <v/>
      </c>
      <c r="U20" s="22">
        <f>IF(COUNT(G20,K20,O20,S20)=0,"",SUM(G20,K20,O20,S20))</f>
        <v/>
      </c>
      <c r="V20" s="22">
        <f>IF(OR(T20="",U20=""),"",U20-T20)</f>
        <v/>
      </c>
      <c r="W20" s="22">
        <f>IF(Q20&lt;&gt;"",Q20,IF(M20&lt;&gt;"",M20,IF(I20&lt;&gt;"",I20,IF(E20&lt;&gt;"",E20,""))))</f>
        <v/>
      </c>
      <c r="X20" s="18">
        <f>IF(U20="","",U20*N(Produits!$E$19))</f>
        <v/>
      </c>
    </row>
    <row r="21">
      <c r="A21" s="33">
        <f>IF(Produits!$A$20="","",Produits!$A$20)</f>
        <v/>
      </c>
      <c r="B21" s="34">
        <f>IF(Produits!$A$20="","",Produits!$C$20)</f>
        <v/>
      </c>
      <c r="C21" s="34">
        <f>IF(Produits!$A$20="","",Produits!$D$20)</f>
        <v/>
      </c>
      <c r="D21" s="32" t="n"/>
      <c r="E21" s="29" t="n"/>
      <c r="F21" s="29" t="n"/>
      <c r="G21" s="29" t="n"/>
      <c r="H21" s="32" t="n"/>
      <c r="I21" s="29" t="n"/>
      <c r="J21" s="29" t="n"/>
      <c r="K21" s="29" t="n"/>
      <c r="L21" s="32" t="n"/>
      <c r="M21" s="29" t="n"/>
      <c r="N21" s="29" t="n"/>
      <c r="O21" s="29" t="n"/>
      <c r="P21" s="32" t="n"/>
      <c r="Q21" s="29" t="n"/>
      <c r="R21" s="29" t="n"/>
      <c r="S21" s="29" t="n"/>
      <c r="T21" s="22">
        <f>IF(COUNT(F21,J21,N21,R21)=0,"",SUM(F21,J21,N21,R21))</f>
        <v/>
      </c>
      <c r="U21" s="22">
        <f>IF(COUNT(G21,K21,O21,S21)=0,"",SUM(G21,K21,O21,S21))</f>
        <v/>
      </c>
      <c r="V21" s="22">
        <f>IF(OR(T21="",U21=""),"",U21-T21)</f>
        <v/>
      </c>
      <c r="W21" s="22">
        <f>IF(Q21&lt;&gt;"",Q21,IF(M21&lt;&gt;"",M21,IF(I21&lt;&gt;"",I21,IF(E21&lt;&gt;"",E21,""))))</f>
        <v/>
      </c>
      <c r="X21" s="18">
        <f>IF(U21="","",U21*N(Produits!$E$20))</f>
        <v/>
      </c>
    </row>
    <row r="22" ht="20" customHeight="1">
      <c r="A22" s="23" t="inlineStr">
        <is>
          <t>CHAMBRE FROIDE POSITIVE</t>
        </is>
      </c>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row>
    <row r="23">
      <c r="A23" s="33">
        <f>IF(Produits!$A$22="","",Produits!$A$22)</f>
        <v/>
      </c>
      <c r="B23" s="34">
        <f>IF(Produits!$A$22="","",Produits!$C$22)</f>
        <v/>
      </c>
      <c r="C23" s="34">
        <f>IF(Produits!$A$22="","",Produits!$D$22)</f>
        <v/>
      </c>
      <c r="D23" s="32" t="n"/>
      <c r="E23" s="29" t="n"/>
      <c r="F23" s="29" t="n"/>
      <c r="G23" s="29" t="n"/>
      <c r="H23" s="32" t="n"/>
      <c r="I23" s="29" t="n"/>
      <c r="J23" s="29" t="n"/>
      <c r="K23" s="29" t="n"/>
      <c r="L23" s="32" t="n"/>
      <c r="M23" s="29" t="n"/>
      <c r="N23" s="29" t="n"/>
      <c r="O23" s="29" t="n"/>
      <c r="P23" s="32" t="n"/>
      <c r="Q23" s="29" t="n"/>
      <c r="R23" s="29" t="n"/>
      <c r="S23" s="29" t="n"/>
      <c r="T23" s="22">
        <f>IF(COUNT(F23,J23,N23,R23)=0,"",SUM(F23,J23,N23,R23))</f>
        <v/>
      </c>
      <c r="U23" s="22">
        <f>IF(COUNT(G23,K23,O23,S23)=0,"",SUM(G23,K23,O23,S23))</f>
        <v/>
      </c>
      <c r="V23" s="22">
        <f>IF(OR(T23="",U23=""),"",U23-T23)</f>
        <v/>
      </c>
      <c r="W23" s="22">
        <f>IF(Q23&lt;&gt;"",Q23,IF(M23&lt;&gt;"",M23,IF(I23&lt;&gt;"",I23,IF(E23&lt;&gt;"",E23,""))))</f>
        <v/>
      </c>
      <c r="X23" s="18">
        <f>IF(U23="","",U23*N(Produits!$E$22))</f>
        <v/>
      </c>
    </row>
    <row r="24">
      <c r="A24" s="33">
        <f>IF(Produits!$A$23="","",Produits!$A$23)</f>
        <v/>
      </c>
      <c r="B24" s="34">
        <f>IF(Produits!$A$23="","",Produits!$C$23)</f>
        <v/>
      </c>
      <c r="C24" s="34">
        <f>IF(Produits!$A$23="","",Produits!$D$23)</f>
        <v/>
      </c>
      <c r="D24" s="32" t="n"/>
      <c r="E24" s="29" t="n"/>
      <c r="F24" s="29" t="n"/>
      <c r="G24" s="29" t="n"/>
      <c r="H24" s="32" t="n"/>
      <c r="I24" s="29" t="n"/>
      <c r="J24" s="29" t="n"/>
      <c r="K24" s="29" t="n"/>
      <c r="L24" s="32" t="n"/>
      <c r="M24" s="29" t="n"/>
      <c r="N24" s="29" t="n"/>
      <c r="O24" s="29" t="n"/>
      <c r="P24" s="32" t="n"/>
      <c r="Q24" s="29" t="n"/>
      <c r="R24" s="29" t="n"/>
      <c r="S24" s="29" t="n"/>
      <c r="T24" s="22">
        <f>IF(COUNT(F24,J24,N24,R24)=0,"",SUM(F24,J24,N24,R24))</f>
        <v/>
      </c>
      <c r="U24" s="22">
        <f>IF(COUNT(G24,K24,O24,S24)=0,"",SUM(G24,K24,O24,S24))</f>
        <v/>
      </c>
      <c r="V24" s="22">
        <f>IF(OR(T24="",U24=""),"",U24-T24)</f>
        <v/>
      </c>
      <c r="W24" s="22">
        <f>IF(Q24&lt;&gt;"",Q24,IF(M24&lt;&gt;"",M24,IF(I24&lt;&gt;"",I24,IF(E24&lt;&gt;"",E24,""))))</f>
        <v/>
      </c>
      <c r="X24" s="18">
        <f>IF(U24="","",U24*N(Produits!$E$23))</f>
        <v/>
      </c>
    </row>
    <row r="25">
      <c r="A25" s="33">
        <f>IF(Produits!$A$24="","",Produits!$A$24)</f>
        <v/>
      </c>
      <c r="B25" s="34">
        <f>IF(Produits!$A$24="","",Produits!$C$24)</f>
        <v/>
      </c>
      <c r="C25" s="34">
        <f>IF(Produits!$A$24="","",Produits!$D$24)</f>
        <v/>
      </c>
      <c r="D25" s="32" t="n"/>
      <c r="E25" s="29" t="n"/>
      <c r="F25" s="29" t="n"/>
      <c r="G25" s="29" t="n"/>
      <c r="H25" s="32" t="n"/>
      <c r="I25" s="29" t="n"/>
      <c r="J25" s="29" t="n"/>
      <c r="K25" s="29" t="n"/>
      <c r="L25" s="32" t="n"/>
      <c r="M25" s="29" t="n"/>
      <c r="N25" s="29" t="n"/>
      <c r="O25" s="29" t="n"/>
      <c r="P25" s="32" t="n"/>
      <c r="Q25" s="29" t="n"/>
      <c r="R25" s="29" t="n"/>
      <c r="S25" s="29" t="n"/>
      <c r="T25" s="22">
        <f>IF(COUNT(F25,J25,N25,R25)=0,"",SUM(F25,J25,N25,R25))</f>
        <v/>
      </c>
      <c r="U25" s="22">
        <f>IF(COUNT(G25,K25,O25,S25)=0,"",SUM(G25,K25,O25,S25))</f>
        <v/>
      </c>
      <c r="V25" s="22">
        <f>IF(OR(T25="",U25=""),"",U25-T25)</f>
        <v/>
      </c>
      <c r="W25" s="22">
        <f>IF(Q25&lt;&gt;"",Q25,IF(M25&lt;&gt;"",M25,IF(I25&lt;&gt;"",I25,IF(E25&lt;&gt;"",E25,""))))</f>
        <v/>
      </c>
      <c r="X25" s="18">
        <f>IF(U25="","",U25*N(Produits!$E$24))</f>
        <v/>
      </c>
    </row>
    <row r="26">
      <c r="A26" s="33">
        <f>IF(Produits!$A$25="","",Produits!$A$25)</f>
        <v/>
      </c>
      <c r="B26" s="34">
        <f>IF(Produits!$A$25="","",Produits!$C$25)</f>
        <v/>
      </c>
      <c r="C26" s="34">
        <f>IF(Produits!$A$25="","",Produits!$D$25)</f>
        <v/>
      </c>
      <c r="D26" s="32" t="n"/>
      <c r="E26" s="29" t="n"/>
      <c r="F26" s="29" t="n"/>
      <c r="G26" s="29" t="n"/>
      <c r="H26" s="32" t="n"/>
      <c r="I26" s="29" t="n"/>
      <c r="J26" s="29" t="n"/>
      <c r="K26" s="29" t="n"/>
      <c r="L26" s="32" t="n"/>
      <c r="M26" s="29" t="n"/>
      <c r="N26" s="29" t="n"/>
      <c r="O26" s="29" t="n"/>
      <c r="P26" s="32" t="n"/>
      <c r="Q26" s="29" t="n"/>
      <c r="R26" s="29" t="n"/>
      <c r="S26" s="29" t="n"/>
      <c r="T26" s="22">
        <f>IF(COUNT(F26,J26,N26,R26)=0,"",SUM(F26,J26,N26,R26))</f>
        <v/>
      </c>
      <c r="U26" s="22">
        <f>IF(COUNT(G26,K26,O26,S26)=0,"",SUM(G26,K26,O26,S26))</f>
        <v/>
      </c>
      <c r="V26" s="22">
        <f>IF(OR(T26="",U26=""),"",U26-T26)</f>
        <v/>
      </c>
      <c r="W26" s="22">
        <f>IF(Q26&lt;&gt;"",Q26,IF(M26&lt;&gt;"",M26,IF(I26&lt;&gt;"",I26,IF(E26&lt;&gt;"",E26,""))))</f>
        <v/>
      </c>
      <c r="X26" s="18">
        <f>IF(U26="","",U26*N(Produits!$E$25))</f>
        <v/>
      </c>
    </row>
    <row r="27">
      <c r="A27" s="33">
        <f>IF(Produits!$A$26="","",Produits!$A$26)</f>
        <v/>
      </c>
      <c r="B27" s="34">
        <f>IF(Produits!$A$26="","",Produits!$C$26)</f>
        <v/>
      </c>
      <c r="C27" s="34">
        <f>IF(Produits!$A$26="","",Produits!$D$26)</f>
        <v/>
      </c>
      <c r="D27" s="32" t="n"/>
      <c r="E27" s="29" t="n"/>
      <c r="F27" s="29" t="n"/>
      <c r="G27" s="29" t="n"/>
      <c r="H27" s="32" t="n"/>
      <c r="I27" s="29" t="n"/>
      <c r="J27" s="29" t="n"/>
      <c r="K27" s="29" t="n"/>
      <c r="L27" s="32" t="n"/>
      <c r="M27" s="29" t="n"/>
      <c r="N27" s="29" t="n"/>
      <c r="O27" s="29" t="n"/>
      <c r="P27" s="32" t="n"/>
      <c r="Q27" s="29" t="n"/>
      <c r="R27" s="29" t="n"/>
      <c r="S27" s="29" t="n"/>
      <c r="T27" s="22">
        <f>IF(COUNT(F27,J27,N27,R27)=0,"",SUM(F27,J27,N27,R27))</f>
        <v/>
      </c>
      <c r="U27" s="22">
        <f>IF(COUNT(G27,K27,O27,S27)=0,"",SUM(G27,K27,O27,S27))</f>
        <v/>
      </c>
      <c r="V27" s="22">
        <f>IF(OR(T27="",U27=""),"",U27-T27)</f>
        <v/>
      </c>
      <c r="W27" s="22">
        <f>IF(Q27&lt;&gt;"",Q27,IF(M27&lt;&gt;"",M27,IF(I27&lt;&gt;"",I27,IF(E27&lt;&gt;"",E27,""))))</f>
        <v/>
      </c>
      <c r="X27" s="18">
        <f>IF(U27="","",U27*N(Produits!$E$26))</f>
        <v/>
      </c>
    </row>
    <row r="28">
      <c r="A28" s="33">
        <f>IF(Produits!$A$27="","",Produits!$A$27)</f>
        <v/>
      </c>
      <c r="B28" s="34">
        <f>IF(Produits!$A$27="","",Produits!$C$27)</f>
        <v/>
      </c>
      <c r="C28" s="34">
        <f>IF(Produits!$A$27="","",Produits!$D$27)</f>
        <v/>
      </c>
      <c r="D28" s="32" t="n"/>
      <c r="E28" s="29" t="n"/>
      <c r="F28" s="29" t="n"/>
      <c r="G28" s="29" t="n"/>
      <c r="H28" s="32" t="n"/>
      <c r="I28" s="29" t="n"/>
      <c r="J28" s="29" t="n"/>
      <c r="K28" s="29" t="n"/>
      <c r="L28" s="32" t="n"/>
      <c r="M28" s="29" t="n"/>
      <c r="N28" s="29" t="n"/>
      <c r="O28" s="29" t="n"/>
      <c r="P28" s="32" t="n"/>
      <c r="Q28" s="29" t="n"/>
      <c r="R28" s="29" t="n"/>
      <c r="S28" s="29" t="n"/>
      <c r="T28" s="22">
        <f>IF(COUNT(F28,J28,N28,R28)=0,"",SUM(F28,J28,N28,R28))</f>
        <v/>
      </c>
      <c r="U28" s="22">
        <f>IF(COUNT(G28,K28,O28,S28)=0,"",SUM(G28,K28,O28,S28))</f>
        <v/>
      </c>
      <c r="V28" s="22">
        <f>IF(OR(T28="",U28=""),"",U28-T28)</f>
        <v/>
      </c>
      <c r="W28" s="22">
        <f>IF(Q28&lt;&gt;"",Q28,IF(M28&lt;&gt;"",M28,IF(I28&lt;&gt;"",I28,IF(E28&lt;&gt;"",E28,""))))</f>
        <v/>
      </c>
      <c r="X28" s="18">
        <f>IF(U28="","",U28*N(Produits!$E$27))</f>
        <v/>
      </c>
    </row>
    <row r="29">
      <c r="A29" s="33">
        <f>IF(Produits!$A$28="","",Produits!$A$28)</f>
        <v/>
      </c>
      <c r="B29" s="34">
        <f>IF(Produits!$A$28="","",Produits!$C$28)</f>
        <v/>
      </c>
      <c r="C29" s="34">
        <f>IF(Produits!$A$28="","",Produits!$D$28)</f>
        <v/>
      </c>
      <c r="D29" s="32" t="n"/>
      <c r="E29" s="29" t="n"/>
      <c r="F29" s="29" t="n"/>
      <c r="G29" s="29" t="n"/>
      <c r="H29" s="32" t="n"/>
      <c r="I29" s="29" t="n"/>
      <c r="J29" s="29" t="n"/>
      <c r="K29" s="29" t="n"/>
      <c r="L29" s="32" t="n"/>
      <c r="M29" s="29" t="n"/>
      <c r="N29" s="29" t="n"/>
      <c r="O29" s="29" t="n"/>
      <c r="P29" s="32" t="n"/>
      <c r="Q29" s="29" t="n"/>
      <c r="R29" s="29" t="n"/>
      <c r="S29" s="29" t="n"/>
      <c r="T29" s="22">
        <f>IF(COUNT(F29,J29,N29,R29)=0,"",SUM(F29,J29,N29,R29))</f>
        <v/>
      </c>
      <c r="U29" s="22">
        <f>IF(COUNT(G29,K29,O29,S29)=0,"",SUM(G29,K29,O29,S29))</f>
        <v/>
      </c>
      <c r="V29" s="22">
        <f>IF(OR(T29="",U29=""),"",U29-T29)</f>
        <v/>
      </c>
      <c r="W29" s="22">
        <f>IF(Q29&lt;&gt;"",Q29,IF(M29&lt;&gt;"",M29,IF(I29&lt;&gt;"",I29,IF(E29&lt;&gt;"",E29,""))))</f>
        <v/>
      </c>
      <c r="X29" s="18">
        <f>IF(U29="","",U29*N(Produits!$E$28))</f>
        <v/>
      </c>
    </row>
    <row r="30">
      <c r="A30" s="33">
        <f>IF(Produits!$A$29="","",Produits!$A$29)</f>
        <v/>
      </c>
      <c r="B30" s="34">
        <f>IF(Produits!$A$29="","",Produits!$C$29)</f>
        <v/>
      </c>
      <c r="C30" s="34">
        <f>IF(Produits!$A$29="","",Produits!$D$29)</f>
        <v/>
      </c>
      <c r="D30" s="32" t="n"/>
      <c r="E30" s="29" t="n"/>
      <c r="F30" s="29" t="n"/>
      <c r="G30" s="29" t="n"/>
      <c r="H30" s="32" t="n"/>
      <c r="I30" s="29" t="n"/>
      <c r="J30" s="29" t="n"/>
      <c r="K30" s="29" t="n"/>
      <c r="L30" s="32" t="n"/>
      <c r="M30" s="29" t="n"/>
      <c r="N30" s="29" t="n"/>
      <c r="O30" s="29" t="n"/>
      <c r="P30" s="32" t="n"/>
      <c r="Q30" s="29" t="n"/>
      <c r="R30" s="29" t="n"/>
      <c r="S30" s="29" t="n"/>
      <c r="T30" s="22">
        <f>IF(COUNT(F30,J30,N30,R30)=0,"",SUM(F30,J30,N30,R30))</f>
        <v/>
      </c>
      <c r="U30" s="22">
        <f>IF(COUNT(G30,K30,O30,S30)=0,"",SUM(G30,K30,O30,S30))</f>
        <v/>
      </c>
      <c r="V30" s="22">
        <f>IF(OR(T30="",U30=""),"",U30-T30)</f>
        <v/>
      </c>
      <c r="W30" s="22">
        <f>IF(Q30&lt;&gt;"",Q30,IF(M30&lt;&gt;"",M30,IF(I30&lt;&gt;"",I30,IF(E30&lt;&gt;"",E30,""))))</f>
        <v/>
      </c>
      <c r="X30" s="18">
        <f>IF(U30="","",U30*N(Produits!$E$29))</f>
        <v/>
      </c>
    </row>
    <row r="31">
      <c r="A31" s="33">
        <f>IF(Produits!$A$30="","",Produits!$A$30)</f>
        <v/>
      </c>
      <c r="B31" s="34">
        <f>IF(Produits!$A$30="","",Produits!$C$30)</f>
        <v/>
      </c>
      <c r="C31" s="34">
        <f>IF(Produits!$A$30="","",Produits!$D$30)</f>
        <v/>
      </c>
      <c r="D31" s="32" t="n"/>
      <c r="E31" s="29" t="n"/>
      <c r="F31" s="29" t="n"/>
      <c r="G31" s="29" t="n"/>
      <c r="H31" s="32" t="n"/>
      <c r="I31" s="29" t="n"/>
      <c r="J31" s="29" t="n"/>
      <c r="K31" s="29" t="n"/>
      <c r="L31" s="32" t="n"/>
      <c r="M31" s="29" t="n"/>
      <c r="N31" s="29" t="n"/>
      <c r="O31" s="29" t="n"/>
      <c r="P31" s="32" t="n"/>
      <c r="Q31" s="29" t="n"/>
      <c r="R31" s="29" t="n"/>
      <c r="S31" s="29" t="n"/>
      <c r="T31" s="22">
        <f>IF(COUNT(F31,J31,N31,R31)=0,"",SUM(F31,J31,N31,R31))</f>
        <v/>
      </c>
      <c r="U31" s="22">
        <f>IF(COUNT(G31,K31,O31,S31)=0,"",SUM(G31,K31,O31,S31))</f>
        <v/>
      </c>
      <c r="V31" s="22">
        <f>IF(OR(T31="",U31=""),"",U31-T31)</f>
        <v/>
      </c>
      <c r="W31" s="22">
        <f>IF(Q31&lt;&gt;"",Q31,IF(M31&lt;&gt;"",M31,IF(I31&lt;&gt;"",I31,IF(E31&lt;&gt;"",E31,""))))</f>
        <v/>
      </c>
      <c r="X31" s="18">
        <f>IF(U31="","",U31*N(Produits!$E$30))</f>
        <v/>
      </c>
    </row>
    <row r="32">
      <c r="A32" s="33">
        <f>IF(Produits!$A$31="","",Produits!$A$31)</f>
        <v/>
      </c>
      <c r="B32" s="34">
        <f>IF(Produits!$A$31="","",Produits!$C$31)</f>
        <v/>
      </c>
      <c r="C32" s="34">
        <f>IF(Produits!$A$31="","",Produits!$D$31)</f>
        <v/>
      </c>
      <c r="D32" s="32" t="n"/>
      <c r="E32" s="29" t="n"/>
      <c r="F32" s="29" t="n"/>
      <c r="G32" s="29" t="n"/>
      <c r="H32" s="32" t="n"/>
      <c r="I32" s="29" t="n"/>
      <c r="J32" s="29" t="n"/>
      <c r="K32" s="29" t="n"/>
      <c r="L32" s="32" t="n"/>
      <c r="M32" s="29" t="n"/>
      <c r="N32" s="29" t="n"/>
      <c r="O32" s="29" t="n"/>
      <c r="P32" s="32" t="n"/>
      <c r="Q32" s="29" t="n"/>
      <c r="R32" s="29" t="n"/>
      <c r="S32" s="29" t="n"/>
      <c r="T32" s="22">
        <f>IF(COUNT(F32,J32,N32,R32)=0,"",SUM(F32,J32,N32,R32))</f>
        <v/>
      </c>
      <c r="U32" s="22">
        <f>IF(COUNT(G32,K32,O32,S32)=0,"",SUM(G32,K32,O32,S32))</f>
        <v/>
      </c>
      <c r="V32" s="22">
        <f>IF(OR(T32="",U32=""),"",U32-T32)</f>
        <v/>
      </c>
      <c r="W32" s="22">
        <f>IF(Q32&lt;&gt;"",Q32,IF(M32&lt;&gt;"",M32,IF(I32&lt;&gt;"",I32,IF(E32&lt;&gt;"",E32,""))))</f>
        <v/>
      </c>
      <c r="X32" s="18">
        <f>IF(U32="","",U32*N(Produits!$E$31))</f>
        <v/>
      </c>
    </row>
    <row r="33">
      <c r="A33" s="33">
        <f>IF(Produits!$A$32="","",Produits!$A$32)</f>
        <v/>
      </c>
      <c r="B33" s="34">
        <f>IF(Produits!$A$32="","",Produits!$C$32)</f>
        <v/>
      </c>
      <c r="C33" s="34">
        <f>IF(Produits!$A$32="","",Produits!$D$32)</f>
        <v/>
      </c>
      <c r="D33" s="32" t="n"/>
      <c r="E33" s="29" t="n"/>
      <c r="F33" s="29" t="n"/>
      <c r="G33" s="29" t="n"/>
      <c r="H33" s="32" t="n"/>
      <c r="I33" s="29" t="n"/>
      <c r="J33" s="29" t="n"/>
      <c r="K33" s="29" t="n"/>
      <c r="L33" s="32" t="n"/>
      <c r="M33" s="29" t="n"/>
      <c r="N33" s="29" t="n"/>
      <c r="O33" s="29" t="n"/>
      <c r="P33" s="32" t="n"/>
      <c r="Q33" s="29" t="n"/>
      <c r="R33" s="29" t="n"/>
      <c r="S33" s="29" t="n"/>
      <c r="T33" s="22">
        <f>IF(COUNT(F33,J33,N33,R33)=0,"",SUM(F33,J33,N33,R33))</f>
        <v/>
      </c>
      <c r="U33" s="22">
        <f>IF(COUNT(G33,K33,O33,S33)=0,"",SUM(G33,K33,O33,S33))</f>
        <v/>
      </c>
      <c r="V33" s="22">
        <f>IF(OR(T33="",U33=""),"",U33-T33)</f>
        <v/>
      </c>
      <c r="W33" s="22">
        <f>IF(Q33&lt;&gt;"",Q33,IF(M33&lt;&gt;"",M33,IF(I33&lt;&gt;"",I33,IF(E33&lt;&gt;"",E33,""))))</f>
        <v/>
      </c>
      <c r="X33" s="18">
        <f>IF(U33="","",U33*N(Produits!$E$32))</f>
        <v/>
      </c>
    </row>
    <row r="34">
      <c r="A34" s="33">
        <f>IF(Produits!$A$33="","",Produits!$A$33)</f>
        <v/>
      </c>
      <c r="B34" s="34">
        <f>IF(Produits!$A$33="","",Produits!$C$33)</f>
        <v/>
      </c>
      <c r="C34" s="34">
        <f>IF(Produits!$A$33="","",Produits!$D$33)</f>
        <v/>
      </c>
      <c r="D34" s="32" t="n"/>
      <c r="E34" s="29" t="n"/>
      <c r="F34" s="29" t="n"/>
      <c r="G34" s="29" t="n"/>
      <c r="H34" s="32" t="n"/>
      <c r="I34" s="29" t="n"/>
      <c r="J34" s="29" t="n"/>
      <c r="K34" s="29" t="n"/>
      <c r="L34" s="32" t="n"/>
      <c r="M34" s="29" t="n"/>
      <c r="N34" s="29" t="n"/>
      <c r="O34" s="29" t="n"/>
      <c r="P34" s="32" t="n"/>
      <c r="Q34" s="29" t="n"/>
      <c r="R34" s="29" t="n"/>
      <c r="S34" s="29" t="n"/>
      <c r="T34" s="22">
        <f>IF(COUNT(F34,J34,N34,R34)=0,"",SUM(F34,J34,N34,R34))</f>
        <v/>
      </c>
      <c r="U34" s="22">
        <f>IF(COUNT(G34,K34,O34,S34)=0,"",SUM(G34,K34,O34,S34))</f>
        <v/>
      </c>
      <c r="V34" s="22">
        <f>IF(OR(T34="",U34=""),"",U34-T34)</f>
        <v/>
      </c>
      <c r="W34" s="22">
        <f>IF(Q34&lt;&gt;"",Q34,IF(M34&lt;&gt;"",M34,IF(I34&lt;&gt;"",I34,IF(E34&lt;&gt;"",E34,""))))</f>
        <v/>
      </c>
      <c r="X34" s="18">
        <f>IF(U34="","",U34*N(Produits!$E$33))</f>
        <v/>
      </c>
    </row>
    <row r="35">
      <c r="A35" s="33">
        <f>IF(Produits!$A$34="","",Produits!$A$34)</f>
        <v/>
      </c>
      <c r="B35" s="34">
        <f>IF(Produits!$A$34="","",Produits!$C$34)</f>
        <v/>
      </c>
      <c r="C35" s="34">
        <f>IF(Produits!$A$34="","",Produits!$D$34)</f>
        <v/>
      </c>
      <c r="D35" s="32" t="n"/>
      <c r="E35" s="29" t="n"/>
      <c r="F35" s="29" t="n"/>
      <c r="G35" s="29" t="n"/>
      <c r="H35" s="32" t="n"/>
      <c r="I35" s="29" t="n"/>
      <c r="J35" s="29" t="n"/>
      <c r="K35" s="29" t="n"/>
      <c r="L35" s="32" t="n"/>
      <c r="M35" s="29" t="n"/>
      <c r="N35" s="29" t="n"/>
      <c r="O35" s="29" t="n"/>
      <c r="P35" s="32" t="n"/>
      <c r="Q35" s="29" t="n"/>
      <c r="R35" s="29" t="n"/>
      <c r="S35" s="29" t="n"/>
      <c r="T35" s="22">
        <f>IF(COUNT(F35,J35,N35,R35)=0,"",SUM(F35,J35,N35,R35))</f>
        <v/>
      </c>
      <c r="U35" s="22">
        <f>IF(COUNT(G35,K35,O35,S35)=0,"",SUM(G35,K35,O35,S35))</f>
        <v/>
      </c>
      <c r="V35" s="22">
        <f>IF(OR(T35="",U35=""),"",U35-T35)</f>
        <v/>
      </c>
      <c r="W35" s="22">
        <f>IF(Q35&lt;&gt;"",Q35,IF(M35&lt;&gt;"",M35,IF(I35&lt;&gt;"",I35,IF(E35&lt;&gt;"",E35,""))))</f>
        <v/>
      </c>
      <c r="X35" s="18">
        <f>IF(U35="","",U35*N(Produits!$E$34))</f>
        <v/>
      </c>
    </row>
    <row r="36">
      <c r="A36" s="33">
        <f>IF(Produits!$A$35="","",Produits!$A$35)</f>
        <v/>
      </c>
      <c r="B36" s="34">
        <f>IF(Produits!$A$35="","",Produits!$C$35)</f>
        <v/>
      </c>
      <c r="C36" s="34">
        <f>IF(Produits!$A$35="","",Produits!$D$35)</f>
        <v/>
      </c>
      <c r="D36" s="32" t="n"/>
      <c r="E36" s="29" t="n"/>
      <c r="F36" s="29" t="n"/>
      <c r="G36" s="29" t="n"/>
      <c r="H36" s="32" t="n"/>
      <c r="I36" s="29" t="n"/>
      <c r="J36" s="29" t="n"/>
      <c r="K36" s="29" t="n"/>
      <c r="L36" s="32" t="n"/>
      <c r="M36" s="29" t="n"/>
      <c r="N36" s="29" t="n"/>
      <c r="O36" s="29" t="n"/>
      <c r="P36" s="32" t="n"/>
      <c r="Q36" s="29" t="n"/>
      <c r="R36" s="29" t="n"/>
      <c r="S36" s="29" t="n"/>
      <c r="T36" s="22">
        <f>IF(COUNT(F36,J36,N36,R36)=0,"",SUM(F36,J36,N36,R36))</f>
        <v/>
      </c>
      <c r="U36" s="22">
        <f>IF(COUNT(G36,K36,O36,S36)=0,"",SUM(G36,K36,O36,S36))</f>
        <v/>
      </c>
      <c r="V36" s="22">
        <f>IF(OR(T36="",U36=""),"",U36-T36)</f>
        <v/>
      </c>
      <c r="W36" s="22">
        <f>IF(Q36&lt;&gt;"",Q36,IF(M36&lt;&gt;"",M36,IF(I36&lt;&gt;"",I36,IF(E36&lt;&gt;"",E36,""))))</f>
        <v/>
      </c>
      <c r="X36" s="18">
        <f>IF(U36="","",U36*N(Produits!$E$35))</f>
        <v/>
      </c>
    </row>
    <row r="37">
      <c r="A37" s="33">
        <f>IF(Produits!$A$36="","",Produits!$A$36)</f>
        <v/>
      </c>
      <c r="B37" s="34">
        <f>IF(Produits!$A$36="","",Produits!$C$36)</f>
        <v/>
      </c>
      <c r="C37" s="34">
        <f>IF(Produits!$A$36="","",Produits!$D$36)</f>
        <v/>
      </c>
      <c r="D37" s="32" t="n"/>
      <c r="E37" s="29" t="n"/>
      <c r="F37" s="29" t="n"/>
      <c r="G37" s="29" t="n"/>
      <c r="H37" s="32" t="n"/>
      <c r="I37" s="29" t="n"/>
      <c r="J37" s="29" t="n"/>
      <c r="K37" s="29" t="n"/>
      <c r="L37" s="32" t="n"/>
      <c r="M37" s="29" t="n"/>
      <c r="N37" s="29" t="n"/>
      <c r="O37" s="29" t="n"/>
      <c r="P37" s="32" t="n"/>
      <c r="Q37" s="29" t="n"/>
      <c r="R37" s="29" t="n"/>
      <c r="S37" s="29" t="n"/>
      <c r="T37" s="22">
        <f>IF(COUNT(F37,J37,N37,R37)=0,"",SUM(F37,J37,N37,R37))</f>
        <v/>
      </c>
      <c r="U37" s="22">
        <f>IF(COUNT(G37,K37,O37,S37)=0,"",SUM(G37,K37,O37,S37))</f>
        <v/>
      </c>
      <c r="V37" s="22">
        <f>IF(OR(T37="",U37=""),"",U37-T37)</f>
        <v/>
      </c>
      <c r="W37" s="22">
        <f>IF(Q37&lt;&gt;"",Q37,IF(M37&lt;&gt;"",M37,IF(I37&lt;&gt;"",I37,IF(E37&lt;&gt;"",E37,""))))</f>
        <v/>
      </c>
      <c r="X37" s="18">
        <f>IF(U37="","",U37*N(Produits!$E$36))</f>
        <v/>
      </c>
    </row>
    <row r="38" ht="20" customHeight="1">
      <c r="A38" s="23" t="inlineStr">
        <is>
          <t>CHAMBRE FROIDE NÉGATIVE</t>
        </is>
      </c>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row>
    <row r="39">
      <c r="A39" s="33">
        <f>IF(Produits!$A$38="","",Produits!$A$38)</f>
        <v/>
      </c>
      <c r="B39" s="34">
        <f>IF(Produits!$A$38="","",Produits!$C$38)</f>
        <v/>
      </c>
      <c r="C39" s="34">
        <f>IF(Produits!$A$38="","",Produits!$D$38)</f>
        <v/>
      </c>
      <c r="D39" s="32" t="n"/>
      <c r="E39" s="29" t="n"/>
      <c r="F39" s="29" t="n"/>
      <c r="G39" s="29" t="n"/>
      <c r="H39" s="32" t="n"/>
      <c r="I39" s="29" t="n"/>
      <c r="J39" s="29" t="n"/>
      <c r="K39" s="29" t="n"/>
      <c r="L39" s="32" t="n"/>
      <c r="M39" s="29" t="n"/>
      <c r="N39" s="29" t="n"/>
      <c r="O39" s="29" t="n"/>
      <c r="P39" s="32" t="n"/>
      <c r="Q39" s="29" t="n"/>
      <c r="R39" s="29" t="n"/>
      <c r="S39" s="29" t="n"/>
      <c r="T39" s="22">
        <f>IF(COUNT(F39,J39,N39,R39)=0,"",SUM(F39,J39,N39,R39))</f>
        <v/>
      </c>
      <c r="U39" s="22">
        <f>IF(COUNT(G39,K39,O39,S39)=0,"",SUM(G39,K39,O39,S39))</f>
        <v/>
      </c>
      <c r="V39" s="22">
        <f>IF(OR(T39="",U39=""),"",U39-T39)</f>
        <v/>
      </c>
      <c r="W39" s="22">
        <f>IF(Q39&lt;&gt;"",Q39,IF(M39&lt;&gt;"",M39,IF(I39&lt;&gt;"",I39,IF(E39&lt;&gt;"",E39,""))))</f>
        <v/>
      </c>
      <c r="X39" s="18">
        <f>IF(U39="","",U39*N(Produits!$E$38))</f>
        <v/>
      </c>
    </row>
    <row r="40">
      <c r="A40" s="33">
        <f>IF(Produits!$A$39="","",Produits!$A$39)</f>
        <v/>
      </c>
      <c r="B40" s="34">
        <f>IF(Produits!$A$39="","",Produits!$C$39)</f>
        <v/>
      </c>
      <c r="C40" s="34">
        <f>IF(Produits!$A$39="","",Produits!$D$39)</f>
        <v/>
      </c>
      <c r="D40" s="32" t="n"/>
      <c r="E40" s="29" t="n"/>
      <c r="F40" s="29" t="n"/>
      <c r="G40" s="29" t="n"/>
      <c r="H40" s="32" t="n"/>
      <c r="I40" s="29" t="n"/>
      <c r="J40" s="29" t="n"/>
      <c r="K40" s="29" t="n"/>
      <c r="L40" s="32" t="n"/>
      <c r="M40" s="29" t="n"/>
      <c r="N40" s="29" t="n"/>
      <c r="O40" s="29" t="n"/>
      <c r="P40" s="32" t="n"/>
      <c r="Q40" s="29" t="n"/>
      <c r="R40" s="29" t="n"/>
      <c r="S40" s="29" t="n"/>
      <c r="T40" s="22">
        <f>IF(COUNT(F40,J40,N40,R40)=0,"",SUM(F40,J40,N40,R40))</f>
        <v/>
      </c>
      <c r="U40" s="22">
        <f>IF(COUNT(G40,K40,O40,S40)=0,"",SUM(G40,K40,O40,S40))</f>
        <v/>
      </c>
      <c r="V40" s="22">
        <f>IF(OR(T40="",U40=""),"",U40-T40)</f>
        <v/>
      </c>
      <c r="W40" s="22">
        <f>IF(Q40&lt;&gt;"",Q40,IF(M40&lt;&gt;"",M40,IF(I40&lt;&gt;"",I40,IF(E40&lt;&gt;"",E40,""))))</f>
        <v/>
      </c>
      <c r="X40" s="18">
        <f>IF(U40="","",U40*N(Produits!$E$39))</f>
        <v/>
      </c>
    </row>
    <row r="41">
      <c r="A41" s="33">
        <f>IF(Produits!$A$40="","",Produits!$A$40)</f>
        <v/>
      </c>
      <c r="B41" s="34">
        <f>IF(Produits!$A$40="","",Produits!$C$40)</f>
        <v/>
      </c>
      <c r="C41" s="34">
        <f>IF(Produits!$A$40="","",Produits!$D$40)</f>
        <v/>
      </c>
      <c r="D41" s="32" t="n"/>
      <c r="E41" s="29" t="n"/>
      <c r="F41" s="29" t="n"/>
      <c r="G41" s="29" t="n"/>
      <c r="H41" s="32" t="n"/>
      <c r="I41" s="29" t="n"/>
      <c r="J41" s="29" t="n"/>
      <c r="K41" s="29" t="n"/>
      <c r="L41" s="32" t="n"/>
      <c r="M41" s="29" t="n"/>
      <c r="N41" s="29" t="n"/>
      <c r="O41" s="29" t="n"/>
      <c r="P41" s="32" t="n"/>
      <c r="Q41" s="29" t="n"/>
      <c r="R41" s="29" t="n"/>
      <c r="S41" s="29" t="n"/>
      <c r="T41" s="22">
        <f>IF(COUNT(F41,J41,N41,R41)=0,"",SUM(F41,J41,N41,R41))</f>
        <v/>
      </c>
      <c r="U41" s="22">
        <f>IF(COUNT(G41,K41,O41,S41)=0,"",SUM(G41,K41,O41,S41))</f>
        <v/>
      </c>
      <c r="V41" s="22">
        <f>IF(OR(T41="",U41=""),"",U41-T41)</f>
        <v/>
      </c>
      <c r="W41" s="22">
        <f>IF(Q41&lt;&gt;"",Q41,IF(M41&lt;&gt;"",M41,IF(I41&lt;&gt;"",I41,IF(E41&lt;&gt;"",E41,""))))</f>
        <v/>
      </c>
      <c r="X41" s="18">
        <f>IF(U41="","",U41*N(Produits!$E$40))</f>
        <v/>
      </c>
    </row>
    <row r="42">
      <c r="A42" s="33">
        <f>IF(Produits!$A$41="","",Produits!$A$41)</f>
        <v/>
      </c>
      <c r="B42" s="34">
        <f>IF(Produits!$A$41="","",Produits!$C$41)</f>
        <v/>
      </c>
      <c r="C42" s="34">
        <f>IF(Produits!$A$41="","",Produits!$D$41)</f>
        <v/>
      </c>
      <c r="D42" s="32" t="n"/>
      <c r="E42" s="29" t="n"/>
      <c r="F42" s="29" t="n"/>
      <c r="G42" s="29" t="n"/>
      <c r="H42" s="32" t="n"/>
      <c r="I42" s="29" t="n"/>
      <c r="J42" s="29" t="n"/>
      <c r="K42" s="29" t="n"/>
      <c r="L42" s="32" t="n"/>
      <c r="M42" s="29" t="n"/>
      <c r="N42" s="29" t="n"/>
      <c r="O42" s="29" t="n"/>
      <c r="P42" s="32" t="n"/>
      <c r="Q42" s="29" t="n"/>
      <c r="R42" s="29" t="n"/>
      <c r="S42" s="29" t="n"/>
      <c r="T42" s="22">
        <f>IF(COUNT(F42,J42,N42,R42)=0,"",SUM(F42,J42,N42,R42))</f>
        <v/>
      </c>
      <c r="U42" s="22">
        <f>IF(COUNT(G42,K42,O42,S42)=0,"",SUM(G42,K42,O42,S42))</f>
        <v/>
      </c>
      <c r="V42" s="22">
        <f>IF(OR(T42="",U42=""),"",U42-T42)</f>
        <v/>
      </c>
      <c r="W42" s="22">
        <f>IF(Q42&lt;&gt;"",Q42,IF(M42&lt;&gt;"",M42,IF(I42&lt;&gt;"",I42,IF(E42&lt;&gt;"",E42,""))))</f>
        <v/>
      </c>
      <c r="X42" s="18">
        <f>IF(U42="","",U42*N(Produits!$E$41))</f>
        <v/>
      </c>
    </row>
    <row r="43">
      <c r="A43" s="33">
        <f>IF(Produits!$A$42="","",Produits!$A$42)</f>
        <v/>
      </c>
      <c r="B43" s="34">
        <f>IF(Produits!$A$42="","",Produits!$C$42)</f>
        <v/>
      </c>
      <c r="C43" s="34">
        <f>IF(Produits!$A$42="","",Produits!$D$42)</f>
        <v/>
      </c>
      <c r="D43" s="32" t="n"/>
      <c r="E43" s="29" t="n"/>
      <c r="F43" s="29" t="n"/>
      <c r="G43" s="29" t="n"/>
      <c r="H43" s="32" t="n"/>
      <c r="I43" s="29" t="n"/>
      <c r="J43" s="29" t="n"/>
      <c r="K43" s="29" t="n"/>
      <c r="L43" s="32" t="n"/>
      <c r="M43" s="29" t="n"/>
      <c r="N43" s="29" t="n"/>
      <c r="O43" s="29" t="n"/>
      <c r="P43" s="32" t="n"/>
      <c r="Q43" s="29" t="n"/>
      <c r="R43" s="29" t="n"/>
      <c r="S43" s="29" t="n"/>
      <c r="T43" s="22">
        <f>IF(COUNT(F43,J43,N43,R43)=0,"",SUM(F43,J43,N43,R43))</f>
        <v/>
      </c>
      <c r="U43" s="22">
        <f>IF(COUNT(G43,K43,O43,S43)=0,"",SUM(G43,K43,O43,S43))</f>
        <v/>
      </c>
      <c r="V43" s="22">
        <f>IF(OR(T43="",U43=""),"",U43-T43)</f>
        <v/>
      </c>
      <c r="W43" s="22">
        <f>IF(Q43&lt;&gt;"",Q43,IF(M43&lt;&gt;"",M43,IF(I43&lt;&gt;"",I43,IF(E43&lt;&gt;"",E43,""))))</f>
        <v/>
      </c>
      <c r="X43" s="18">
        <f>IF(U43="","",U43*N(Produits!$E$42))</f>
        <v/>
      </c>
    </row>
    <row r="44">
      <c r="A44" s="33">
        <f>IF(Produits!$A$43="","",Produits!$A$43)</f>
        <v/>
      </c>
      <c r="B44" s="34">
        <f>IF(Produits!$A$43="","",Produits!$C$43)</f>
        <v/>
      </c>
      <c r="C44" s="34">
        <f>IF(Produits!$A$43="","",Produits!$D$43)</f>
        <v/>
      </c>
      <c r="D44" s="32" t="n"/>
      <c r="E44" s="29" t="n"/>
      <c r="F44" s="29" t="n"/>
      <c r="G44" s="29" t="n"/>
      <c r="H44" s="32" t="n"/>
      <c r="I44" s="29" t="n"/>
      <c r="J44" s="29" t="n"/>
      <c r="K44" s="29" t="n"/>
      <c r="L44" s="32" t="n"/>
      <c r="M44" s="29" t="n"/>
      <c r="N44" s="29" t="n"/>
      <c r="O44" s="29" t="n"/>
      <c r="P44" s="32" t="n"/>
      <c r="Q44" s="29" t="n"/>
      <c r="R44" s="29" t="n"/>
      <c r="S44" s="29" t="n"/>
      <c r="T44" s="22">
        <f>IF(COUNT(F44,J44,N44,R44)=0,"",SUM(F44,J44,N44,R44))</f>
        <v/>
      </c>
      <c r="U44" s="22">
        <f>IF(COUNT(G44,K44,O44,S44)=0,"",SUM(G44,K44,O44,S44))</f>
        <v/>
      </c>
      <c r="V44" s="22">
        <f>IF(OR(T44="",U44=""),"",U44-T44)</f>
        <v/>
      </c>
      <c r="W44" s="22">
        <f>IF(Q44&lt;&gt;"",Q44,IF(M44&lt;&gt;"",M44,IF(I44&lt;&gt;"",I44,IF(E44&lt;&gt;"",E44,""))))</f>
        <v/>
      </c>
      <c r="X44" s="18">
        <f>IF(U44="","",U44*N(Produits!$E$43))</f>
        <v/>
      </c>
    </row>
    <row r="45">
      <c r="A45" s="33">
        <f>IF(Produits!$A$44="","",Produits!$A$44)</f>
        <v/>
      </c>
      <c r="B45" s="34">
        <f>IF(Produits!$A$44="","",Produits!$C$44)</f>
        <v/>
      </c>
      <c r="C45" s="34">
        <f>IF(Produits!$A$44="","",Produits!$D$44)</f>
        <v/>
      </c>
      <c r="D45" s="32" t="n"/>
      <c r="E45" s="29" t="n"/>
      <c r="F45" s="29" t="n"/>
      <c r="G45" s="29" t="n"/>
      <c r="H45" s="32" t="n"/>
      <c r="I45" s="29" t="n"/>
      <c r="J45" s="29" t="n"/>
      <c r="K45" s="29" t="n"/>
      <c r="L45" s="32" t="n"/>
      <c r="M45" s="29" t="n"/>
      <c r="N45" s="29" t="n"/>
      <c r="O45" s="29" t="n"/>
      <c r="P45" s="32" t="n"/>
      <c r="Q45" s="29" t="n"/>
      <c r="R45" s="29" t="n"/>
      <c r="S45" s="29" t="n"/>
      <c r="T45" s="22">
        <f>IF(COUNT(F45,J45,N45,R45)=0,"",SUM(F45,J45,N45,R45))</f>
        <v/>
      </c>
      <c r="U45" s="22">
        <f>IF(COUNT(G45,K45,O45,S45)=0,"",SUM(G45,K45,O45,S45))</f>
        <v/>
      </c>
      <c r="V45" s="22">
        <f>IF(OR(T45="",U45=""),"",U45-T45)</f>
        <v/>
      </c>
      <c r="W45" s="22">
        <f>IF(Q45&lt;&gt;"",Q45,IF(M45&lt;&gt;"",M45,IF(I45&lt;&gt;"",I45,IF(E45&lt;&gt;"",E45,""))))</f>
        <v/>
      </c>
      <c r="X45" s="18">
        <f>IF(U45="","",U45*N(Produits!$E$44))</f>
        <v/>
      </c>
    </row>
    <row r="46">
      <c r="A46" s="33">
        <f>IF(Produits!$A$45="","",Produits!$A$45)</f>
        <v/>
      </c>
      <c r="B46" s="34">
        <f>IF(Produits!$A$45="","",Produits!$C$45)</f>
        <v/>
      </c>
      <c r="C46" s="34">
        <f>IF(Produits!$A$45="","",Produits!$D$45)</f>
        <v/>
      </c>
      <c r="D46" s="32" t="n"/>
      <c r="E46" s="29" t="n"/>
      <c r="F46" s="29" t="n"/>
      <c r="G46" s="29" t="n"/>
      <c r="H46" s="32" t="n"/>
      <c r="I46" s="29" t="n"/>
      <c r="J46" s="29" t="n"/>
      <c r="K46" s="29" t="n"/>
      <c r="L46" s="32" t="n"/>
      <c r="M46" s="29" t="n"/>
      <c r="N46" s="29" t="n"/>
      <c r="O46" s="29" t="n"/>
      <c r="P46" s="32" t="n"/>
      <c r="Q46" s="29" t="n"/>
      <c r="R46" s="29" t="n"/>
      <c r="S46" s="29" t="n"/>
      <c r="T46" s="22">
        <f>IF(COUNT(F46,J46,N46,R46)=0,"",SUM(F46,J46,N46,R46))</f>
        <v/>
      </c>
      <c r="U46" s="22">
        <f>IF(COUNT(G46,K46,O46,S46)=0,"",SUM(G46,K46,O46,S46))</f>
        <v/>
      </c>
      <c r="V46" s="22">
        <f>IF(OR(T46="",U46=""),"",U46-T46)</f>
        <v/>
      </c>
      <c r="W46" s="22">
        <f>IF(Q46&lt;&gt;"",Q46,IF(M46&lt;&gt;"",M46,IF(I46&lt;&gt;"",I46,IF(E46&lt;&gt;"",E46,""))))</f>
        <v/>
      </c>
      <c r="X46" s="18">
        <f>IF(U46="","",U46*N(Produits!$E$45))</f>
        <v/>
      </c>
    </row>
    <row r="47">
      <c r="A47" s="33">
        <f>IF(Produits!$A$46="","",Produits!$A$46)</f>
        <v/>
      </c>
      <c r="B47" s="34">
        <f>IF(Produits!$A$46="","",Produits!$C$46)</f>
        <v/>
      </c>
      <c r="C47" s="34">
        <f>IF(Produits!$A$46="","",Produits!$D$46)</f>
        <v/>
      </c>
      <c r="D47" s="32" t="n"/>
      <c r="E47" s="29" t="n"/>
      <c r="F47" s="29" t="n"/>
      <c r="G47" s="29" t="n"/>
      <c r="H47" s="32" t="n"/>
      <c r="I47" s="29" t="n"/>
      <c r="J47" s="29" t="n"/>
      <c r="K47" s="29" t="n"/>
      <c r="L47" s="32" t="n"/>
      <c r="M47" s="29" t="n"/>
      <c r="N47" s="29" t="n"/>
      <c r="O47" s="29" t="n"/>
      <c r="P47" s="32" t="n"/>
      <c r="Q47" s="29" t="n"/>
      <c r="R47" s="29" t="n"/>
      <c r="S47" s="29" t="n"/>
      <c r="T47" s="22">
        <f>IF(COUNT(F47,J47,N47,R47)=0,"",SUM(F47,J47,N47,R47))</f>
        <v/>
      </c>
      <c r="U47" s="22">
        <f>IF(COUNT(G47,K47,O47,S47)=0,"",SUM(G47,K47,O47,S47))</f>
        <v/>
      </c>
      <c r="V47" s="22">
        <f>IF(OR(T47="",U47=""),"",U47-T47)</f>
        <v/>
      </c>
      <c r="W47" s="22">
        <f>IF(Q47&lt;&gt;"",Q47,IF(M47&lt;&gt;"",M47,IF(I47&lt;&gt;"",I47,IF(E47&lt;&gt;"",E47,""))))</f>
        <v/>
      </c>
      <c r="X47" s="18">
        <f>IF(U47="","",U47*N(Produits!$E$46))</f>
        <v/>
      </c>
    </row>
    <row r="48">
      <c r="A48" s="33">
        <f>IF(Produits!$A$47="","",Produits!$A$47)</f>
        <v/>
      </c>
      <c r="B48" s="34">
        <f>IF(Produits!$A$47="","",Produits!$C$47)</f>
        <v/>
      </c>
      <c r="C48" s="34">
        <f>IF(Produits!$A$47="","",Produits!$D$47)</f>
        <v/>
      </c>
      <c r="D48" s="32" t="n"/>
      <c r="E48" s="29" t="n"/>
      <c r="F48" s="29" t="n"/>
      <c r="G48" s="29" t="n"/>
      <c r="H48" s="32" t="n"/>
      <c r="I48" s="29" t="n"/>
      <c r="J48" s="29" t="n"/>
      <c r="K48" s="29" t="n"/>
      <c r="L48" s="32" t="n"/>
      <c r="M48" s="29" t="n"/>
      <c r="N48" s="29" t="n"/>
      <c r="O48" s="29" t="n"/>
      <c r="P48" s="32" t="n"/>
      <c r="Q48" s="29" t="n"/>
      <c r="R48" s="29" t="n"/>
      <c r="S48" s="29" t="n"/>
      <c r="T48" s="22">
        <f>IF(COUNT(F48,J48,N48,R48)=0,"",SUM(F48,J48,N48,R48))</f>
        <v/>
      </c>
      <c r="U48" s="22">
        <f>IF(COUNT(G48,K48,O48,S48)=0,"",SUM(G48,K48,O48,S48))</f>
        <v/>
      </c>
      <c r="V48" s="22">
        <f>IF(OR(T48="",U48=""),"",U48-T48)</f>
        <v/>
      </c>
      <c r="W48" s="22">
        <f>IF(Q48&lt;&gt;"",Q48,IF(M48&lt;&gt;"",M48,IF(I48&lt;&gt;"",I48,IF(E48&lt;&gt;"",E48,""))))</f>
        <v/>
      </c>
      <c r="X48" s="18">
        <f>IF(U48="","",U48*N(Produits!$E$47))</f>
        <v/>
      </c>
    </row>
    <row r="49">
      <c r="A49" s="33">
        <f>IF(Produits!$A$48="","",Produits!$A$48)</f>
        <v/>
      </c>
      <c r="B49" s="34">
        <f>IF(Produits!$A$48="","",Produits!$C$48)</f>
        <v/>
      </c>
      <c r="C49" s="34">
        <f>IF(Produits!$A$48="","",Produits!$D$48)</f>
        <v/>
      </c>
      <c r="D49" s="32" t="n"/>
      <c r="E49" s="29" t="n"/>
      <c r="F49" s="29" t="n"/>
      <c r="G49" s="29" t="n"/>
      <c r="H49" s="32" t="n"/>
      <c r="I49" s="29" t="n"/>
      <c r="J49" s="29" t="n"/>
      <c r="K49" s="29" t="n"/>
      <c r="L49" s="32" t="n"/>
      <c r="M49" s="29" t="n"/>
      <c r="N49" s="29" t="n"/>
      <c r="O49" s="29" t="n"/>
      <c r="P49" s="32" t="n"/>
      <c r="Q49" s="29" t="n"/>
      <c r="R49" s="29" t="n"/>
      <c r="S49" s="29" t="n"/>
      <c r="T49" s="22">
        <f>IF(COUNT(F49,J49,N49,R49)=0,"",SUM(F49,J49,N49,R49))</f>
        <v/>
      </c>
      <c r="U49" s="22">
        <f>IF(COUNT(G49,K49,O49,S49)=0,"",SUM(G49,K49,O49,S49))</f>
        <v/>
      </c>
      <c r="V49" s="22">
        <f>IF(OR(T49="",U49=""),"",U49-T49)</f>
        <v/>
      </c>
      <c r="W49" s="22">
        <f>IF(Q49&lt;&gt;"",Q49,IF(M49&lt;&gt;"",M49,IF(I49&lt;&gt;"",I49,IF(E49&lt;&gt;"",E49,""))))</f>
        <v/>
      </c>
      <c r="X49" s="18">
        <f>IF(U49="","",U49*N(Produits!$E$48))</f>
        <v/>
      </c>
    </row>
    <row r="50">
      <c r="A50" s="33">
        <f>IF(Produits!$A$49="","",Produits!$A$49)</f>
        <v/>
      </c>
      <c r="B50" s="34">
        <f>IF(Produits!$A$49="","",Produits!$C$49)</f>
        <v/>
      </c>
      <c r="C50" s="34">
        <f>IF(Produits!$A$49="","",Produits!$D$49)</f>
        <v/>
      </c>
      <c r="D50" s="32" t="n"/>
      <c r="E50" s="29" t="n"/>
      <c r="F50" s="29" t="n"/>
      <c r="G50" s="29" t="n"/>
      <c r="H50" s="32" t="n"/>
      <c r="I50" s="29" t="n"/>
      <c r="J50" s="29" t="n"/>
      <c r="K50" s="29" t="n"/>
      <c r="L50" s="32" t="n"/>
      <c r="M50" s="29" t="n"/>
      <c r="N50" s="29" t="n"/>
      <c r="O50" s="29" t="n"/>
      <c r="P50" s="32" t="n"/>
      <c r="Q50" s="29" t="n"/>
      <c r="R50" s="29" t="n"/>
      <c r="S50" s="29" t="n"/>
      <c r="T50" s="22">
        <f>IF(COUNT(F50,J50,N50,R50)=0,"",SUM(F50,J50,N50,R50))</f>
        <v/>
      </c>
      <c r="U50" s="22">
        <f>IF(COUNT(G50,K50,O50,S50)=0,"",SUM(G50,K50,O50,S50))</f>
        <v/>
      </c>
      <c r="V50" s="22">
        <f>IF(OR(T50="",U50=""),"",U50-T50)</f>
        <v/>
      </c>
      <c r="W50" s="22">
        <f>IF(Q50&lt;&gt;"",Q50,IF(M50&lt;&gt;"",M50,IF(I50&lt;&gt;"",I50,IF(E50&lt;&gt;"",E50,""))))</f>
        <v/>
      </c>
      <c r="X50" s="18">
        <f>IF(U50="","",U50*N(Produits!$E$49))</f>
        <v/>
      </c>
    </row>
    <row r="51">
      <c r="A51" s="33">
        <f>IF(Produits!$A$50="","",Produits!$A$50)</f>
        <v/>
      </c>
      <c r="B51" s="34">
        <f>IF(Produits!$A$50="","",Produits!$C$50)</f>
        <v/>
      </c>
      <c r="C51" s="34">
        <f>IF(Produits!$A$50="","",Produits!$D$50)</f>
        <v/>
      </c>
      <c r="D51" s="32" t="n"/>
      <c r="E51" s="29" t="n"/>
      <c r="F51" s="29" t="n"/>
      <c r="G51" s="29" t="n"/>
      <c r="H51" s="32" t="n"/>
      <c r="I51" s="29" t="n"/>
      <c r="J51" s="29" t="n"/>
      <c r="K51" s="29" t="n"/>
      <c r="L51" s="32" t="n"/>
      <c r="M51" s="29" t="n"/>
      <c r="N51" s="29" t="n"/>
      <c r="O51" s="29" t="n"/>
      <c r="P51" s="32" t="n"/>
      <c r="Q51" s="29" t="n"/>
      <c r="R51" s="29" t="n"/>
      <c r="S51" s="29" t="n"/>
      <c r="T51" s="22">
        <f>IF(COUNT(F51,J51,N51,R51)=0,"",SUM(F51,J51,N51,R51))</f>
        <v/>
      </c>
      <c r="U51" s="22">
        <f>IF(COUNT(G51,K51,O51,S51)=0,"",SUM(G51,K51,O51,S51))</f>
        <v/>
      </c>
      <c r="V51" s="22">
        <f>IF(OR(T51="",U51=""),"",U51-T51)</f>
        <v/>
      </c>
      <c r="W51" s="22">
        <f>IF(Q51&lt;&gt;"",Q51,IF(M51&lt;&gt;"",M51,IF(I51&lt;&gt;"",I51,IF(E51&lt;&gt;"",E51,""))))</f>
        <v/>
      </c>
      <c r="X51" s="18">
        <f>IF(U51="","",U51*N(Produits!$E$50))</f>
        <v/>
      </c>
    </row>
    <row r="52">
      <c r="A52" s="33">
        <f>IF(Produits!$A$51="","",Produits!$A$51)</f>
        <v/>
      </c>
      <c r="B52" s="34">
        <f>IF(Produits!$A$51="","",Produits!$C$51)</f>
        <v/>
      </c>
      <c r="C52" s="34">
        <f>IF(Produits!$A$51="","",Produits!$D$51)</f>
        <v/>
      </c>
      <c r="D52" s="32" t="n"/>
      <c r="E52" s="29" t="n"/>
      <c r="F52" s="29" t="n"/>
      <c r="G52" s="29" t="n"/>
      <c r="H52" s="32" t="n"/>
      <c r="I52" s="29" t="n"/>
      <c r="J52" s="29" t="n"/>
      <c r="K52" s="29" t="n"/>
      <c r="L52" s="32" t="n"/>
      <c r="M52" s="29" t="n"/>
      <c r="N52" s="29" t="n"/>
      <c r="O52" s="29" t="n"/>
      <c r="P52" s="32" t="n"/>
      <c r="Q52" s="29" t="n"/>
      <c r="R52" s="29" t="n"/>
      <c r="S52" s="29" t="n"/>
      <c r="T52" s="22">
        <f>IF(COUNT(F52,J52,N52,R52)=0,"",SUM(F52,J52,N52,R52))</f>
        <v/>
      </c>
      <c r="U52" s="22">
        <f>IF(COUNT(G52,K52,O52,S52)=0,"",SUM(G52,K52,O52,S52))</f>
        <v/>
      </c>
      <c r="V52" s="22">
        <f>IF(OR(T52="",U52=""),"",U52-T52)</f>
        <v/>
      </c>
      <c r="W52" s="22">
        <f>IF(Q52&lt;&gt;"",Q52,IF(M52&lt;&gt;"",M52,IF(I52&lt;&gt;"",I52,IF(E52&lt;&gt;"",E52,""))))</f>
        <v/>
      </c>
      <c r="X52" s="18">
        <f>IF(U52="","",U52*N(Produits!$E$51))</f>
        <v/>
      </c>
    </row>
    <row r="53">
      <c r="A53" s="33">
        <f>IF(Produits!$A$52="","",Produits!$A$52)</f>
        <v/>
      </c>
      <c r="B53" s="34">
        <f>IF(Produits!$A$52="","",Produits!$C$52)</f>
        <v/>
      </c>
      <c r="C53" s="34">
        <f>IF(Produits!$A$52="","",Produits!$D$52)</f>
        <v/>
      </c>
      <c r="D53" s="32" t="n"/>
      <c r="E53" s="29" t="n"/>
      <c r="F53" s="29" t="n"/>
      <c r="G53" s="29" t="n"/>
      <c r="H53" s="32" t="n"/>
      <c r="I53" s="29" t="n"/>
      <c r="J53" s="29" t="n"/>
      <c r="K53" s="29" t="n"/>
      <c r="L53" s="32" t="n"/>
      <c r="M53" s="29" t="n"/>
      <c r="N53" s="29" t="n"/>
      <c r="O53" s="29" t="n"/>
      <c r="P53" s="32" t="n"/>
      <c r="Q53" s="29" t="n"/>
      <c r="R53" s="29" t="n"/>
      <c r="S53" s="29" t="n"/>
      <c r="T53" s="22">
        <f>IF(COUNT(F53,J53,N53,R53)=0,"",SUM(F53,J53,N53,R53))</f>
        <v/>
      </c>
      <c r="U53" s="22">
        <f>IF(COUNT(G53,K53,O53,S53)=0,"",SUM(G53,K53,O53,S53))</f>
        <v/>
      </c>
      <c r="V53" s="22">
        <f>IF(OR(T53="",U53=""),"",U53-T53)</f>
        <v/>
      </c>
      <c r="W53" s="22">
        <f>IF(Q53&lt;&gt;"",Q53,IF(M53&lt;&gt;"",M53,IF(I53&lt;&gt;"",I53,IF(E53&lt;&gt;"",E53,""))))</f>
        <v/>
      </c>
      <c r="X53" s="18">
        <f>IF(U53="","",U53*N(Produits!$E$52))</f>
        <v/>
      </c>
    </row>
    <row r="54" ht="20" customHeight="1">
      <c r="A54" s="23" t="inlineStr">
        <is>
          <t>MÉNAGER</t>
        </is>
      </c>
      <c r="B54" s="10" t="n"/>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row>
    <row r="55">
      <c r="A55" s="33">
        <f>IF(Produits!$A$54="","",Produits!$A$54)</f>
        <v/>
      </c>
      <c r="B55" s="34">
        <f>IF(Produits!$A$54="","",Produits!$C$54)</f>
        <v/>
      </c>
      <c r="C55" s="34">
        <f>IF(Produits!$A$54="","",Produits!$D$54)</f>
        <v/>
      </c>
      <c r="D55" s="32" t="n"/>
      <c r="E55" s="29" t="n"/>
      <c r="F55" s="29" t="n"/>
      <c r="G55" s="29" t="n"/>
      <c r="H55" s="32" t="n"/>
      <c r="I55" s="29" t="n"/>
      <c r="J55" s="29" t="n"/>
      <c r="K55" s="29" t="n"/>
      <c r="L55" s="32" t="n"/>
      <c r="M55" s="29" t="n"/>
      <c r="N55" s="29" t="n"/>
      <c r="O55" s="29" t="n"/>
      <c r="P55" s="32" t="n"/>
      <c r="Q55" s="29" t="n"/>
      <c r="R55" s="29" t="n"/>
      <c r="S55" s="29" t="n"/>
      <c r="T55" s="22">
        <f>IF(COUNT(F55,J55,N55,R55)=0,"",SUM(F55,J55,N55,R55))</f>
        <v/>
      </c>
      <c r="U55" s="22">
        <f>IF(COUNT(G55,K55,O55,S55)=0,"",SUM(G55,K55,O55,S55))</f>
        <v/>
      </c>
      <c r="V55" s="22">
        <f>IF(OR(T55="",U55=""),"",U55-T55)</f>
        <v/>
      </c>
      <c r="W55" s="22">
        <f>IF(Q55&lt;&gt;"",Q55,IF(M55&lt;&gt;"",M55,IF(I55&lt;&gt;"",I55,IF(E55&lt;&gt;"",E55,""))))</f>
        <v/>
      </c>
      <c r="X55" s="18">
        <f>IF(U55="","",U55*N(Produits!$E$54))</f>
        <v/>
      </c>
    </row>
    <row r="56">
      <c r="A56" s="33">
        <f>IF(Produits!$A$55="","",Produits!$A$55)</f>
        <v/>
      </c>
      <c r="B56" s="34">
        <f>IF(Produits!$A$55="","",Produits!$C$55)</f>
        <v/>
      </c>
      <c r="C56" s="34">
        <f>IF(Produits!$A$55="","",Produits!$D$55)</f>
        <v/>
      </c>
      <c r="D56" s="32" t="n"/>
      <c r="E56" s="29" t="n"/>
      <c r="F56" s="29" t="n"/>
      <c r="G56" s="29" t="n"/>
      <c r="H56" s="32" t="n"/>
      <c r="I56" s="29" t="n"/>
      <c r="J56" s="29" t="n"/>
      <c r="K56" s="29" t="n"/>
      <c r="L56" s="32" t="n"/>
      <c r="M56" s="29" t="n"/>
      <c r="N56" s="29" t="n"/>
      <c r="O56" s="29" t="n"/>
      <c r="P56" s="32" t="n"/>
      <c r="Q56" s="29" t="n"/>
      <c r="R56" s="29" t="n"/>
      <c r="S56" s="29" t="n"/>
      <c r="T56" s="22">
        <f>IF(COUNT(F56,J56,N56,R56)=0,"",SUM(F56,J56,N56,R56))</f>
        <v/>
      </c>
      <c r="U56" s="22">
        <f>IF(COUNT(G56,K56,O56,S56)=0,"",SUM(G56,K56,O56,S56))</f>
        <v/>
      </c>
      <c r="V56" s="22">
        <f>IF(OR(T56="",U56=""),"",U56-T56)</f>
        <v/>
      </c>
      <c r="W56" s="22">
        <f>IF(Q56&lt;&gt;"",Q56,IF(M56&lt;&gt;"",M56,IF(I56&lt;&gt;"",I56,IF(E56&lt;&gt;"",E56,""))))</f>
        <v/>
      </c>
      <c r="X56" s="18">
        <f>IF(U56="","",U56*N(Produits!$E$55))</f>
        <v/>
      </c>
    </row>
    <row r="57">
      <c r="A57" s="33">
        <f>IF(Produits!$A$56="","",Produits!$A$56)</f>
        <v/>
      </c>
      <c r="B57" s="34">
        <f>IF(Produits!$A$56="","",Produits!$C$56)</f>
        <v/>
      </c>
      <c r="C57" s="34">
        <f>IF(Produits!$A$56="","",Produits!$D$56)</f>
        <v/>
      </c>
      <c r="D57" s="32" t="n"/>
      <c r="E57" s="29" t="n"/>
      <c r="F57" s="29" t="n"/>
      <c r="G57" s="29" t="n"/>
      <c r="H57" s="32" t="n"/>
      <c r="I57" s="29" t="n"/>
      <c r="J57" s="29" t="n"/>
      <c r="K57" s="29" t="n"/>
      <c r="L57" s="32" t="n"/>
      <c r="M57" s="29" t="n"/>
      <c r="N57" s="29" t="n"/>
      <c r="O57" s="29" t="n"/>
      <c r="P57" s="32" t="n"/>
      <c r="Q57" s="29" t="n"/>
      <c r="R57" s="29" t="n"/>
      <c r="S57" s="29" t="n"/>
      <c r="T57" s="22">
        <f>IF(COUNT(F57,J57,N57,R57)=0,"",SUM(F57,J57,N57,R57))</f>
        <v/>
      </c>
      <c r="U57" s="22">
        <f>IF(COUNT(G57,K57,O57,S57)=0,"",SUM(G57,K57,O57,S57))</f>
        <v/>
      </c>
      <c r="V57" s="22">
        <f>IF(OR(T57="",U57=""),"",U57-T57)</f>
        <v/>
      </c>
      <c r="W57" s="22">
        <f>IF(Q57&lt;&gt;"",Q57,IF(M57&lt;&gt;"",M57,IF(I57&lt;&gt;"",I57,IF(E57&lt;&gt;"",E57,""))))</f>
        <v/>
      </c>
      <c r="X57" s="18">
        <f>IF(U57="","",U57*N(Produits!$E$56))</f>
        <v/>
      </c>
    </row>
    <row r="58">
      <c r="A58" s="33">
        <f>IF(Produits!$A$57="","",Produits!$A$57)</f>
        <v/>
      </c>
      <c r="B58" s="34">
        <f>IF(Produits!$A$57="","",Produits!$C$57)</f>
        <v/>
      </c>
      <c r="C58" s="34">
        <f>IF(Produits!$A$57="","",Produits!$D$57)</f>
        <v/>
      </c>
      <c r="D58" s="32" t="n"/>
      <c r="E58" s="29" t="n"/>
      <c r="F58" s="29" t="n"/>
      <c r="G58" s="29" t="n"/>
      <c r="H58" s="32" t="n"/>
      <c r="I58" s="29" t="n"/>
      <c r="J58" s="29" t="n"/>
      <c r="K58" s="29" t="n"/>
      <c r="L58" s="32" t="n"/>
      <c r="M58" s="29" t="n"/>
      <c r="N58" s="29" t="n"/>
      <c r="O58" s="29" t="n"/>
      <c r="P58" s="32" t="n"/>
      <c r="Q58" s="29" t="n"/>
      <c r="R58" s="29" t="n"/>
      <c r="S58" s="29" t="n"/>
      <c r="T58" s="22">
        <f>IF(COUNT(F58,J58,N58,R58)=0,"",SUM(F58,J58,N58,R58))</f>
        <v/>
      </c>
      <c r="U58" s="22">
        <f>IF(COUNT(G58,K58,O58,S58)=0,"",SUM(G58,K58,O58,S58))</f>
        <v/>
      </c>
      <c r="V58" s="22">
        <f>IF(OR(T58="",U58=""),"",U58-T58)</f>
        <v/>
      </c>
      <c r="W58" s="22">
        <f>IF(Q58&lt;&gt;"",Q58,IF(M58&lt;&gt;"",M58,IF(I58&lt;&gt;"",I58,IF(E58&lt;&gt;"",E58,""))))</f>
        <v/>
      </c>
      <c r="X58" s="18">
        <f>IF(U58="","",U58*N(Produits!$E$57))</f>
        <v/>
      </c>
    </row>
    <row r="59">
      <c r="A59" s="33">
        <f>IF(Produits!$A$58="","",Produits!$A$58)</f>
        <v/>
      </c>
      <c r="B59" s="34">
        <f>IF(Produits!$A$58="","",Produits!$C$58)</f>
        <v/>
      </c>
      <c r="C59" s="34">
        <f>IF(Produits!$A$58="","",Produits!$D$58)</f>
        <v/>
      </c>
      <c r="D59" s="32" t="n"/>
      <c r="E59" s="29" t="n"/>
      <c r="F59" s="29" t="n"/>
      <c r="G59" s="29" t="n"/>
      <c r="H59" s="32" t="n"/>
      <c r="I59" s="29" t="n"/>
      <c r="J59" s="29" t="n"/>
      <c r="K59" s="29" t="n"/>
      <c r="L59" s="32" t="n"/>
      <c r="M59" s="29" t="n"/>
      <c r="N59" s="29" t="n"/>
      <c r="O59" s="29" t="n"/>
      <c r="P59" s="32" t="n"/>
      <c r="Q59" s="29" t="n"/>
      <c r="R59" s="29" t="n"/>
      <c r="S59" s="29" t="n"/>
      <c r="T59" s="22">
        <f>IF(COUNT(F59,J59,N59,R59)=0,"",SUM(F59,J59,N59,R59))</f>
        <v/>
      </c>
      <c r="U59" s="22">
        <f>IF(COUNT(G59,K59,O59,S59)=0,"",SUM(G59,K59,O59,S59))</f>
        <v/>
      </c>
      <c r="V59" s="22">
        <f>IF(OR(T59="",U59=""),"",U59-T59)</f>
        <v/>
      </c>
      <c r="W59" s="22">
        <f>IF(Q59&lt;&gt;"",Q59,IF(M59&lt;&gt;"",M59,IF(I59&lt;&gt;"",I59,IF(E59&lt;&gt;"",E59,""))))</f>
        <v/>
      </c>
      <c r="X59" s="18">
        <f>IF(U59="","",U59*N(Produits!$E$58))</f>
        <v/>
      </c>
    </row>
    <row r="60">
      <c r="A60" s="33">
        <f>IF(Produits!$A$59="","",Produits!$A$59)</f>
        <v/>
      </c>
      <c r="B60" s="34">
        <f>IF(Produits!$A$59="","",Produits!$C$59)</f>
        <v/>
      </c>
      <c r="C60" s="34">
        <f>IF(Produits!$A$59="","",Produits!$D$59)</f>
        <v/>
      </c>
      <c r="D60" s="32" t="n"/>
      <c r="E60" s="29" t="n"/>
      <c r="F60" s="29" t="n"/>
      <c r="G60" s="29" t="n"/>
      <c r="H60" s="32" t="n"/>
      <c r="I60" s="29" t="n"/>
      <c r="J60" s="29" t="n"/>
      <c r="K60" s="29" t="n"/>
      <c r="L60" s="32" t="n"/>
      <c r="M60" s="29" t="n"/>
      <c r="N60" s="29" t="n"/>
      <c r="O60" s="29" t="n"/>
      <c r="P60" s="32" t="n"/>
      <c r="Q60" s="29" t="n"/>
      <c r="R60" s="29" t="n"/>
      <c r="S60" s="29" t="n"/>
      <c r="T60" s="22">
        <f>IF(COUNT(F60,J60,N60,R60)=0,"",SUM(F60,J60,N60,R60))</f>
        <v/>
      </c>
      <c r="U60" s="22">
        <f>IF(COUNT(G60,K60,O60,S60)=0,"",SUM(G60,K60,O60,S60))</f>
        <v/>
      </c>
      <c r="V60" s="22">
        <f>IF(OR(T60="",U60=""),"",U60-T60)</f>
        <v/>
      </c>
      <c r="W60" s="22">
        <f>IF(Q60&lt;&gt;"",Q60,IF(M60&lt;&gt;"",M60,IF(I60&lt;&gt;"",I60,IF(E60&lt;&gt;"",E60,""))))</f>
        <v/>
      </c>
      <c r="X60" s="18">
        <f>IF(U60="","",U60*N(Produits!$E$59))</f>
        <v/>
      </c>
    </row>
    <row r="61">
      <c r="A61" s="33">
        <f>IF(Produits!$A$60="","",Produits!$A$60)</f>
        <v/>
      </c>
      <c r="B61" s="34">
        <f>IF(Produits!$A$60="","",Produits!$C$60)</f>
        <v/>
      </c>
      <c r="C61" s="34">
        <f>IF(Produits!$A$60="","",Produits!$D$60)</f>
        <v/>
      </c>
      <c r="D61" s="32" t="n"/>
      <c r="E61" s="29" t="n"/>
      <c r="F61" s="29" t="n"/>
      <c r="G61" s="29" t="n"/>
      <c r="H61" s="32" t="n"/>
      <c r="I61" s="29" t="n"/>
      <c r="J61" s="29" t="n"/>
      <c r="K61" s="29" t="n"/>
      <c r="L61" s="32" t="n"/>
      <c r="M61" s="29" t="n"/>
      <c r="N61" s="29" t="n"/>
      <c r="O61" s="29" t="n"/>
      <c r="P61" s="32" t="n"/>
      <c r="Q61" s="29" t="n"/>
      <c r="R61" s="29" t="n"/>
      <c r="S61" s="29" t="n"/>
      <c r="T61" s="22">
        <f>IF(COUNT(F61,J61,N61,R61)=0,"",SUM(F61,J61,N61,R61))</f>
        <v/>
      </c>
      <c r="U61" s="22">
        <f>IF(COUNT(G61,K61,O61,S61)=0,"",SUM(G61,K61,O61,S61))</f>
        <v/>
      </c>
      <c r="V61" s="22">
        <f>IF(OR(T61="",U61=""),"",U61-T61)</f>
        <v/>
      </c>
      <c r="W61" s="22">
        <f>IF(Q61&lt;&gt;"",Q61,IF(M61&lt;&gt;"",M61,IF(I61&lt;&gt;"",I61,IF(E61&lt;&gt;"",E61,""))))</f>
        <v/>
      </c>
      <c r="X61" s="18">
        <f>IF(U61="","",U61*N(Produits!$E$60))</f>
        <v/>
      </c>
    </row>
    <row r="62">
      <c r="A62" s="33">
        <f>IF(Produits!$A$61="","",Produits!$A$61)</f>
        <v/>
      </c>
      <c r="B62" s="34">
        <f>IF(Produits!$A$61="","",Produits!$C$61)</f>
        <v/>
      </c>
      <c r="C62" s="34">
        <f>IF(Produits!$A$61="","",Produits!$D$61)</f>
        <v/>
      </c>
      <c r="D62" s="32" t="n"/>
      <c r="E62" s="29" t="n"/>
      <c r="F62" s="29" t="n"/>
      <c r="G62" s="29" t="n"/>
      <c r="H62" s="32" t="n"/>
      <c r="I62" s="29" t="n"/>
      <c r="J62" s="29" t="n"/>
      <c r="K62" s="29" t="n"/>
      <c r="L62" s="32" t="n"/>
      <c r="M62" s="29" t="n"/>
      <c r="N62" s="29" t="n"/>
      <c r="O62" s="29" t="n"/>
      <c r="P62" s="32" t="n"/>
      <c r="Q62" s="29" t="n"/>
      <c r="R62" s="29" t="n"/>
      <c r="S62" s="29" t="n"/>
      <c r="T62" s="22">
        <f>IF(COUNT(F62,J62,N62,R62)=0,"",SUM(F62,J62,N62,R62))</f>
        <v/>
      </c>
      <c r="U62" s="22">
        <f>IF(COUNT(G62,K62,O62,S62)=0,"",SUM(G62,K62,O62,S62))</f>
        <v/>
      </c>
      <c r="V62" s="22">
        <f>IF(OR(T62="",U62=""),"",U62-T62)</f>
        <v/>
      </c>
      <c r="W62" s="22">
        <f>IF(Q62&lt;&gt;"",Q62,IF(M62&lt;&gt;"",M62,IF(I62&lt;&gt;"",I62,IF(E62&lt;&gt;"",E62,""))))</f>
        <v/>
      </c>
      <c r="X62" s="18">
        <f>IF(U62="","",U62*N(Produits!$E$61))</f>
        <v/>
      </c>
    </row>
    <row r="63">
      <c r="A63" s="33">
        <f>IF(Produits!$A$62="","",Produits!$A$62)</f>
        <v/>
      </c>
      <c r="B63" s="34">
        <f>IF(Produits!$A$62="","",Produits!$C$62)</f>
        <v/>
      </c>
      <c r="C63" s="34">
        <f>IF(Produits!$A$62="","",Produits!$D$62)</f>
        <v/>
      </c>
      <c r="D63" s="32" t="n"/>
      <c r="E63" s="29" t="n"/>
      <c r="F63" s="29" t="n"/>
      <c r="G63" s="29" t="n"/>
      <c r="H63" s="32" t="n"/>
      <c r="I63" s="29" t="n"/>
      <c r="J63" s="29" t="n"/>
      <c r="K63" s="29" t="n"/>
      <c r="L63" s="32" t="n"/>
      <c r="M63" s="29" t="n"/>
      <c r="N63" s="29" t="n"/>
      <c r="O63" s="29" t="n"/>
      <c r="P63" s="32" t="n"/>
      <c r="Q63" s="29" t="n"/>
      <c r="R63" s="29" t="n"/>
      <c r="S63" s="29" t="n"/>
      <c r="T63" s="22">
        <f>IF(COUNT(F63,J63,N63,R63)=0,"",SUM(F63,J63,N63,R63))</f>
        <v/>
      </c>
      <c r="U63" s="22">
        <f>IF(COUNT(G63,K63,O63,S63)=0,"",SUM(G63,K63,O63,S63))</f>
        <v/>
      </c>
      <c r="V63" s="22">
        <f>IF(OR(T63="",U63=""),"",U63-T63)</f>
        <v/>
      </c>
      <c r="W63" s="22">
        <f>IF(Q63&lt;&gt;"",Q63,IF(M63&lt;&gt;"",M63,IF(I63&lt;&gt;"",I63,IF(E63&lt;&gt;"",E63,""))))</f>
        <v/>
      </c>
      <c r="X63" s="18">
        <f>IF(U63="","",U63*N(Produits!$E$62))</f>
        <v/>
      </c>
    </row>
    <row r="64">
      <c r="A64" s="33">
        <f>IF(Produits!$A$63="","",Produits!$A$63)</f>
        <v/>
      </c>
      <c r="B64" s="34">
        <f>IF(Produits!$A$63="","",Produits!$C$63)</f>
        <v/>
      </c>
      <c r="C64" s="34">
        <f>IF(Produits!$A$63="","",Produits!$D$63)</f>
        <v/>
      </c>
      <c r="D64" s="32" t="n"/>
      <c r="E64" s="29" t="n"/>
      <c r="F64" s="29" t="n"/>
      <c r="G64" s="29" t="n"/>
      <c r="H64" s="32" t="n"/>
      <c r="I64" s="29" t="n"/>
      <c r="J64" s="29" t="n"/>
      <c r="K64" s="29" t="n"/>
      <c r="L64" s="32" t="n"/>
      <c r="M64" s="29" t="n"/>
      <c r="N64" s="29" t="n"/>
      <c r="O64" s="29" t="n"/>
      <c r="P64" s="32" t="n"/>
      <c r="Q64" s="29" t="n"/>
      <c r="R64" s="29" t="n"/>
      <c r="S64" s="29" t="n"/>
      <c r="T64" s="22">
        <f>IF(COUNT(F64,J64,N64,R64)=0,"",SUM(F64,J64,N64,R64))</f>
        <v/>
      </c>
      <c r="U64" s="22">
        <f>IF(COUNT(G64,K64,O64,S64)=0,"",SUM(G64,K64,O64,S64))</f>
        <v/>
      </c>
      <c r="V64" s="22">
        <f>IF(OR(T64="",U64=""),"",U64-T64)</f>
        <v/>
      </c>
      <c r="W64" s="22">
        <f>IF(Q64&lt;&gt;"",Q64,IF(M64&lt;&gt;"",M64,IF(I64&lt;&gt;"",I64,IF(E64&lt;&gt;"",E64,""))))</f>
        <v/>
      </c>
      <c r="X64" s="18">
        <f>IF(U64="","",U64*N(Produits!$E$63))</f>
        <v/>
      </c>
    </row>
    <row r="65">
      <c r="A65" s="33">
        <f>IF(Produits!$A$64="","",Produits!$A$64)</f>
        <v/>
      </c>
      <c r="B65" s="34">
        <f>IF(Produits!$A$64="","",Produits!$C$64)</f>
        <v/>
      </c>
      <c r="C65" s="34">
        <f>IF(Produits!$A$64="","",Produits!$D$64)</f>
        <v/>
      </c>
      <c r="D65" s="32" t="n"/>
      <c r="E65" s="29" t="n"/>
      <c r="F65" s="29" t="n"/>
      <c r="G65" s="29" t="n"/>
      <c r="H65" s="32" t="n"/>
      <c r="I65" s="29" t="n"/>
      <c r="J65" s="29" t="n"/>
      <c r="K65" s="29" t="n"/>
      <c r="L65" s="32" t="n"/>
      <c r="M65" s="29" t="n"/>
      <c r="N65" s="29" t="n"/>
      <c r="O65" s="29" t="n"/>
      <c r="P65" s="32" t="n"/>
      <c r="Q65" s="29" t="n"/>
      <c r="R65" s="29" t="n"/>
      <c r="S65" s="29" t="n"/>
      <c r="T65" s="22">
        <f>IF(COUNT(F65,J65,N65,R65)=0,"",SUM(F65,J65,N65,R65))</f>
        <v/>
      </c>
      <c r="U65" s="22">
        <f>IF(COUNT(G65,K65,O65,S65)=0,"",SUM(G65,K65,O65,S65))</f>
        <v/>
      </c>
      <c r="V65" s="22">
        <f>IF(OR(T65="",U65=""),"",U65-T65)</f>
        <v/>
      </c>
      <c r="W65" s="22">
        <f>IF(Q65&lt;&gt;"",Q65,IF(M65&lt;&gt;"",M65,IF(I65&lt;&gt;"",I65,IF(E65&lt;&gt;"",E65,""))))</f>
        <v/>
      </c>
      <c r="X65" s="18">
        <f>IF(U65="","",U65*N(Produits!$E$64))</f>
        <v/>
      </c>
    </row>
    <row r="66">
      <c r="A66" s="33">
        <f>IF(Produits!$A$65="","",Produits!$A$65)</f>
        <v/>
      </c>
      <c r="B66" s="34">
        <f>IF(Produits!$A$65="","",Produits!$C$65)</f>
        <v/>
      </c>
      <c r="C66" s="34">
        <f>IF(Produits!$A$65="","",Produits!$D$65)</f>
        <v/>
      </c>
      <c r="D66" s="32" t="n"/>
      <c r="E66" s="29" t="n"/>
      <c r="F66" s="29" t="n"/>
      <c r="G66" s="29" t="n"/>
      <c r="H66" s="32" t="n"/>
      <c r="I66" s="29" t="n"/>
      <c r="J66" s="29" t="n"/>
      <c r="K66" s="29" t="n"/>
      <c r="L66" s="32" t="n"/>
      <c r="M66" s="29" t="n"/>
      <c r="N66" s="29" t="n"/>
      <c r="O66" s="29" t="n"/>
      <c r="P66" s="32" t="n"/>
      <c r="Q66" s="29" t="n"/>
      <c r="R66" s="29" t="n"/>
      <c r="S66" s="29" t="n"/>
      <c r="T66" s="22">
        <f>IF(COUNT(F66,J66,N66,R66)=0,"",SUM(F66,J66,N66,R66))</f>
        <v/>
      </c>
      <c r="U66" s="22">
        <f>IF(COUNT(G66,K66,O66,S66)=0,"",SUM(G66,K66,O66,S66))</f>
        <v/>
      </c>
      <c r="V66" s="22">
        <f>IF(OR(T66="",U66=""),"",U66-T66)</f>
        <v/>
      </c>
      <c r="W66" s="22">
        <f>IF(Q66&lt;&gt;"",Q66,IF(M66&lt;&gt;"",M66,IF(I66&lt;&gt;"",I66,IF(E66&lt;&gt;"",E66,""))))</f>
        <v/>
      </c>
      <c r="X66" s="18">
        <f>IF(U66="","",U66*N(Produits!$E$65))</f>
        <v/>
      </c>
    </row>
    <row r="67">
      <c r="A67" s="33">
        <f>IF(Produits!$A$66="","",Produits!$A$66)</f>
        <v/>
      </c>
      <c r="B67" s="34">
        <f>IF(Produits!$A$66="","",Produits!$C$66)</f>
        <v/>
      </c>
      <c r="C67" s="34">
        <f>IF(Produits!$A$66="","",Produits!$D$66)</f>
        <v/>
      </c>
      <c r="D67" s="32" t="n"/>
      <c r="E67" s="29" t="n"/>
      <c r="F67" s="29" t="n"/>
      <c r="G67" s="29" t="n"/>
      <c r="H67" s="32" t="n"/>
      <c r="I67" s="29" t="n"/>
      <c r="J67" s="29" t="n"/>
      <c r="K67" s="29" t="n"/>
      <c r="L67" s="32" t="n"/>
      <c r="M67" s="29" t="n"/>
      <c r="N67" s="29" t="n"/>
      <c r="O67" s="29" t="n"/>
      <c r="P67" s="32" t="n"/>
      <c r="Q67" s="29" t="n"/>
      <c r="R67" s="29" t="n"/>
      <c r="S67" s="29" t="n"/>
      <c r="T67" s="22">
        <f>IF(COUNT(F67,J67,N67,R67)=0,"",SUM(F67,J67,N67,R67))</f>
        <v/>
      </c>
      <c r="U67" s="22">
        <f>IF(COUNT(G67,K67,O67,S67)=0,"",SUM(G67,K67,O67,S67))</f>
        <v/>
      </c>
      <c r="V67" s="22">
        <f>IF(OR(T67="",U67=""),"",U67-T67)</f>
        <v/>
      </c>
      <c r="W67" s="22">
        <f>IF(Q67&lt;&gt;"",Q67,IF(M67&lt;&gt;"",M67,IF(I67&lt;&gt;"",I67,IF(E67&lt;&gt;"",E67,""))))</f>
        <v/>
      </c>
      <c r="X67" s="18">
        <f>IF(U67="","",U67*N(Produits!$E$66))</f>
        <v/>
      </c>
    </row>
    <row r="68">
      <c r="A68" s="33">
        <f>IF(Produits!$A$67="","",Produits!$A$67)</f>
        <v/>
      </c>
      <c r="B68" s="34">
        <f>IF(Produits!$A$67="","",Produits!$C$67)</f>
        <v/>
      </c>
      <c r="C68" s="34">
        <f>IF(Produits!$A$67="","",Produits!$D$67)</f>
        <v/>
      </c>
      <c r="D68" s="32" t="n"/>
      <c r="E68" s="29" t="n"/>
      <c r="F68" s="29" t="n"/>
      <c r="G68" s="29" t="n"/>
      <c r="H68" s="32" t="n"/>
      <c r="I68" s="29" t="n"/>
      <c r="J68" s="29" t="n"/>
      <c r="K68" s="29" t="n"/>
      <c r="L68" s="32" t="n"/>
      <c r="M68" s="29" t="n"/>
      <c r="N68" s="29" t="n"/>
      <c r="O68" s="29" t="n"/>
      <c r="P68" s="32" t="n"/>
      <c r="Q68" s="29" t="n"/>
      <c r="R68" s="29" t="n"/>
      <c r="S68" s="29" t="n"/>
      <c r="T68" s="22">
        <f>IF(COUNT(F68,J68,N68,R68)=0,"",SUM(F68,J68,N68,R68))</f>
        <v/>
      </c>
      <c r="U68" s="22">
        <f>IF(COUNT(G68,K68,O68,S68)=0,"",SUM(G68,K68,O68,S68))</f>
        <v/>
      </c>
      <c r="V68" s="22">
        <f>IF(OR(T68="",U68=""),"",U68-T68)</f>
        <v/>
      </c>
      <c r="W68" s="22">
        <f>IF(Q68&lt;&gt;"",Q68,IF(M68&lt;&gt;"",M68,IF(I68&lt;&gt;"",I68,IF(E68&lt;&gt;"",E68,""))))</f>
        <v/>
      </c>
      <c r="X68" s="18">
        <f>IF(U68="","",U68*N(Produits!$E$67))</f>
        <v/>
      </c>
    </row>
    <row r="69">
      <c r="A69" s="33">
        <f>IF(Produits!$A$68="","",Produits!$A$68)</f>
        <v/>
      </c>
      <c r="B69" s="34">
        <f>IF(Produits!$A$68="","",Produits!$C$68)</f>
        <v/>
      </c>
      <c r="C69" s="34">
        <f>IF(Produits!$A$68="","",Produits!$D$68)</f>
        <v/>
      </c>
      <c r="D69" s="32" t="n"/>
      <c r="E69" s="29" t="n"/>
      <c r="F69" s="29" t="n"/>
      <c r="G69" s="29" t="n"/>
      <c r="H69" s="32" t="n"/>
      <c r="I69" s="29" t="n"/>
      <c r="J69" s="29" t="n"/>
      <c r="K69" s="29" t="n"/>
      <c r="L69" s="32" t="n"/>
      <c r="M69" s="29" t="n"/>
      <c r="N69" s="29" t="n"/>
      <c r="O69" s="29" t="n"/>
      <c r="P69" s="32" t="n"/>
      <c r="Q69" s="29" t="n"/>
      <c r="R69" s="29" t="n"/>
      <c r="S69" s="29" t="n"/>
      <c r="T69" s="22">
        <f>IF(COUNT(F69,J69,N69,R69)=0,"",SUM(F69,J69,N69,R69))</f>
        <v/>
      </c>
      <c r="U69" s="22">
        <f>IF(COUNT(G69,K69,O69,S69)=0,"",SUM(G69,K69,O69,S69))</f>
        <v/>
      </c>
      <c r="V69" s="22">
        <f>IF(OR(T69="",U69=""),"",U69-T69)</f>
        <v/>
      </c>
      <c r="W69" s="22">
        <f>IF(Q69&lt;&gt;"",Q69,IF(M69&lt;&gt;"",M69,IF(I69&lt;&gt;"",I69,IF(E69&lt;&gt;"",E69,""))))</f>
        <v/>
      </c>
      <c r="X69" s="18">
        <f>IF(U69="","",U69*N(Produits!$E$68))</f>
        <v/>
      </c>
    </row>
    <row r="71">
      <c r="A71" s="15" t="inlineStr">
        <is>
          <t>Total des dépenses du mois</t>
        </is>
      </c>
      <c r="B71" s="19" t="n"/>
      <c r="C71" s="19" t="n"/>
      <c r="X71" s="35">
        <f>SUM(X7:X69)</f>
        <v/>
      </c>
    </row>
  </sheetData>
  <mergeCells count="14">
    <mergeCell ref="H4:K4"/>
    <mergeCell ref="A71:C71"/>
    <mergeCell ref="B4:B5"/>
    <mergeCell ref="C4:C5"/>
    <mergeCell ref="A4:A5"/>
    <mergeCell ref="T4:W4"/>
    <mergeCell ref="X4:X5"/>
    <mergeCell ref="A38:X38"/>
    <mergeCell ref="A54:X54"/>
    <mergeCell ref="L4:O4"/>
    <mergeCell ref="P4:S4"/>
    <mergeCell ref="A6:X6"/>
    <mergeCell ref="A22:X22"/>
    <mergeCell ref="D4:G4"/>
  </mergeCells>
  <conditionalFormatting sqref="V7:V69">
    <cfRule type="expression" priority="1" dxfId="0">
      <formula>AND(ISNUMBER(V7),V7&lt;0)</formula>
    </cfRule>
  </conditionalFormatting>
  <conditionalFormatting sqref="E7:E69">
    <cfRule type="expression" priority="2" dxfId="1">
      <formula>AND(ISNUMBER(E7),ISNUMBER($C7),E7&lt;=$C7)</formula>
    </cfRule>
  </conditionalFormatting>
  <conditionalFormatting sqref="G7:G69">
    <cfRule type="expression" priority="3" dxfId="0">
      <formula>AND(ISNUMBER(G7),ISNUMBER(F7),G7&lt;F7)</formula>
    </cfRule>
  </conditionalFormatting>
  <conditionalFormatting sqref="I7:I69">
    <cfRule type="expression" priority="4" dxfId="1">
      <formula>AND(ISNUMBER(I7),ISNUMBER($C7),I7&lt;=$C7)</formula>
    </cfRule>
  </conditionalFormatting>
  <conditionalFormatting sqref="K7:K69">
    <cfRule type="expression" priority="5" dxfId="0">
      <formula>AND(ISNUMBER(K7),ISNUMBER(J7),K7&lt;J7)</formula>
    </cfRule>
  </conditionalFormatting>
  <conditionalFormatting sqref="M7:M69">
    <cfRule type="expression" priority="6" dxfId="1">
      <formula>AND(ISNUMBER(M7),ISNUMBER($C7),M7&lt;=$C7)</formula>
    </cfRule>
  </conditionalFormatting>
  <conditionalFormatting sqref="O7:O69">
    <cfRule type="expression" priority="7" dxfId="0">
      <formula>AND(ISNUMBER(O7),ISNUMBER(N7),O7&lt;N7)</formula>
    </cfRule>
  </conditionalFormatting>
  <conditionalFormatting sqref="Q7:Q69">
    <cfRule type="expression" priority="8" dxfId="1">
      <formula>AND(ISNUMBER(Q7),ISNUMBER($C7),Q7&lt;=$C7)</formula>
    </cfRule>
  </conditionalFormatting>
  <conditionalFormatting sqref="S7:S69">
    <cfRule type="expression" priority="9" dxfId="0">
      <formula>AND(ISNUMBER(S7),ISNUMBER(R7),S7&lt;R7)</formula>
    </cfRule>
  </conditionalFormatting>
  <dataValidations count="4">
    <dataValidation sqref="E7:G69" showDropDown="0" showInputMessage="0" showErrorMessage="1" allowBlank="1" errorTitle="Valeur invalide" error="Entre un nombre positif (ou laisse vide)." type="decimal" operator="greaterThanOrEqual">
      <formula1>0</formula1>
    </dataValidation>
    <dataValidation sqref="I7:K69" showDropDown="0" showInputMessage="0" showErrorMessage="1" allowBlank="1" errorTitle="Valeur invalide" error="Entre un nombre positif (ou laisse vide)." type="decimal" operator="greaterThanOrEqual">
      <formula1>0</formula1>
    </dataValidation>
    <dataValidation sqref="M7:O69" showDropDown="0" showInputMessage="0" showErrorMessage="1" allowBlank="1" errorTitle="Valeur invalide" error="Entre un nombre positif (ou laisse vide)." type="decimal" operator="greaterThanOrEqual">
      <formula1>0</formula1>
    </dataValidation>
    <dataValidation sqref="Q7:S69"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X71"/>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24" customWidth="1" min="1" max="1"/>
    <col width="7" customWidth="1" min="2" max="2"/>
    <col width="7" customWidth="1" min="3" max="3"/>
    <col width="11" customWidth="1" min="4" max="4"/>
    <col width="10.5" customWidth="1" min="5" max="5"/>
    <col width="10.5" customWidth="1" min="6" max="6"/>
    <col width="10.5" customWidth="1" min="7" max="7"/>
    <col width="11" customWidth="1" min="8" max="8"/>
    <col width="10.5" customWidth="1" min="9" max="9"/>
    <col width="10.5" customWidth="1" min="10" max="10"/>
    <col width="10.5" customWidth="1" min="11" max="11"/>
    <col width="11" customWidth="1" min="12" max="12"/>
    <col width="10.5" customWidth="1" min="13" max="13"/>
    <col width="10.5" customWidth="1" min="14" max="14"/>
    <col width="10.5" customWidth="1" min="15" max="15"/>
    <col width="11" customWidth="1" min="16" max="16"/>
    <col width="10.5" customWidth="1" min="17" max="17"/>
    <col width="10.5" customWidth="1" min="18" max="18"/>
    <col width="10.5" customWidth="1" min="19" max="19"/>
    <col width="11" customWidth="1" min="20" max="20"/>
    <col width="11" customWidth="1" min="21" max="21"/>
    <col width="11" customWidth="1" min="22" max="22"/>
    <col width="11" customWidth="1" min="23" max="23"/>
    <col width="12" customWidth="1" min="24" max="24"/>
  </cols>
  <sheetData>
    <row r="1" ht="26" customHeight="1">
      <c r="A1" s="1" t="inlineStr">
        <is>
          <t>Mai 2026</t>
        </is>
      </c>
    </row>
    <row r="2">
      <c r="A2" s="2" t="inlineStr">
        <is>
          <t>Date cmd = jour où tu passes la commande · Stock = ce qu'il reste · Commandé · Reçu = ce qui est arrivé</t>
        </is>
      </c>
    </row>
    <row r="4">
      <c r="A4" s="15" t="inlineStr">
        <is>
          <t>Produit</t>
        </is>
      </c>
      <c r="B4" s="15" t="inlineStr">
        <is>
          <t>Unité</t>
        </is>
      </c>
      <c r="C4" s="15" t="inlineStr">
        <is>
          <t>Mini</t>
        </is>
      </c>
      <c r="D4" s="15" t="inlineStr">
        <is>
          <t>Semaine 1</t>
        </is>
      </c>
      <c r="E4" s="19" t="n"/>
      <c r="F4" s="19" t="n"/>
      <c r="G4" s="19" t="n"/>
      <c r="H4" s="15" t="inlineStr">
        <is>
          <t>Semaine 2</t>
        </is>
      </c>
      <c r="I4" s="19" t="n"/>
      <c r="J4" s="19" t="n"/>
      <c r="K4" s="19" t="n"/>
      <c r="L4" s="15" t="inlineStr">
        <is>
          <t>Semaine 3</t>
        </is>
      </c>
      <c r="M4" s="19" t="n"/>
      <c r="N4" s="19" t="n"/>
      <c r="O4" s="19" t="n"/>
      <c r="P4" s="15" t="inlineStr">
        <is>
          <t>Semaine 4</t>
        </is>
      </c>
      <c r="Q4" s="19" t="n"/>
      <c r="R4" s="19" t="n"/>
      <c r="S4" s="19" t="n"/>
      <c r="T4" s="15" t="inlineStr">
        <is>
          <t>Total du mois</t>
        </is>
      </c>
      <c r="U4" s="19" t="n"/>
      <c r="V4" s="19" t="n"/>
      <c r="W4" s="19" t="n"/>
      <c r="X4" s="15" t="inlineStr">
        <is>
          <t>Dépense (€)</t>
        </is>
      </c>
    </row>
    <row r="5">
      <c r="A5" s="19" t="n"/>
      <c r="B5" s="19" t="n"/>
      <c r="C5" s="19" t="n"/>
      <c r="D5" s="8" t="inlineStr">
        <is>
          <t>Date cmd</t>
        </is>
      </c>
      <c r="E5" s="8" t="inlineStr">
        <is>
          <t>Stock</t>
        </is>
      </c>
      <c r="F5" s="8" t="inlineStr">
        <is>
          <t>Commandé</t>
        </is>
      </c>
      <c r="G5" s="8" t="inlineStr">
        <is>
          <t>Reçu</t>
        </is>
      </c>
      <c r="H5" s="8" t="inlineStr">
        <is>
          <t>Date cmd</t>
        </is>
      </c>
      <c r="I5" s="8" t="inlineStr">
        <is>
          <t>Stock</t>
        </is>
      </c>
      <c r="J5" s="8" t="inlineStr">
        <is>
          <t>Commandé</t>
        </is>
      </c>
      <c r="K5" s="8" t="inlineStr">
        <is>
          <t>Reçu</t>
        </is>
      </c>
      <c r="L5" s="8" t="inlineStr">
        <is>
          <t>Date cmd</t>
        </is>
      </c>
      <c r="M5" s="8" t="inlineStr">
        <is>
          <t>Stock</t>
        </is>
      </c>
      <c r="N5" s="8" t="inlineStr">
        <is>
          <t>Commandé</t>
        </is>
      </c>
      <c r="O5" s="8" t="inlineStr">
        <is>
          <t>Reçu</t>
        </is>
      </c>
      <c r="P5" s="8" t="inlineStr">
        <is>
          <t>Date cmd</t>
        </is>
      </c>
      <c r="Q5" s="8" t="inlineStr">
        <is>
          <t>Stock</t>
        </is>
      </c>
      <c r="R5" s="8" t="inlineStr">
        <is>
          <t>Commandé</t>
        </is>
      </c>
      <c r="S5" s="8" t="inlineStr">
        <is>
          <t>Reçu</t>
        </is>
      </c>
      <c r="T5" s="8" t="inlineStr">
        <is>
          <t>Commandé</t>
        </is>
      </c>
      <c r="U5" s="8" t="inlineStr">
        <is>
          <t>Reçu</t>
        </is>
      </c>
      <c r="V5" s="8" t="inlineStr">
        <is>
          <t>Écart</t>
        </is>
      </c>
      <c r="W5" s="8" t="inlineStr">
        <is>
          <t>Dernier stock</t>
        </is>
      </c>
      <c r="X5" s="19" t="n"/>
    </row>
    <row r="6" ht="20" customHeight="1">
      <c r="A6" s="23" t="inlineStr">
        <is>
          <t>RÉSERVE SÈCHE</t>
        </is>
      </c>
      <c r="B6" s="10" t="n"/>
      <c r="C6" s="10" t="n"/>
      <c r="D6" s="10" t="n"/>
      <c r="E6" s="10" t="n"/>
      <c r="F6" s="10" t="n"/>
      <c r="G6" s="10" t="n"/>
      <c r="H6" s="10" t="n"/>
      <c r="I6" s="10" t="n"/>
      <c r="J6" s="10" t="n"/>
      <c r="K6" s="10" t="n"/>
      <c r="L6" s="10" t="n"/>
      <c r="M6" s="10" t="n"/>
      <c r="N6" s="10" t="n"/>
      <c r="O6" s="10" t="n"/>
      <c r="P6" s="10" t="n"/>
      <c r="Q6" s="10" t="n"/>
      <c r="R6" s="10" t="n"/>
      <c r="S6" s="10" t="n"/>
      <c r="T6" s="10" t="n"/>
      <c r="U6" s="10" t="n"/>
      <c r="V6" s="10" t="n"/>
      <c r="W6" s="10" t="n"/>
      <c r="X6" s="10" t="n"/>
    </row>
    <row r="7">
      <c r="A7" s="33">
        <f>IF(Produits!$A$6="","",Produits!$A$6)</f>
        <v/>
      </c>
      <c r="B7" s="34">
        <f>IF(Produits!$A$6="","",Produits!$C$6)</f>
        <v/>
      </c>
      <c r="C7" s="34">
        <f>IF(Produits!$A$6="","",Produits!$D$6)</f>
        <v/>
      </c>
      <c r="D7" s="32" t="n"/>
      <c r="E7" s="29" t="n"/>
      <c r="F7" s="29" t="n"/>
      <c r="G7" s="29" t="n"/>
      <c r="H7" s="32" t="n"/>
      <c r="I7" s="29" t="n"/>
      <c r="J7" s="29" t="n"/>
      <c r="K7" s="29" t="n"/>
      <c r="L7" s="32" t="n"/>
      <c r="M7" s="29" t="n"/>
      <c r="N7" s="29" t="n"/>
      <c r="O7" s="29" t="n"/>
      <c r="P7" s="32" t="n"/>
      <c r="Q7" s="29" t="n"/>
      <c r="R7" s="29" t="n"/>
      <c r="S7" s="29" t="n"/>
      <c r="T7" s="22">
        <f>IF(COUNT(F7,J7,N7,R7)=0,"",SUM(F7,J7,N7,R7))</f>
        <v/>
      </c>
      <c r="U7" s="22">
        <f>IF(COUNT(G7,K7,O7,S7)=0,"",SUM(G7,K7,O7,S7))</f>
        <v/>
      </c>
      <c r="V7" s="22">
        <f>IF(OR(T7="",U7=""),"",U7-T7)</f>
        <v/>
      </c>
      <c r="W7" s="22">
        <f>IF(Q7&lt;&gt;"",Q7,IF(M7&lt;&gt;"",M7,IF(I7&lt;&gt;"",I7,IF(E7&lt;&gt;"",E7,""))))</f>
        <v/>
      </c>
      <c r="X7" s="18">
        <f>IF(U7="","",U7*N(Produits!$E$6))</f>
        <v/>
      </c>
    </row>
    <row r="8">
      <c r="A8" s="33">
        <f>IF(Produits!$A$7="","",Produits!$A$7)</f>
        <v/>
      </c>
      <c r="B8" s="34">
        <f>IF(Produits!$A$7="","",Produits!$C$7)</f>
        <v/>
      </c>
      <c r="C8" s="34">
        <f>IF(Produits!$A$7="","",Produits!$D$7)</f>
        <v/>
      </c>
      <c r="D8" s="32" t="n"/>
      <c r="E8" s="29" t="n"/>
      <c r="F8" s="29" t="n"/>
      <c r="G8" s="29" t="n"/>
      <c r="H8" s="32" t="n"/>
      <c r="I8" s="29" t="n"/>
      <c r="J8" s="29" t="n"/>
      <c r="K8" s="29" t="n"/>
      <c r="L8" s="32" t="n"/>
      <c r="M8" s="29" t="n"/>
      <c r="N8" s="29" t="n"/>
      <c r="O8" s="29" t="n"/>
      <c r="P8" s="32" t="n"/>
      <c r="Q8" s="29" t="n"/>
      <c r="R8" s="29" t="n"/>
      <c r="S8" s="29" t="n"/>
      <c r="T8" s="22">
        <f>IF(COUNT(F8,J8,N8,R8)=0,"",SUM(F8,J8,N8,R8))</f>
        <v/>
      </c>
      <c r="U8" s="22">
        <f>IF(COUNT(G8,K8,O8,S8)=0,"",SUM(G8,K8,O8,S8))</f>
        <v/>
      </c>
      <c r="V8" s="22">
        <f>IF(OR(T8="",U8=""),"",U8-T8)</f>
        <v/>
      </c>
      <c r="W8" s="22">
        <f>IF(Q8&lt;&gt;"",Q8,IF(M8&lt;&gt;"",M8,IF(I8&lt;&gt;"",I8,IF(E8&lt;&gt;"",E8,""))))</f>
        <v/>
      </c>
      <c r="X8" s="18">
        <f>IF(U8="","",U8*N(Produits!$E$7))</f>
        <v/>
      </c>
    </row>
    <row r="9">
      <c r="A9" s="33">
        <f>IF(Produits!$A$8="","",Produits!$A$8)</f>
        <v/>
      </c>
      <c r="B9" s="34">
        <f>IF(Produits!$A$8="","",Produits!$C$8)</f>
        <v/>
      </c>
      <c r="C9" s="34">
        <f>IF(Produits!$A$8="","",Produits!$D$8)</f>
        <v/>
      </c>
      <c r="D9" s="32" t="n"/>
      <c r="E9" s="29" t="n"/>
      <c r="F9" s="29" t="n"/>
      <c r="G9" s="29" t="n"/>
      <c r="H9" s="32" t="n"/>
      <c r="I9" s="29" t="n"/>
      <c r="J9" s="29" t="n"/>
      <c r="K9" s="29" t="n"/>
      <c r="L9" s="32" t="n"/>
      <c r="M9" s="29" t="n"/>
      <c r="N9" s="29" t="n"/>
      <c r="O9" s="29" t="n"/>
      <c r="P9" s="32" t="n"/>
      <c r="Q9" s="29" t="n"/>
      <c r="R9" s="29" t="n"/>
      <c r="S9" s="29" t="n"/>
      <c r="T9" s="22">
        <f>IF(COUNT(F9,J9,N9,R9)=0,"",SUM(F9,J9,N9,R9))</f>
        <v/>
      </c>
      <c r="U9" s="22">
        <f>IF(COUNT(G9,K9,O9,S9)=0,"",SUM(G9,K9,O9,S9))</f>
        <v/>
      </c>
      <c r="V9" s="22">
        <f>IF(OR(T9="",U9=""),"",U9-T9)</f>
        <v/>
      </c>
      <c r="W9" s="22">
        <f>IF(Q9&lt;&gt;"",Q9,IF(M9&lt;&gt;"",M9,IF(I9&lt;&gt;"",I9,IF(E9&lt;&gt;"",E9,""))))</f>
        <v/>
      </c>
      <c r="X9" s="18">
        <f>IF(U9="","",U9*N(Produits!$E$8))</f>
        <v/>
      </c>
    </row>
    <row r="10">
      <c r="A10" s="33">
        <f>IF(Produits!$A$9="","",Produits!$A$9)</f>
        <v/>
      </c>
      <c r="B10" s="34">
        <f>IF(Produits!$A$9="","",Produits!$C$9)</f>
        <v/>
      </c>
      <c r="C10" s="34">
        <f>IF(Produits!$A$9="","",Produits!$D$9)</f>
        <v/>
      </c>
      <c r="D10" s="32" t="n"/>
      <c r="E10" s="29" t="n"/>
      <c r="F10" s="29" t="n"/>
      <c r="G10" s="29" t="n"/>
      <c r="H10" s="32" t="n"/>
      <c r="I10" s="29" t="n"/>
      <c r="J10" s="29" t="n"/>
      <c r="K10" s="29" t="n"/>
      <c r="L10" s="32" t="n"/>
      <c r="M10" s="29" t="n"/>
      <c r="N10" s="29" t="n"/>
      <c r="O10" s="29" t="n"/>
      <c r="P10" s="32" t="n"/>
      <c r="Q10" s="29" t="n"/>
      <c r="R10" s="29" t="n"/>
      <c r="S10" s="29" t="n"/>
      <c r="T10" s="22">
        <f>IF(COUNT(F10,J10,N10,R10)=0,"",SUM(F10,J10,N10,R10))</f>
        <v/>
      </c>
      <c r="U10" s="22">
        <f>IF(COUNT(G10,K10,O10,S10)=0,"",SUM(G10,K10,O10,S10))</f>
        <v/>
      </c>
      <c r="V10" s="22">
        <f>IF(OR(T10="",U10=""),"",U10-T10)</f>
        <v/>
      </c>
      <c r="W10" s="22">
        <f>IF(Q10&lt;&gt;"",Q10,IF(M10&lt;&gt;"",M10,IF(I10&lt;&gt;"",I10,IF(E10&lt;&gt;"",E10,""))))</f>
        <v/>
      </c>
      <c r="X10" s="18">
        <f>IF(U10="","",U10*N(Produits!$E$9))</f>
        <v/>
      </c>
    </row>
    <row r="11">
      <c r="A11" s="33">
        <f>IF(Produits!$A$10="","",Produits!$A$10)</f>
        <v/>
      </c>
      <c r="B11" s="34">
        <f>IF(Produits!$A$10="","",Produits!$C$10)</f>
        <v/>
      </c>
      <c r="C11" s="34">
        <f>IF(Produits!$A$10="","",Produits!$D$10)</f>
        <v/>
      </c>
      <c r="D11" s="32" t="n"/>
      <c r="E11" s="29" t="n"/>
      <c r="F11" s="29" t="n"/>
      <c r="G11" s="29" t="n"/>
      <c r="H11" s="32" t="n"/>
      <c r="I11" s="29" t="n"/>
      <c r="J11" s="29" t="n"/>
      <c r="K11" s="29" t="n"/>
      <c r="L11" s="32" t="n"/>
      <c r="M11" s="29" t="n"/>
      <c r="N11" s="29" t="n"/>
      <c r="O11" s="29" t="n"/>
      <c r="P11" s="32" t="n"/>
      <c r="Q11" s="29" t="n"/>
      <c r="R11" s="29" t="n"/>
      <c r="S11" s="29" t="n"/>
      <c r="T11" s="22">
        <f>IF(COUNT(F11,J11,N11,R11)=0,"",SUM(F11,J11,N11,R11))</f>
        <v/>
      </c>
      <c r="U11" s="22">
        <f>IF(COUNT(G11,K11,O11,S11)=0,"",SUM(G11,K11,O11,S11))</f>
        <v/>
      </c>
      <c r="V11" s="22">
        <f>IF(OR(T11="",U11=""),"",U11-T11)</f>
        <v/>
      </c>
      <c r="W11" s="22">
        <f>IF(Q11&lt;&gt;"",Q11,IF(M11&lt;&gt;"",M11,IF(I11&lt;&gt;"",I11,IF(E11&lt;&gt;"",E11,""))))</f>
        <v/>
      </c>
      <c r="X11" s="18">
        <f>IF(U11="","",U11*N(Produits!$E$10))</f>
        <v/>
      </c>
    </row>
    <row r="12">
      <c r="A12" s="33">
        <f>IF(Produits!$A$11="","",Produits!$A$11)</f>
        <v/>
      </c>
      <c r="B12" s="34">
        <f>IF(Produits!$A$11="","",Produits!$C$11)</f>
        <v/>
      </c>
      <c r="C12" s="34">
        <f>IF(Produits!$A$11="","",Produits!$D$11)</f>
        <v/>
      </c>
      <c r="D12" s="32" t="n"/>
      <c r="E12" s="29" t="n"/>
      <c r="F12" s="29" t="n"/>
      <c r="G12" s="29" t="n"/>
      <c r="H12" s="32" t="n"/>
      <c r="I12" s="29" t="n"/>
      <c r="J12" s="29" t="n"/>
      <c r="K12" s="29" t="n"/>
      <c r="L12" s="32" t="n"/>
      <c r="M12" s="29" t="n"/>
      <c r="N12" s="29" t="n"/>
      <c r="O12" s="29" t="n"/>
      <c r="P12" s="32" t="n"/>
      <c r="Q12" s="29" t="n"/>
      <c r="R12" s="29" t="n"/>
      <c r="S12" s="29" t="n"/>
      <c r="T12" s="22">
        <f>IF(COUNT(F12,J12,N12,R12)=0,"",SUM(F12,J12,N12,R12))</f>
        <v/>
      </c>
      <c r="U12" s="22">
        <f>IF(COUNT(G12,K12,O12,S12)=0,"",SUM(G12,K12,O12,S12))</f>
        <v/>
      </c>
      <c r="V12" s="22">
        <f>IF(OR(T12="",U12=""),"",U12-T12)</f>
        <v/>
      </c>
      <c r="W12" s="22">
        <f>IF(Q12&lt;&gt;"",Q12,IF(M12&lt;&gt;"",M12,IF(I12&lt;&gt;"",I12,IF(E12&lt;&gt;"",E12,""))))</f>
        <v/>
      </c>
      <c r="X12" s="18">
        <f>IF(U12="","",U12*N(Produits!$E$11))</f>
        <v/>
      </c>
    </row>
    <row r="13">
      <c r="A13" s="33">
        <f>IF(Produits!$A$12="","",Produits!$A$12)</f>
        <v/>
      </c>
      <c r="B13" s="34">
        <f>IF(Produits!$A$12="","",Produits!$C$12)</f>
        <v/>
      </c>
      <c r="C13" s="34">
        <f>IF(Produits!$A$12="","",Produits!$D$12)</f>
        <v/>
      </c>
      <c r="D13" s="32" t="n"/>
      <c r="E13" s="29" t="n"/>
      <c r="F13" s="29" t="n"/>
      <c r="G13" s="29" t="n"/>
      <c r="H13" s="32" t="n"/>
      <c r="I13" s="29" t="n"/>
      <c r="J13" s="29" t="n"/>
      <c r="K13" s="29" t="n"/>
      <c r="L13" s="32" t="n"/>
      <c r="M13" s="29" t="n"/>
      <c r="N13" s="29" t="n"/>
      <c r="O13" s="29" t="n"/>
      <c r="P13" s="32" t="n"/>
      <c r="Q13" s="29" t="n"/>
      <c r="R13" s="29" t="n"/>
      <c r="S13" s="29" t="n"/>
      <c r="T13" s="22">
        <f>IF(COUNT(F13,J13,N13,R13)=0,"",SUM(F13,J13,N13,R13))</f>
        <v/>
      </c>
      <c r="U13" s="22">
        <f>IF(COUNT(G13,K13,O13,S13)=0,"",SUM(G13,K13,O13,S13))</f>
        <v/>
      </c>
      <c r="V13" s="22">
        <f>IF(OR(T13="",U13=""),"",U13-T13)</f>
        <v/>
      </c>
      <c r="W13" s="22">
        <f>IF(Q13&lt;&gt;"",Q13,IF(M13&lt;&gt;"",M13,IF(I13&lt;&gt;"",I13,IF(E13&lt;&gt;"",E13,""))))</f>
        <v/>
      </c>
      <c r="X13" s="18">
        <f>IF(U13="","",U13*N(Produits!$E$12))</f>
        <v/>
      </c>
    </row>
    <row r="14">
      <c r="A14" s="33">
        <f>IF(Produits!$A$13="","",Produits!$A$13)</f>
        <v/>
      </c>
      <c r="B14" s="34">
        <f>IF(Produits!$A$13="","",Produits!$C$13)</f>
        <v/>
      </c>
      <c r="C14" s="34">
        <f>IF(Produits!$A$13="","",Produits!$D$13)</f>
        <v/>
      </c>
      <c r="D14" s="32" t="n"/>
      <c r="E14" s="29" t="n"/>
      <c r="F14" s="29" t="n"/>
      <c r="G14" s="29" t="n"/>
      <c r="H14" s="32" t="n"/>
      <c r="I14" s="29" t="n"/>
      <c r="J14" s="29" t="n"/>
      <c r="K14" s="29" t="n"/>
      <c r="L14" s="32" t="n"/>
      <c r="M14" s="29" t="n"/>
      <c r="N14" s="29" t="n"/>
      <c r="O14" s="29" t="n"/>
      <c r="P14" s="32" t="n"/>
      <c r="Q14" s="29" t="n"/>
      <c r="R14" s="29" t="n"/>
      <c r="S14" s="29" t="n"/>
      <c r="T14" s="22">
        <f>IF(COUNT(F14,J14,N14,R14)=0,"",SUM(F14,J14,N14,R14))</f>
        <v/>
      </c>
      <c r="U14" s="22">
        <f>IF(COUNT(G14,K14,O14,S14)=0,"",SUM(G14,K14,O14,S14))</f>
        <v/>
      </c>
      <c r="V14" s="22">
        <f>IF(OR(T14="",U14=""),"",U14-T14)</f>
        <v/>
      </c>
      <c r="W14" s="22">
        <f>IF(Q14&lt;&gt;"",Q14,IF(M14&lt;&gt;"",M14,IF(I14&lt;&gt;"",I14,IF(E14&lt;&gt;"",E14,""))))</f>
        <v/>
      </c>
      <c r="X14" s="18">
        <f>IF(U14="","",U14*N(Produits!$E$13))</f>
        <v/>
      </c>
    </row>
    <row r="15">
      <c r="A15" s="33">
        <f>IF(Produits!$A$14="","",Produits!$A$14)</f>
        <v/>
      </c>
      <c r="B15" s="34">
        <f>IF(Produits!$A$14="","",Produits!$C$14)</f>
        <v/>
      </c>
      <c r="C15" s="34">
        <f>IF(Produits!$A$14="","",Produits!$D$14)</f>
        <v/>
      </c>
      <c r="D15" s="32" t="n"/>
      <c r="E15" s="29" t="n"/>
      <c r="F15" s="29" t="n"/>
      <c r="G15" s="29" t="n"/>
      <c r="H15" s="32" t="n"/>
      <c r="I15" s="29" t="n"/>
      <c r="J15" s="29" t="n"/>
      <c r="K15" s="29" t="n"/>
      <c r="L15" s="32" t="n"/>
      <c r="M15" s="29" t="n"/>
      <c r="N15" s="29" t="n"/>
      <c r="O15" s="29" t="n"/>
      <c r="P15" s="32" t="n"/>
      <c r="Q15" s="29" t="n"/>
      <c r="R15" s="29" t="n"/>
      <c r="S15" s="29" t="n"/>
      <c r="T15" s="22">
        <f>IF(COUNT(F15,J15,N15,R15)=0,"",SUM(F15,J15,N15,R15))</f>
        <v/>
      </c>
      <c r="U15" s="22">
        <f>IF(COUNT(G15,K15,O15,S15)=0,"",SUM(G15,K15,O15,S15))</f>
        <v/>
      </c>
      <c r="V15" s="22">
        <f>IF(OR(T15="",U15=""),"",U15-T15)</f>
        <v/>
      </c>
      <c r="W15" s="22">
        <f>IF(Q15&lt;&gt;"",Q15,IF(M15&lt;&gt;"",M15,IF(I15&lt;&gt;"",I15,IF(E15&lt;&gt;"",E15,""))))</f>
        <v/>
      </c>
      <c r="X15" s="18">
        <f>IF(U15="","",U15*N(Produits!$E$14))</f>
        <v/>
      </c>
    </row>
    <row r="16">
      <c r="A16" s="33">
        <f>IF(Produits!$A$15="","",Produits!$A$15)</f>
        <v/>
      </c>
      <c r="B16" s="34">
        <f>IF(Produits!$A$15="","",Produits!$C$15)</f>
        <v/>
      </c>
      <c r="C16" s="34">
        <f>IF(Produits!$A$15="","",Produits!$D$15)</f>
        <v/>
      </c>
      <c r="D16" s="32" t="n"/>
      <c r="E16" s="29" t="n"/>
      <c r="F16" s="29" t="n"/>
      <c r="G16" s="29" t="n"/>
      <c r="H16" s="32" t="n"/>
      <c r="I16" s="29" t="n"/>
      <c r="J16" s="29" t="n"/>
      <c r="K16" s="29" t="n"/>
      <c r="L16" s="32" t="n"/>
      <c r="M16" s="29" t="n"/>
      <c r="N16" s="29" t="n"/>
      <c r="O16" s="29" t="n"/>
      <c r="P16" s="32" t="n"/>
      <c r="Q16" s="29" t="n"/>
      <c r="R16" s="29" t="n"/>
      <c r="S16" s="29" t="n"/>
      <c r="T16" s="22">
        <f>IF(COUNT(F16,J16,N16,R16)=0,"",SUM(F16,J16,N16,R16))</f>
        <v/>
      </c>
      <c r="U16" s="22">
        <f>IF(COUNT(G16,K16,O16,S16)=0,"",SUM(G16,K16,O16,S16))</f>
        <v/>
      </c>
      <c r="V16" s="22">
        <f>IF(OR(T16="",U16=""),"",U16-T16)</f>
        <v/>
      </c>
      <c r="W16" s="22">
        <f>IF(Q16&lt;&gt;"",Q16,IF(M16&lt;&gt;"",M16,IF(I16&lt;&gt;"",I16,IF(E16&lt;&gt;"",E16,""))))</f>
        <v/>
      </c>
      <c r="X16" s="18">
        <f>IF(U16="","",U16*N(Produits!$E$15))</f>
        <v/>
      </c>
    </row>
    <row r="17">
      <c r="A17" s="33">
        <f>IF(Produits!$A$16="","",Produits!$A$16)</f>
        <v/>
      </c>
      <c r="B17" s="34">
        <f>IF(Produits!$A$16="","",Produits!$C$16)</f>
        <v/>
      </c>
      <c r="C17" s="34">
        <f>IF(Produits!$A$16="","",Produits!$D$16)</f>
        <v/>
      </c>
      <c r="D17" s="32" t="n"/>
      <c r="E17" s="29" t="n"/>
      <c r="F17" s="29" t="n"/>
      <c r="G17" s="29" t="n"/>
      <c r="H17" s="32" t="n"/>
      <c r="I17" s="29" t="n"/>
      <c r="J17" s="29" t="n"/>
      <c r="K17" s="29" t="n"/>
      <c r="L17" s="32" t="n"/>
      <c r="M17" s="29" t="n"/>
      <c r="N17" s="29" t="n"/>
      <c r="O17" s="29" t="n"/>
      <c r="P17" s="32" t="n"/>
      <c r="Q17" s="29" t="n"/>
      <c r="R17" s="29" t="n"/>
      <c r="S17" s="29" t="n"/>
      <c r="T17" s="22">
        <f>IF(COUNT(F17,J17,N17,R17)=0,"",SUM(F17,J17,N17,R17))</f>
        <v/>
      </c>
      <c r="U17" s="22">
        <f>IF(COUNT(G17,K17,O17,S17)=0,"",SUM(G17,K17,O17,S17))</f>
        <v/>
      </c>
      <c r="V17" s="22">
        <f>IF(OR(T17="",U17=""),"",U17-T17)</f>
        <v/>
      </c>
      <c r="W17" s="22">
        <f>IF(Q17&lt;&gt;"",Q17,IF(M17&lt;&gt;"",M17,IF(I17&lt;&gt;"",I17,IF(E17&lt;&gt;"",E17,""))))</f>
        <v/>
      </c>
      <c r="X17" s="18">
        <f>IF(U17="","",U17*N(Produits!$E$16))</f>
        <v/>
      </c>
    </row>
    <row r="18">
      <c r="A18" s="33">
        <f>IF(Produits!$A$17="","",Produits!$A$17)</f>
        <v/>
      </c>
      <c r="B18" s="34">
        <f>IF(Produits!$A$17="","",Produits!$C$17)</f>
        <v/>
      </c>
      <c r="C18" s="34">
        <f>IF(Produits!$A$17="","",Produits!$D$17)</f>
        <v/>
      </c>
      <c r="D18" s="32" t="n"/>
      <c r="E18" s="29" t="n"/>
      <c r="F18" s="29" t="n"/>
      <c r="G18" s="29" t="n"/>
      <c r="H18" s="32" t="n"/>
      <c r="I18" s="29" t="n"/>
      <c r="J18" s="29" t="n"/>
      <c r="K18" s="29" t="n"/>
      <c r="L18" s="32" t="n"/>
      <c r="M18" s="29" t="n"/>
      <c r="N18" s="29" t="n"/>
      <c r="O18" s="29" t="n"/>
      <c r="P18" s="32" t="n"/>
      <c r="Q18" s="29" t="n"/>
      <c r="R18" s="29" t="n"/>
      <c r="S18" s="29" t="n"/>
      <c r="T18" s="22">
        <f>IF(COUNT(F18,J18,N18,R18)=0,"",SUM(F18,J18,N18,R18))</f>
        <v/>
      </c>
      <c r="U18" s="22">
        <f>IF(COUNT(G18,K18,O18,S18)=0,"",SUM(G18,K18,O18,S18))</f>
        <v/>
      </c>
      <c r="V18" s="22">
        <f>IF(OR(T18="",U18=""),"",U18-T18)</f>
        <v/>
      </c>
      <c r="W18" s="22">
        <f>IF(Q18&lt;&gt;"",Q18,IF(M18&lt;&gt;"",M18,IF(I18&lt;&gt;"",I18,IF(E18&lt;&gt;"",E18,""))))</f>
        <v/>
      </c>
      <c r="X18" s="18">
        <f>IF(U18="","",U18*N(Produits!$E$17))</f>
        <v/>
      </c>
    </row>
    <row r="19">
      <c r="A19" s="33">
        <f>IF(Produits!$A$18="","",Produits!$A$18)</f>
        <v/>
      </c>
      <c r="B19" s="34">
        <f>IF(Produits!$A$18="","",Produits!$C$18)</f>
        <v/>
      </c>
      <c r="C19" s="34">
        <f>IF(Produits!$A$18="","",Produits!$D$18)</f>
        <v/>
      </c>
      <c r="D19" s="32" t="n"/>
      <c r="E19" s="29" t="n"/>
      <c r="F19" s="29" t="n"/>
      <c r="G19" s="29" t="n"/>
      <c r="H19" s="32" t="n"/>
      <c r="I19" s="29" t="n"/>
      <c r="J19" s="29" t="n"/>
      <c r="K19" s="29" t="n"/>
      <c r="L19" s="32" t="n"/>
      <c r="M19" s="29" t="n"/>
      <c r="N19" s="29" t="n"/>
      <c r="O19" s="29" t="n"/>
      <c r="P19" s="32" t="n"/>
      <c r="Q19" s="29" t="n"/>
      <c r="R19" s="29" t="n"/>
      <c r="S19" s="29" t="n"/>
      <c r="T19" s="22">
        <f>IF(COUNT(F19,J19,N19,R19)=0,"",SUM(F19,J19,N19,R19))</f>
        <v/>
      </c>
      <c r="U19" s="22">
        <f>IF(COUNT(G19,K19,O19,S19)=0,"",SUM(G19,K19,O19,S19))</f>
        <v/>
      </c>
      <c r="V19" s="22">
        <f>IF(OR(T19="",U19=""),"",U19-T19)</f>
        <v/>
      </c>
      <c r="W19" s="22">
        <f>IF(Q19&lt;&gt;"",Q19,IF(M19&lt;&gt;"",M19,IF(I19&lt;&gt;"",I19,IF(E19&lt;&gt;"",E19,""))))</f>
        <v/>
      </c>
      <c r="X19" s="18">
        <f>IF(U19="","",U19*N(Produits!$E$18))</f>
        <v/>
      </c>
    </row>
    <row r="20">
      <c r="A20" s="33">
        <f>IF(Produits!$A$19="","",Produits!$A$19)</f>
        <v/>
      </c>
      <c r="B20" s="34">
        <f>IF(Produits!$A$19="","",Produits!$C$19)</f>
        <v/>
      </c>
      <c r="C20" s="34">
        <f>IF(Produits!$A$19="","",Produits!$D$19)</f>
        <v/>
      </c>
      <c r="D20" s="32" t="n"/>
      <c r="E20" s="29" t="n"/>
      <c r="F20" s="29" t="n"/>
      <c r="G20" s="29" t="n"/>
      <c r="H20" s="32" t="n"/>
      <c r="I20" s="29" t="n"/>
      <c r="J20" s="29" t="n"/>
      <c r="K20" s="29" t="n"/>
      <c r="L20" s="32" t="n"/>
      <c r="M20" s="29" t="n"/>
      <c r="N20" s="29" t="n"/>
      <c r="O20" s="29" t="n"/>
      <c r="P20" s="32" t="n"/>
      <c r="Q20" s="29" t="n"/>
      <c r="R20" s="29" t="n"/>
      <c r="S20" s="29" t="n"/>
      <c r="T20" s="22">
        <f>IF(COUNT(F20,J20,N20,R20)=0,"",SUM(F20,J20,N20,R20))</f>
        <v/>
      </c>
      <c r="U20" s="22">
        <f>IF(COUNT(G20,K20,O20,S20)=0,"",SUM(G20,K20,O20,S20))</f>
        <v/>
      </c>
      <c r="V20" s="22">
        <f>IF(OR(T20="",U20=""),"",U20-T20)</f>
        <v/>
      </c>
      <c r="W20" s="22">
        <f>IF(Q20&lt;&gt;"",Q20,IF(M20&lt;&gt;"",M20,IF(I20&lt;&gt;"",I20,IF(E20&lt;&gt;"",E20,""))))</f>
        <v/>
      </c>
      <c r="X20" s="18">
        <f>IF(U20="","",U20*N(Produits!$E$19))</f>
        <v/>
      </c>
    </row>
    <row r="21">
      <c r="A21" s="33">
        <f>IF(Produits!$A$20="","",Produits!$A$20)</f>
        <v/>
      </c>
      <c r="B21" s="34">
        <f>IF(Produits!$A$20="","",Produits!$C$20)</f>
        <v/>
      </c>
      <c r="C21" s="34">
        <f>IF(Produits!$A$20="","",Produits!$D$20)</f>
        <v/>
      </c>
      <c r="D21" s="32" t="n"/>
      <c r="E21" s="29" t="n"/>
      <c r="F21" s="29" t="n"/>
      <c r="G21" s="29" t="n"/>
      <c r="H21" s="32" t="n"/>
      <c r="I21" s="29" t="n"/>
      <c r="J21" s="29" t="n"/>
      <c r="K21" s="29" t="n"/>
      <c r="L21" s="32" t="n"/>
      <c r="M21" s="29" t="n"/>
      <c r="N21" s="29" t="n"/>
      <c r="O21" s="29" t="n"/>
      <c r="P21" s="32" t="n"/>
      <c r="Q21" s="29" t="n"/>
      <c r="R21" s="29" t="n"/>
      <c r="S21" s="29" t="n"/>
      <c r="T21" s="22">
        <f>IF(COUNT(F21,J21,N21,R21)=0,"",SUM(F21,J21,N21,R21))</f>
        <v/>
      </c>
      <c r="U21" s="22">
        <f>IF(COUNT(G21,K21,O21,S21)=0,"",SUM(G21,K21,O21,S21))</f>
        <v/>
      </c>
      <c r="V21" s="22">
        <f>IF(OR(T21="",U21=""),"",U21-T21)</f>
        <v/>
      </c>
      <c r="W21" s="22">
        <f>IF(Q21&lt;&gt;"",Q21,IF(M21&lt;&gt;"",M21,IF(I21&lt;&gt;"",I21,IF(E21&lt;&gt;"",E21,""))))</f>
        <v/>
      </c>
      <c r="X21" s="18">
        <f>IF(U21="","",U21*N(Produits!$E$20))</f>
        <v/>
      </c>
    </row>
    <row r="22" ht="20" customHeight="1">
      <c r="A22" s="23" t="inlineStr">
        <is>
          <t>CHAMBRE FROIDE POSITIVE</t>
        </is>
      </c>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row>
    <row r="23">
      <c r="A23" s="33">
        <f>IF(Produits!$A$22="","",Produits!$A$22)</f>
        <v/>
      </c>
      <c r="B23" s="34">
        <f>IF(Produits!$A$22="","",Produits!$C$22)</f>
        <v/>
      </c>
      <c r="C23" s="34">
        <f>IF(Produits!$A$22="","",Produits!$D$22)</f>
        <v/>
      </c>
      <c r="D23" s="32" t="n"/>
      <c r="E23" s="29" t="n"/>
      <c r="F23" s="29" t="n"/>
      <c r="G23" s="29" t="n"/>
      <c r="H23" s="32" t="n"/>
      <c r="I23" s="29" t="n"/>
      <c r="J23" s="29" t="n"/>
      <c r="K23" s="29" t="n"/>
      <c r="L23" s="32" t="n"/>
      <c r="M23" s="29" t="n"/>
      <c r="N23" s="29" t="n"/>
      <c r="O23" s="29" t="n"/>
      <c r="P23" s="32" t="n"/>
      <c r="Q23" s="29" t="n"/>
      <c r="R23" s="29" t="n"/>
      <c r="S23" s="29" t="n"/>
      <c r="T23" s="22">
        <f>IF(COUNT(F23,J23,N23,R23)=0,"",SUM(F23,J23,N23,R23))</f>
        <v/>
      </c>
      <c r="U23" s="22">
        <f>IF(COUNT(G23,K23,O23,S23)=0,"",SUM(G23,K23,O23,S23))</f>
        <v/>
      </c>
      <c r="V23" s="22">
        <f>IF(OR(T23="",U23=""),"",U23-T23)</f>
        <v/>
      </c>
      <c r="W23" s="22">
        <f>IF(Q23&lt;&gt;"",Q23,IF(M23&lt;&gt;"",M23,IF(I23&lt;&gt;"",I23,IF(E23&lt;&gt;"",E23,""))))</f>
        <v/>
      </c>
      <c r="X23" s="18">
        <f>IF(U23="","",U23*N(Produits!$E$22))</f>
        <v/>
      </c>
    </row>
    <row r="24">
      <c r="A24" s="33">
        <f>IF(Produits!$A$23="","",Produits!$A$23)</f>
        <v/>
      </c>
      <c r="B24" s="34">
        <f>IF(Produits!$A$23="","",Produits!$C$23)</f>
        <v/>
      </c>
      <c r="C24" s="34">
        <f>IF(Produits!$A$23="","",Produits!$D$23)</f>
        <v/>
      </c>
      <c r="D24" s="32" t="n"/>
      <c r="E24" s="29" t="n"/>
      <c r="F24" s="29" t="n"/>
      <c r="G24" s="29" t="n"/>
      <c r="H24" s="32" t="n"/>
      <c r="I24" s="29" t="n"/>
      <c r="J24" s="29" t="n"/>
      <c r="K24" s="29" t="n"/>
      <c r="L24" s="32" t="n"/>
      <c r="M24" s="29" t="n"/>
      <c r="N24" s="29" t="n"/>
      <c r="O24" s="29" t="n"/>
      <c r="P24" s="32" t="n"/>
      <c r="Q24" s="29" t="n"/>
      <c r="R24" s="29" t="n"/>
      <c r="S24" s="29" t="n"/>
      <c r="T24" s="22">
        <f>IF(COUNT(F24,J24,N24,R24)=0,"",SUM(F24,J24,N24,R24))</f>
        <v/>
      </c>
      <c r="U24" s="22">
        <f>IF(COUNT(G24,K24,O24,S24)=0,"",SUM(G24,K24,O24,S24))</f>
        <v/>
      </c>
      <c r="V24" s="22">
        <f>IF(OR(T24="",U24=""),"",U24-T24)</f>
        <v/>
      </c>
      <c r="W24" s="22">
        <f>IF(Q24&lt;&gt;"",Q24,IF(M24&lt;&gt;"",M24,IF(I24&lt;&gt;"",I24,IF(E24&lt;&gt;"",E24,""))))</f>
        <v/>
      </c>
      <c r="X24" s="18">
        <f>IF(U24="","",U24*N(Produits!$E$23))</f>
        <v/>
      </c>
    </row>
    <row r="25">
      <c r="A25" s="33">
        <f>IF(Produits!$A$24="","",Produits!$A$24)</f>
        <v/>
      </c>
      <c r="B25" s="34">
        <f>IF(Produits!$A$24="","",Produits!$C$24)</f>
        <v/>
      </c>
      <c r="C25" s="34">
        <f>IF(Produits!$A$24="","",Produits!$D$24)</f>
        <v/>
      </c>
      <c r="D25" s="32" t="n"/>
      <c r="E25" s="29" t="n"/>
      <c r="F25" s="29" t="n"/>
      <c r="G25" s="29" t="n"/>
      <c r="H25" s="32" t="n"/>
      <c r="I25" s="29" t="n"/>
      <c r="J25" s="29" t="n"/>
      <c r="K25" s="29" t="n"/>
      <c r="L25" s="32" t="n"/>
      <c r="M25" s="29" t="n"/>
      <c r="N25" s="29" t="n"/>
      <c r="O25" s="29" t="n"/>
      <c r="P25" s="32" t="n"/>
      <c r="Q25" s="29" t="n"/>
      <c r="R25" s="29" t="n"/>
      <c r="S25" s="29" t="n"/>
      <c r="T25" s="22">
        <f>IF(COUNT(F25,J25,N25,R25)=0,"",SUM(F25,J25,N25,R25))</f>
        <v/>
      </c>
      <c r="U25" s="22">
        <f>IF(COUNT(G25,K25,O25,S25)=0,"",SUM(G25,K25,O25,S25))</f>
        <v/>
      </c>
      <c r="V25" s="22">
        <f>IF(OR(T25="",U25=""),"",U25-T25)</f>
        <v/>
      </c>
      <c r="W25" s="22">
        <f>IF(Q25&lt;&gt;"",Q25,IF(M25&lt;&gt;"",M25,IF(I25&lt;&gt;"",I25,IF(E25&lt;&gt;"",E25,""))))</f>
        <v/>
      </c>
      <c r="X25" s="18">
        <f>IF(U25="","",U25*N(Produits!$E$24))</f>
        <v/>
      </c>
    </row>
    <row r="26">
      <c r="A26" s="33">
        <f>IF(Produits!$A$25="","",Produits!$A$25)</f>
        <v/>
      </c>
      <c r="B26" s="34">
        <f>IF(Produits!$A$25="","",Produits!$C$25)</f>
        <v/>
      </c>
      <c r="C26" s="34">
        <f>IF(Produits!$A$25="","",Produits!$D$25)</f>
        <v/>
      </c>
      <c r="D26" s="32" t="n"/>
      <c r="E26" s="29" t="n"/>
      <c r="F26" s="29" t="n"/>
      <c r="G26" s="29" t="n"/>
      <c r="H26" s="32" t="n"/>
      <c r="I26" s="29" t="n"/>
      <c r="J26" s="29" t="n"/>
      <c r="K26" s="29" t="n"/>
      <c r="L26" s="32" t="n"/>
      <c r="M26" s="29" t="n"/>
      <c r="N26" s="29" t="n"/>
      <c r="O26" s="29" t="n"/>
      <c r="P26" s="32" t="n"/>
      <c r="Q26" s="29" t="n"/>
      <c r="R26" s="29" t="n"/>
      <c r="S26" s="29" t="n"/>
      <c r="T26" s="22">
        <f>IF(COUNT(F26,J26,N26,R26)=0,"",SUM(F26,J26,N26,R26))</f>
        <v/>
      </c>
      <c r="U26" s="22">
        <f>IF(COUNT(G26,K26,O26,S26)=0,"",SUM(G26,K26,O26,S26))</f>
        <v/>
      </c>
      <c r="V26" s="22">
        <f>IF(OR(T26="",U26=""),"",U26-T26)</f>
        <v/>
      </c>
      <c r="W26" s="22">
        <f>IF(Q26&lt;&gt;"",Q26,IF(M26&lt;&gt;"",M26,IF(I26&lt;&gt;"",I26,IF(E26&lt;&gt;"",E26,""))))</f>
        <v/>
      </c>
      <c r="X26" s="18">
        <f>IF(U26="","",U26*N(Produits!$E$25))</f>
        <v/>
      </c>
    </row>
    <row r="27">
      <c r="A27" s="33">
        <f>IF(Produits!$A$26="","",Produits!$A$26)</f>
        <v/>
      </c>
      <c r="B27" s="34">
        <f>IF(Produits!$A$26="","",Produits!$C$26)</f>
        <v/>
      </c>
      <c r="C27" s="34">
        <f>IF(Produits!$A$26="","",Produits!$D$26)</f>
        <v/>
      </c>
      <c r="D27" s="32" t="n"/>
      <c r="E27" s="29" t="n"/>
      <c r="F27" s="29" t="n"/>
      <c r="G27" s="29" t="n"/>
      <c r="H27" s="32" t="n"/>
      <c r="I27" s="29" t="n"/>
      <c r="J27" s="29" t="n"/>
      <c r="K27" s="29" t="n"/>
      <c r="L27" s="32" t="n"/>
      <c r="M27" s="29" t="n"/>
      <c r="N27" s="29" t="n"/>
      <c r="O27" s="29" t="n"/>
      <c r="P27" s="32" t="n"/>
      <c r="Q27" s="29" t="n"/>
      <c r="R27" s="29" t="n"/>
      <c r="S27" s="29" t="n"/>
      <c r="T27" s="22">
        <f>IF(COUNT(F27,J27,N27,R27)=0,"",SUM(F27,J27,N27,R27))</f>
        <v/>
      </c>
      <c r="U27" s="22">
        <f>IF(COUNT(G27,K27,O27,S27)=0,"",SUM(G27,K27,O27,S27))</f>
        <v/>
      </c>
      <c r="V27" s="22">
        <f>IF(OR(T27="",U27=""),"",U27-T27)</f>
        <v/>
      </c>
      <c r="W27" s="22">
        <f>IF(Q27&lt;&gt;"",Q27,IF(M27&lt;&gt;"",M27,IF(I27&lt;&gt;"",I27,IF(E27&lt;&gt;"",E27,""))))</f>
        <v/>
      </c>
      <c r="X27" s="18">
        <f>IF(U27="","",U27*N(Produits!$E$26))</f>
        <v/>
      </c>
    </row>
    <row r="28">
      <c r="A28" s="33">
        <f>IF(Produits!$A$27="","",Produits!$A$27)</f>
        <v/>
      </c>
      <c r="B28" s="34">
        <f>IF(Produits!$A$27="","",Produits!$C$27)</f>
        <v/>
      </c>
      <c r="C28" s="34">
        <f>IF(Produits!$A$27="","",Produits!$D$27)</f>
        <v/>
      </c>
      <c r="D28" s="32" t="n"/>
      <c r="E28" s="29" t="n"/>
      <c r="F28" s="29" t="n"/>
      <c r="G28" s="29" t="n"/>
      <c r="H28" s="32" t="n"/>
      <c r="I28" s="29" t="n"/>
      <c r="J28" s="29" t="n"/>
      <c r="K28" s="29" t="n"/>
      <c r="L28" s="32" t="n"/>
      <c r="M28" s="29" t="n"/>
      <c r="N28" s="29" t="n"/>
      <c r="O28" s="29" t="n"/>
      <c r="P28" s="32" t="n"/>
      <c r="Q28" s="29" t="n"/>
      <c r="R28" s="29" t="n"/>
      <c r="S28" s="29" t="n"/>
      <c r="T28" s="22">
        <f>IF(COUNT(F28,J28,N28,R28)=0,"",SUM(F28,J28,N28,R28))</f>
        <v/>
      </c>
      <c r="U28" s="22">
        <f>IF(COUNT(G28,K28,O28,S28)=0,"",SUM(G28,K28,O28,S28))</f>
        <v/>
      </c>
      <c r="V28" s="22">
        <f>IF(OR(T28="",U28=""),"",U28-T28)</f>
        <v/>
      </c>
      <c r="W28" s="22">
        <f>IF(Q28&lt;&gt;"",Q28,IF(M28&lt;&gt;"",M28,IF(I28&lt;&gt;"",I28,IF(E28&lt;&gt;"",E28,""))))</f>
        <v/>
      </c>
      <c r="X28" s="18">
        <f>IF(U28="","",U28*N(Produits!$E$27))</f>
        <v/>
      </c>
    </row>
    <row r="29">
      <c r="A29" s="33">
        <f>IF(Produits!$A$28="","",Produits!$A$28)</f>
        <v/>
      </c>
      <c r="B29" s="34">
        <f>IF(Produits!$A$28="","",Produits!$C$28)</f>
        <v/>
      </c>
      <c r="C29" s="34">
        <f>IF(Produits!$A$28="","",Produits!$D$28)</f>
        <v/>
      </c>
      <c r="D29" s="32" t="n"/>
      <c r="E29" s="29" t="n"/>
      <c r="F29" s="29" t="n"/>
      <c r="G29" s="29" t="n"/>
      <c r="H29" s="32" t="n"/>
      <c r="I29" s="29" t="n"/>
      <c r="J29" s="29" t="n"/>
      <c r="K29" s="29" t="n"/>
      <c r="L29" s="32" t="n"/>
      <c r="M29" s="29" t="n"/>
      <c r="N29" s="29" t="n"/>
      <c r="O29" s="29" t="n"/>
      <c r="P29" s="32" t="n"/>
      <c r="Q29" s="29" t="n"/>
      <c r="R29" s="29" t="n"/>
      <c r="S29" s="29" t="n"/>
      <c r="T29" s="22">
        <f>IF(COUNT(F29,J29,N29,R29)=0,"",SUM(F29,J29,N29,R29))</f>
        <v/>
      </c>
      <c r="U29" s="22">
        <f>IF(COUNT(G29,K29,O29,S29)=0,"",SUM(G29,K29,O29,S29))</f>
        <v/>
      </c>
      <c r="V29" s="22">
        <f>IF(OR(T29="",U29=""),"",U29-T29)</f>
        <v/>
      </c>
      <c r="W29" s="22">
        <f>IF(Q29&lt;&gt;"",Q29,IF(M29&lt;&gt;"",M29,IF(I29&lt;&gt;"",I29,IF(E29&lt;&gt;"",E29,""))))</f>
        <v/>
      </c>
      <c r="X29" s="18">
        <f>IF(U29="","",U29*N(Produits!$E$28))</f>
        <v/>
      </c>
    </row>
    <row r="30">
      <c r="A30" s="33">
        <f>IF(Produits!$A$29="","",Produits!$A$29)</f>
        <v/>
      </c>
      <c r="B30" s="34">
        <f>IF(Produits!$A$29="","",Produits!$C$29)</f>
        <v/>
      </c>
      <c r="C30" s="34">
        <f>IF(Produits!$A$29="","",Produits!$D$29)</f>
        <v/>
      </c>
      <c r="D30" s="32" t="n"/>
      <c r="E30" s="29" t="n"/>
      <c r="F30" s="29" t="n"/>
      <c r="G30" s="29" t="n"/>
      <c r="H30" s="32" t="n"/>
      <c r="I30" s="29" t="n"/>
      <c r="J30" s="29" t="n"/>
      <c r="K30" s="29" t="n"/>
      <c r="L30" s="32" t="n"/>
      <c r="M30" s="29" t="n"/>
      <c r="N30" s="29" t="n"/>
      <c r="O30" s="29" t="n"/>
      <c r="P30" s="32" t="n"/>
      <c r="Q30" s="29" t="n"/>
      <c r="R30" s="29" t="n"/>
      <c r="S30" s="29" t="n"/>
      <c r="T30" s="22">
        <f>IF(COUNT(F30,J30,N30,R30)=0,"",SUM(F30,J30,N30,R30))</f>
        <v/>
      </c>
      <c r="U30" s="22">
        <f>IF(COUNT(G30,K30,O30,S30)=0,"",SUM(G30,K30,O30,S30))</f>
        <v/>
      </c>
      <c r="V30" s="22">
        <f>IF(OR(T30="",U30=""),"",U30-T30)</f>
        <v/>
      </c>
      <c r="W30" s="22">
        <f>IF(Q30&lt;&gt;"",Q30,IF(M30&lt;&gt;"",M30,IF(I30&lt;&gt;"",I30,IF(E30&lt;&gt;"",E30,""))))</f>
        <v/>
      </c>
      <c r="X30" s="18">
        <f>IF(U30="","",U30*N(Produits!$E$29))</f>
        <v/>
      </c>
    </row>
    <row r="31">
      <c r="A31" s="33">
        <f>IF(Produits!$A$30="","",Produits!$A$30)</f>
        <v/>
      </c>
      <c r="B31" s="34">
        <f>IF(Produits!$A$30="","",Produits!$C$30)</f>
        <v/>
      </c>
      <c r="C31" s="34">
        <f>IF(Produits!$A$30="","",Produits!$D$30)</f>
        <v/>
      </c>
      <c r="D31" s="32" t="n"/>
      <c r="E31" s="29" t="n"/>
      <c r="F31" s="29" t="n"/>
      <c r="G31" s="29" t="n"/>
      <c r="H31" s="32" t="n"/>
      <c r="I31" s="29" t="n"/>
      <c r="J31" s="29" t="n"/>
      <c r="K31" s="29" t="n"/>
      <c r="L31" s="32" t="n"/>
      <c r="M31" s="29" t="n"/>
      <c r="N31" s="29" t="n"/>
      <c r="O31" s="29" t="n"/>
      <c r="P31" s="32" t="n"/>
      <c r="Q31" s="29" t="n"/>
      <c r="R31" s="29" t="n"/>
      <c r="S31" s="29" t="n"/>
      <c r="T31" s="22">
        <f>IF(COUNT(F31,J31,N31,R31)=0,"",SUM(F31,J31,N31,R31))</f>
        <v/>
      </c>
      <c r="U31" s="22">
        <f>IF(COUNT(G31,K31,O31,S31)=0,"",SUM(G31,K31,O31,S31))</f>
        <v/>
      </c>
      <c r="V31" s="22">
        <f>IF(OR(T31="",U31=""),"",U31-T31)</f>
        <v/>
      </c>
      <c r="W31" s="22">
        <f>IF(Q31&lt;&gt;"",Q31,IF(M31&lt;&gt;"",M31,IF(I31&lt;&gt;"",I31,IF(E31&lt;&gt;"",E31,""))))</f>
        <v/>
      </c>
      <c r="X31" s="18">
        <f>IF(U31="","",U31*N(Produits!$E$30))</f>
        <v/>
      </c>
    </row>
    <row r="32">
      <c r="A32" s="33">
        <f>IF(Produits!$A$31="","",Produits!$A$31)</f>
        <v/>
      </c>
      <c r="B32" s="34">
        <f>IF(Produits!$A$31="","",Produits!$C$31)</f>
        <v/>
      </c>
      <c r="C32" s="34">
        <f>IF(Produits!$A$31="","",Produits!$D$31)</f>
        <v/>
      </c>
      <c r="D32" s="32" t="n"/>
      <c r="E32" s="29" t="n"/>
      <c r="F32" s="29" t="n"/>
      <c r="G32" s="29" t="n"/>
      <c r="H32" s="32" t="n"/>
      <c r="I32" s="29" t="n"/>
      <c r="J32" s="29" t="n"/>
      <c r="K32" s="29" t="n"/>
      <c r="L32" s="32" t="n"/>
      <c r="M32" s="29" t="n"/>
      <c r="N32" s="29" t="n"/>
      <c r="O32" s="29" t="n"/>
      <c r="P32" s="32" t="n"/>
      <c r="Q32" s="29" t="n"/>
      <c r="R32" s="29" t="n"/>
      <c r="S32" s="29" t="n"/>
      <c r="T32" s="22">
        <f>IF(COUNT(F32,J32,N32,R32)=0,"",SUM(F32,J32,N32,R32))</f>
        <v/>
      </c>
      <c r="U32" s="22">
        <f>IF(COUNT(G32,K32,O32,S32)=0,"",SUM(G32,K32,O32,S32))</f>
        <v/>
      </c>
      <c r="V32" s="22">
        <f>IF(OR(T32="",U32=""),"",U32-T32)</f>
        <v/>
      </c>
      <c r="W32" s="22">
        <f>IF(Q32&lt;&gt;"",Q32,IF(M32&lt;&gt;"",M32,IF(I32&lt;&gt;"",I32,IF(E32&lt;&gt;"",E32,""))))</f>
        <v/>
      </c>
      <c r="X32" s="18">
        <f>IF(U32="","",U32*N(Produits!$E$31))</f>
        <v/>
      </c>
    </row>
    <row r="33">
      <c r="A33" s="33">
        <f>IF(Produits!$A$32="","",Produits!$A$32)</f>
        <v/>
      </c>
      <c r="B33" s="34">
        <f>IF(Produits!$A$32="","",Produits!$C$32)</f>
        <v/>
      </c>
      <c r="C33" s="34">
        <f>IF(Produits!$A$32="","",Produits!$D$32)</f>
        <v/>
      </c>
      <c r="D33" s="32" t="n"/>
      <c r="E33" s="29" t="n"/>
      <c r="F33" s="29" t="n"/>
      <c r="G33" s="29" t="n"/>
      <c r="H33" s="32" t="n"/>
      <c r="I33" s="29" t="n"/>
      <c r="J33" s="29" t="n"/>
      <c r="K33" s="29" t="n"/>
      <c r="L33" s="32" t="n"/>
      <c r="M33" s="29" t="n"/>
      <c r="N33" s="29" t="n"/>
      <c r="O33" s="29" t="n"/>
      <c r="P33" s="32" t="n"/>
      <c r="Q33" s="29" t="n"/>
      <c r="R33" s="29" t="n"/>
      <c r="S33" s="29" t="n"/>
      <c r="T33" s="22">
        <f>IF(COUNT(F33,J33,N33,R33)=0,"",SUM(F33,J33,N33,R33))</f>
        <v/>
      </c>
      <c r="U33" s="22">
        <f>IF(COUNT(G33,K33,O33,S33)=0,"",SUM(G33,K33,O33,S33))</f>
        <v/>
      </c>
      <c r="V33" s="22">
        <f>IF(OR(T33="",U33=""),"",U33-T33)</f>
        <v/>
      </c>
      <c r="W33" s="22">
        <f>IF(Q33&lt;&gt;"",Q33,IF(M33&lt;&gt;"",M33,IF(I33&lt;&gt;"",I33,IF(E33&lt;&gt;"",E33,""))))</f>
        <v/>
      </c>
      <c r="X33" s="18">
        <f>IF(U33="","",U33*N(Produits!$E$32))</f>
        <v/>
      </c>
    </row>
    <row r="34">
      <c r="A34" s="33">
        <f>IF(Produits!$A$33="","",Produits!$A$33)</f>
        <v/>
      </c>
      <c r="B34" s="34">
        <f>IF(Produits!$A$33="","",Produits!$C$33)</f>
        <v/>
      </c>
      <c r="C34" s="34">
        <f>IF(Produits!$A$33="","",Produits!$D$33)</f>
        <v/>
      </c>
      <c r="D34" s="32" t="n"/>
      <c r="E34" s="29" t="n"/>
      <c r="F34" s="29" t="n"/>
      <c r="G34" s="29" t="n"/>
      <c r="H34" s="32" t="n"/>
      <c r="I34" s="29" t="n"/>
      <c r="J34" s="29" t="n"/>
      <c r="K34" s="29" t="n"/>
      <c r="L34" s="32" t="n"/>
      <c r="M34" s="29" t="n"/>
      <c r="N34" s="29" t="n"/>
      <c r="O34" s="29" t="n"/>
      <c r="P34" s="32" t="n"/>
      <c r="Q34" s="29" t="n"/>
      <c r="R34" s="29" t="n"/>
      <c r="S34" s="29" t="n"/>
      <c r="T34" s="22">
        <f>IF(COUNT(F34,J34,N34,R34)=0,"",SUM(F34,J34,N34,R34))</f>
        <v/>
      </c>
      <c r="U34" s="22">
        <f>IF(COUNT(G34,K34,O34,S34)=0,"",SUM(G34,K34,O34,S34))</f>
        <v/>
      </c>
      <c r="V34" s="22">
        <f>IF(OR(T34="",U34=""),"",U34-T34)</f>
        <v/>
      </c>
      <c r="W34" s="22">
        <f>IF(Q34&lt;&gt;"",Q34,IF(M34&lt;&gt;"",M34,IF(I34&lt;&gt;"",I34,IF(E34&lt;&gt;"",E34,""))))</f>
        <v/>
      </c>
      <c r="X34" s="18">
        <f>IF(U34="","",U34*N(Produits!$E$33))</f>
        <v/>
      </c>
    </row>
    <row r="35">
      <c r="A35" s="33">
        <f>IF(Produits!$A$34="","",Produits!$A$34)</f>
        <v/>
      </c>
      <c r="B35" s="34">
        <f>IF(Produits!$A$34="","",Produits!$C$34)</f>
        <v/>
      </c>
      <c r="C35" s="34">
        <f>IF(Produits!$A$34="","",Produits!$D$34)</f>
        <v/>
      </c>
      <c r="D35" s="32" t="n"/>
      <c r="E35" s="29" t="n"/>
      <c r="F35" s="29" t="n"/>
      <c r="G35" s="29" t="n"/>
      <c r="H35" s="32" t="n"/>
      <c r="I35" s="29" t="n"/>
      <c r="J35" s="29" t="n"/>
      <c r="K35" s="29" t="n"/>
      <c r="L35" s="32" t="n"/>
      <c r="M35" s="29" t="n"/>
      <c r="N35" s="29" t="n"/>
      <c r="O35" s="29" t="n"/>
      <c r="P35" s="32" t="n"/>
      <c r="Q35" s="29" t="n"/>
      <c r="R35" s="29" t="n"/>
      <c r="S35" s="29" t="n"/>
      <c r="T35" s="22">
        <f>IF(COUNT(F35,J35,N35,R35)=0,"",SUM(F35,J35,N35,R35))</f>
        <v/>
      </c>
      <c r="U35" s="22">
        <f>IF(COUNT(G35,K35,O35,S35)=0,"",SUM(G35,K35,O35,S35))</f>
        <v/>
      </c>
      <c r="V35" s="22">
        <f>IF(OR(T35="",U35=""),"",U35-T35)</f>
        <v/>
      </c>
      <c r="W35" s="22">
        <f>IF(Q35&lt;&gt;"",Q35,IF(M35&lt;&gt;"",M35,IF(I35&lt;&gt;"",I35,IF(E35&lt;&gt;"",E35,""))))</f>
        <v/>
      </c>
      <c r="X35" s="18">
        <f>IF(U35="","",U35*N(Produits!$E$34))</f>
        <v/>
      </c>
    </row>
    <row r="36">
      <c r="A36" s="33">
        <f>IF(Produits!$A$35="","",Produits!$A$35)</f>
        <v/>
      </c>
      <c r="B36" s="34">
        <f>IF(Produits!$A$35="","",Produits!$C$35)</f>
        <v/>
      </c>
      <c r="C36" s="34">
        <f>IF(Produits!$A$35="","",Produits!$D$35)</f>
        <v/>
      </c>
      <c r="D36" s="32" t="n"/>
      <c r="E36" s="29" t="n"/>
      <c r="F36" s="29" t="n"/>
      <c r="G36" s="29" t="n"/>
      <c r="H36" s="32" t="n"/>
      <c r="I36" s="29" t="n"/>
      <c r="J36" s="29" t="n"/>
      <c r="K36" s="29" t="n"/>
      <c r="L36" s="32" t="n"/>
      <c r="M36" s="29" t="n"/>
      <c r="N36" s="29" t="n"/>
      <c r="O36" s="29" t="n"/>
      <c r="P36" s="32" t="n"/>
      <c r="Q36" s="29" t="n"/>
      <c r="R36" s="29" t="n"/>
      <c r="S36" s="29" t="n"/>
      <c r="T36" s="22">
        <f>IF(COUNT(F36,J36,N36,R36)=0,"",SUM(F36,J36,N36,R36))</f>
        <v/>
      </c>
      <c r="U36" s="22">
        <f>IF(COUNT(G36,K36,O36,S36)=0,"",SUM(G36,K36,O36,S36))</f>
        <v/>
      </c>
      <c r="V36" s="22">
        <f>IF(OR(T36="",U36=""),"",U36-T36)</f>
        <v/>
      </c>
      <c r="W36" s="22">
        <f>IF(Q36&lt;&gt;"",Q36,IF(M36&lt;&gt;"",M36,IF(I36&lt;&gt;"",I36,IF(E36&lt;&gt;"",E36,""))))</f>
        <v/>
      </c>
      <c r="X36" s="18">
        <f>IF(U36="","",U36*N(Produits!$E$35))</f>
        <v/>
      </c>
    </row>
    <row r="37">
      <c r="A37" s="33">
        <f>IF(Produits!$A$36="","",Produits!$A$36)</f>
        <v/>
      </c>
      <c r="B37" s="34">
        <f>IF(Produits!$A$36="","",Produits!$C$36)</f>
        <v/>
      </c>
      <c r="C37" s="34">
        <f>IF(Produits!$A$36="","",Produits!$D$36)</f>
        <v/>
      </c>
      <c r="D37" s="32" t="n"/>
      <c r="E37" s="29" t="n"/>
      <c r="F37" s="29" t="n"/>
      <c r="G37" s="29" t="n"/>
      <c r="H37" s="32" t="n"/>
      <c r="I37" s="29" t="n"/>
      <c r="J37" s="29" t="n"/>
      <c r="K37" s="29" t="n"/>
      <c r="L37" s="32" t="n"/>
      <c r="M37" s="29" t="n"/>
      <c r="N37" s="29" t="n"/>
      <c r="O37" s="29" t="n"/>
      <c r="P37" s="32" t="n"/>
      <c r="Q37" s="29" t="n"/>
      <c r="R37" s="29" t="n"/>
      <c r="S37" s="29" t="n"/>
      <c r="T37" s="22">
        <f>IF(COUNT(F37,J37,N37,R37)=0,"",SUM(F37,J37,N37,R37))</f>
        <v/>
      </c>
      <c r="U37" s="22">
        <f>IF(COUNT(G37,K37,O37,S37)=0,"",SUM(G37,K37,O37,S37))</f>
        <v/>
      </c>
      <c r="V37" s="22">
        <f>IF(OR(T37="",U37=""),"",U37-T37)</f>
        <v/>
      </c>
      <c r="W37" s="22">
        <f>IF(Q37&lt;&gt;"",Q37,IF(M37&lt;&gt;"",M37,IF(I37&lt;&gt;"",I37,IF(E37&lt;&gt;"",E37,""))))</f>
        <v/>
      </c>
      <c r="X37" s="18">
        <f>IF(U37="","",U37*N(Produits!$E$36))</f>
        <v/>
      </c>
    </row>
    <row r="38" ht="20" customHeight="1">
      <c r="A38" s="23" t="inlineStr">
        <is>
          <t>CHAMBRE FROIDE NÉGATIVE</t>
        </is>
      </c>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row>
    <row r="39">
      <c r="A39" s="33">
        <f>IF(Produits!$A$38="","",Produits!$A$38)</f>
        <v/>
      </c>
      <c r="B39" s="34">
        <f>IF(Produits!$A$38="","",Produits!$C$38)</f>
        <v/>
      </c>
      <c r="C39" s="34">
        <f>IF(Produits!$A$38="","",Produits!$D$38)</f>
        <v/>
      </c>
      <c r="D39" s="32" t="n"/>
      <c r="E39" s="29" t="n"/>
      <c r="F39" s="29" t="n"/>
      <c r="G39" s="29" t="n"/>
      <c r="H39" s="32" t="n"/>
      <c r="I39" s="29" t="n"/>
      <c r="J39" s="29" t="n"/>
      <c r="K39" s="29" t="n"/>
      <c r="L39" s="32" t="n"/>
      <c r="M39" s="29" t="n"/>
      <c r="N39" s="29" t="n"/>
      <c r="O39" s="29" t="n"/>
      <c r="P39" s="32" t="n"/>
      <c r="Q39" s="29" t="n"/>
      <c r="R39" s="29" t="n"/>
      <c r="S39" s="29" t="n"/>
      <c r="T39" s="22">
        <f>IF(COUNT(F39,J39,N39,R39)=0,"",SUM(F39,J39,N39,R39))</f>
        <v/>
      </c>
      <c r="U39" s="22">
        <f>IF(COUNT(G39,K39,O39,S39)=0,"",SUM(G39,K39,O39,S39))</f>
        <v/>
      </c>
      <c r="V39" s="22">
        <f>IF(OR(T39="",U39=""),"",U39-T39)</f>
        <v/>
      </c>
      <c r="W39" s="22">
        <f>IF(Q39&lt;&gt;"",Q39,IF(M39&lt;&gt;"",M39,IF(I39&lt;&gt;"",I39,IF(E39&lt;&gt;"",E39,""))))</f>
        <v/>
      </c>
      <c r="X39" s="18">
        <f>IF(U39="","",U39*N(Produits!$E$38))</f>
        <v/>
      </c>
    </row>
    <row r="40">
      <c r="A40" s="33">
        <f>IF(Produits!$A$39="","",Produits!$A$39)</f>
        <v/>
      </c>
      <c r="B40" s="34">
        <f>IF(Produits!$A$39="","",Produits!$C$39)</f>
        <v/>
      </c>
      <c r="C40" s="34">
        <f>IF(Produits!$A$39="","",Produits!$D$39)</f>
        <v/>
      </c>
      <c r="D40" s="32" t="n"/>
      <c r="E40" s="29" t="n"/>
      <c r="F40" s="29" t="n"/>
      <c r="G40" s="29" t="n"/>
      <c r="H40" s="32" t="n"/>
      <c r="I40" s="29" t="n"/>
      <c r="J40" s="29" t="n"/>
      <c r="K40" s="29" t="n"/>
      <c r="L40" s="32" t="n"/>
      <c r="M40" s="29" t="n"/>
      <c r="N40" s="29" t="n"/>
      <c r="O40" s="29" t="n"/>
      <c r="P40" s="32" t="n"/>
      <c r="Q40" s="29" t="n"/>
      <c r="R40" s="29" t="n"/>
      <c r="S40" s="29" t="n"/>
      <c r="T40" s="22">
        <f>IF(COUNT(F40,J40,N40,R40)=0,"",SUM(F40,J40,N40,R40))</f>
        <v/>
      </c>
      <c r="U40" s="22">
        <f>IF(COUNT(G40,K40,O40,S40)=0,"",SUM(G40,K40,O40,S40))</f>
        <v/>
      </c>
      <c r="V40" s="22">
        <f>IF(OR(T40="",U40=""),"",U40-T40)</f>
        <v/>
      </c>
      <c r="W40" s="22">
        <f>IF(Q40&lt;&gt;"",Q40,IF(M40&lt;&gt;"",M40,IF(I40&lt;&gt;"",I40,IF(E40&lt;&gt;"",E40,""))))</f>
        <v/>
      </c>
      <c r="X40" s="18">
        <f>IF(U40="","",U40*N(Produits!$E$39))</f>
        <v/>
      </c>
    </row>
    <row r="41">
      <c r="A41" s="33">
        <f>IF(Produits!$A$40="","",Produits!$A$40)</f>
        <v/>
      </c>
      <c r="B41" s="34">
        <f>IF(Produits!$A$40="","",Produits!$C$40)</f>
        <v/>
      </c>
      <c r="C41" s="34">
        <f>IF(Produits!$A$40="","",Produits!$D$40)</f>
        <v/>
      </c>
      <c r="D41" s="32" t="n"/>
      <c r="E41" s="29" t="n"/>
      <c r="F41" s="29" t="n"/>
      <c r="G41" s="29" t="n"/>
      <c r="H41" s="32" t="n"/>
      <c r="I41" s="29" t="n"/>
      <c r="J41" s="29" t="n"/>
      <c r="K41" s="29" t="n"/>
      <c r="L41" s="32" t="n"/>
      <c r="M41" s="29" t="n"/>
      <c r="N41" s="29" t="n"/>
      <c r="O41" s="29" t="n"/>
      <c r="P41" s="32" t="n"/>
      <c r="Q41" s="29" t="n"/>
      <c r="R41" s="29" t="n"/>
      <c r="S41" s="29" t="n"/>
      <c r="T41" s="22">
        <f>IF(COUNT(F41,J41,N41,R41)=0,"",SUM(F41,J41,N41,R41))</f>
        <v/>
      </c>
      <c r="U41" s="22">
        <f>IF(COUNT(G41,K41,O41,S41)=0,"",SUM(G41,K41,O41,S41))</f>
        <v/>
      </c>
      <c r="V41" s="22">
        <f>IF(OR(T41="",U41=""),"",U41-T41)</f>
        <v/>
      </c>
      <c r="W41" s="22">
        <f>IF(Q41&lt;&gt;"",Q41,IF(M41&lt;&gt;"",M41,IF(I41&lt;&gt;"",I41,IF(E41&lt;&gt;"",E41,""))))</f>
        <v/>
      </c>
      <c r="X41" s="18">
        <f>IF(U41="","",U41*N(Produits!$E$40))</f>
        <v/>
      </c>
    </row>
    <row r="42">
      <c r="A42" s="33">
        <f>IF(Produits!$A$41="","",Produits!$A$41)</f>
        <v/>
      </c>
      <c r="B42" s="34">
        <f>IF(Produits!$A$41="","",Produits!$C$41)</f>
        <v/>
      </c>
      <c r="C42" s="34">
        <f>IF(Produits!$A$41="","",Produits!$D$41)</f>
        <v/>
      </c>
      <c r="D42" s="32" t="n"/>
      <c r="E42" s="29" t="n"/>
      <c r="F42" s="29" t="n"/>
      <c r="G42" s="29" t="n"/>
      <c r="H42" s="32" t="n"/>
      <c r="I42" s="29" t="n"/>
      <c r="J42" s="29" t="n"/>
      <c r="K42" s="29" t="n"/>
      <c r="L42" s="32" t="n"/>
      <c r="M42" s="29" t="n"/>
      <c r="N42" s="29" t="n"/>
      <c r="O42" s="29" t="n"/>
      <c r="P42" s="32" t="n"/>
      <c r="Q42" s="29" t="n"/>
      <c r="R42" s="29" t="n"/>
      <c r="S42" s="29" t="n"/>
      <c r="T42" s="22">
        <f>IF(COUNT(F42,J42,N42,R42)=0,"",SUM(F42,J42,N42,R42))</f>
        <v/>
      </c>
      <c r="U42" s="22">
        <f>IF(COUNT(G42,K42,O42,S42)=0,"",SUM(G42,K42,O42,S42))</f>
        <v/>
      </c>
      <c r="V42" s="22">
        <f>IF(OR(T42="",U42=""),"",U42-T42)</f>
        <v/>
      </c>
      <c r="W42" s="22">
        <f>IF(Q42&lt;&gt;"",Q42,IF(M42&lt;&gt;"",M42,IF(I42&lt;&gt;"",I42,IF(E42&lt;&gt;"",E42,""))))</f>
        <v/>
      </c>
      <c r="X42" s="18">
        <f>IF(U42="","",U42*N(Produits!$E$41))</f>
        <v/>
      </c>
    </row>
    <row r="43">
      <c r="A43" s="33">
        <f>IF(Produits!$A$42="","",Produits!$A$42)</f>
        <v/>
      </c>
      <c r="B43" s="34">
        <f>IF(Produits!$A$42="","",Produits!$C$42)</f>
        <v/>
      </c>
      <c r="C43" s="34">
        <f>IF(Produits!$A$42="","",Produits!$D$42)</f>
        <v/>
      </c>
      <c r="D43" s="32" t="n"/>
      <c r="E43" s="29" t="n"/>
      <c r="F43" s="29" t="n"/>
      <c r="G43" s="29" t="n"/>
      <c r="H43" s="32" t="n"/>
      <c r="I43" s="29" t="n"/>
      <c r="J43" s="29" t="n"/>
      <c r="K43" s="29" t="n"/>
      <c r="L43" s="32" t="n"/>
      <c r="M43" s="29" t="n"/>
      <c r="N43" s="29" t="n"/>
      <c r="O43" s="29" t="n"/>
      <c r="P43" s="32" t="n"/>
      <c r="Q43" s="29" t="n"/>
      <c r="R43" s="29" t="n"/>
      <c r="S43" s="29" t="n"/>
      <c r="T43" s="22">
        <f>IF(COUNT(F43,J43,N43,R43)=0,"",SUM(F43,J43,N43,R43))</f>
        <v/>
      </c>
      <c r="U43" s="22">
        <f>IF(COUNT(G43,K43,O43,S43)=0,"",SUM(G43,K43,O43,S43))</f>
        <v/>
      </c>
      <c r="V43" s="22">
        <f>IF(OR(T43="",U43=""),"",U43-T43)</f>
        <v/>
      </c>
      <c r="W43" s="22">
        <f>IF(Q43&lt;&gt;"",Q43,IF(M43&lt;&gt;"",M43,IF(I43&lt;&gt;"",I43,IF(E43&lt;&gt;"",E43,""))))</f>
        <v/>
      </c>
      <c r="X43" s="18">
        <f>IF(U43="","",U43*N(Produits!$E$42))</f>
        <v/>
      </c>
    </row>
    <row r="44">
      <c r="A44" s="33">
        <f>IF(Produits!$A$43="","",Produits!$A$43)</f>
        <v/>
      </c>
      <c r="B44" s="34">
        <f>IF(Produits!$A$43="","",Produits!$C$43)</f>
        <v/>
      </c>
      <c r="C44" s="34">
        <f>IF(Produits!$A$43="","",Produits!$D$43)</f>
        <v/>
      </c>
      <c r="D44" s="32" t="n"/>
      <c r="E44" s="29" t="n"/>
      <c r="F44" s="29" t="n"/>
      <c r="G44" s="29" t="n"/>
      <c r="H44" s="32" t="n"/>
      <c r="I44" s="29" t="n"/>
      <c r="J44" s="29" t="n"/>
      <c r="K44" s="29" t="n"/>
      <c r="L44" s="32" t="n"/>
      <c r="M44" s="29" t="n"/>
      <c r="N44" s="29" t="n"/>
      <c r="O44" s="29" t="n"/>
      <c r="P44" s="32" t="n"/>
      <c r="Q44" s="29" t="n"/>
      <c r="R44" s="29" t="n"/>
      <c r="S44" s="29" t="n"/>
      <c r="T44" s="22">
        <f>IF(COUNT(F44,J44,N44,R44)=0,"",SUM(F44,J44,N44,R44))</f>
        <v/>
      </c>
      <c r="U44" s="22">
        <f>IF(COUNT(G44,K44,O44,S44)=0,"",SUM(G44,K44,O44,S44))</f>
        <v/>
      </c>
      <c r="V44" s="22">
        <f>IF(OR(T44="",U44=""),"",U44-T44)</f>
        <v/>
      </c>
      <c r="W44" s="22">
        <f>IF(Q44&lt;&gt;"",Q44,IF(M44&lt;&gt;"",M44,IF(I44&lt;&gt;"",I44,IF(E44&lt;&gt;"",E44,""))))</f>
        <v/>
      </c>
      <c r="X44" s="18">
        <f>IF(U44="","",U44*N(Produits!$E$43))</f>
        <v/>
      </c>
    </row>
    <row r="45">
      <c r="A45" s="33">
        <f>IF(Produits!$A$44="","",Produits!$A$44)</f>
        <v/>
      </c>
      <c r="B45" s="34">
        <f>IF(Produits!$A$44="","",Produits!$C$44)</f>
        <v/>
      </c>
      <c r="C45" s="34">
        <f>IF(Produits!$A$44="","",Produits!$D$44)</f>
        <v/>
      </c>
      <c r="D45" s="32" t="n"/>
      <c r="E45" s="29" t="n"/>
      <c r="F45" s="29" t="n"/>
      <c r="G45" s="29" t="n"/>
      <c r="H45" s="32" t="n"/>
      <c r="I45" s="29" t="n"/>
      <c r="J45" s="29" t="n"/>
      <c r="K45" s="29" t="n"/>
      <c r="L45" s="32" t="n"/>
      <c r="M45" s="29" t="n"/>
      <c r="N45" s="29" t="n"/>
      <c r="O45" s="29" t="n"/>
      <c r="P45" s="32" t="n"/>
      <c r="Q45" s="29" t="n"/>
      <c r="R45" s="29" t="n"/>
      <c r="S45" s="29" t="n"/>
      <c r="T45" s="22">
        <f>IF(COUNT(F45,J45,N45,R45)=0,"",SUM(F45,J45,N45,R45))</f>
        <v/>
      </c>
      <c r="U45" s="22">
        <f>IF(COUNT(G45,K45,O45,S45)=0,"",SUM(G45,K45,O45,S45))</f>
        <v/>
      </c>
      <c r="V45" s="22">
        <f>IF(OR(T45="",U45=""),"",U45-T45)</f>
        <v/>
      </c>
      <c r="W45" s="22">
        <f>IF(Q45&lt;&gt;"",Q45,IF(M45&lt;&gt;"",M45,IF(I45&lt;&gt;"",I45,IF(E45&lt;&gt;"",E45,""))))</f>
        <v/>
      </c>
      <c r="X45" s="18">
        <f>IF(U45="","",U45*N(Produits!$E$44))</f>
        <v/>
      </c>
    </row>
    <row r="46">
      <c r="A46" s="33">
        <f>IF(Produits!$A$45="","",Produits!$A$45)</f>
        <v/>
      </c>
      <c r="B46" s="34">
        <f>IF(Produits!$A$45="","",Produits!$C$45)</f>
        <v/>
      </c>
      <c r="C46" s="34">
        <f>IF(Produits!$A$45="","",Produits!$D$45)</f>
        <v/>
      </c>
      <c r="D46" s="32" t="n"/>
      <c r="E46" s="29" t="n"/>
      <c r="F46" s="29" t="n"/>
      <c r="G46" s="29" t="n"/>
      <c r="H46" s="32" t="n"/>
      <c r="I46" s="29" t="n"/>
      <c r="J46" s="29" t="n"/>
      <c r="K46" s="29" t="n"/>
      <c r="L46" s="32" t="n"/>
      <c r="M46" s="29" t="n"/>
      <c r="N46" s="29" t="n"/>
      <c r="O46" s="29" t="n"/>
      <c r="P46" s="32" t="n"/>
      <c r="Q46" s="29" t="n"/>
      <c r="R46" s="29" t="n"/>
      <c r="S46" s="29" t="n"/>
      <c r="T46" s="22">
        <f>IF(COUNT(F46,J46,N46,R46)=0,"",SUM(F46,J46,N46,R46))</f>
        <v/>
      </c>
      <c r="U46" s="22">
        <f>IF(COUNT(G46,K46,O46,S46)=0,"",SUM(G46,K46,O46,S46))</f>
        <v/>
      </c>
      <c r="V46" s="22">
        <f>IF(OR(T46="",U46=""),"",U46-T46)</f>
        <v/>
      </c>
      <c r="W46" s="22">
        <f>IF(Q46&lt;&gt;"",Q46,IF(M46&lt;&gt;"",M46,IF(I46&lt;&gt;"",I46,IF(E46&lt;&gt;"",E46,""))))</f>
        <v/>
      </c>
      <c r="X46" s="18">
        <f>IF(U46="","",U46*N(Produits!$E$45))</f>
        <v/>
      </c>
    </row>
    <row r="47">
      <c r="A47" s="33">
        <f>IF(Produits!$A$46="","",Produits!$A$46)</f>
        <v/>
      </c>
      <c r="B47" s="34">
        <f>IF(Produits!$A$46="","",Produits!$C$46)</f>
        <v/>
      </c>
      <c r="C47" s="34">
        <f>IF(Produits!$A$46="","",Produits!$D$46)</f>
        <v/>
      </c>
      <c r="D47" s="32" t="n"/>
      <c r="E47" s="29" t="n"/>
      <c r="F47" s="29" t="n"/>
      <c r="G47" s="29" t="n"/>
      <c r="H47" s="32" t="n"/>
      <c r="I47" s="29" t="n"/>
      <c r="J47" s="29" t="n"/>
      <c r="K47" s="29" t="n"/>
      <c r="L47" s="32" t="n"/>
      <c r="M47" s="29" t="n"/>
      <c r="N47" s="29" t="n"/>
      <c r="O47" s="29" t="n"/>
      <c r="P47" s="32" t="n"/>
      <c r="Q47" s="29" t="n"/>
      <c r="R47" s="29" t="n"/>
      <c r="S47" s="29" t="n"/>
      <c r="T47" s="22">
        <f>IF(COUNT(F47,J47,N47,R47)=0,"",SUM(F47,J47,N47,R47))</f>
        <v/>
      </c>
      <c r="U47" s="22">
        <f>IF(COUNT(G47,K47,O47,S47)=0,"",SUM(G47,K47,O47,S47))</f>
        <v/>
      </c>
      <c r="V47" s="22">
        <f>IF(OR(T47="",U47=""),"",U47-T47)</f>
        <v/>
      </c>
      <c r="W47" s="22">
        <f>IF(Q47&lt;&gt;"",Q47,IF(M47&lt;&gt;"",M47,IF(I47&lt;&gt;"",I47,IF(E47&lt;&gt;"",E47,""))))</f>
        <v/>
      </c>
      <c r="X47" s="18">
        <f>IF(U47="","",U47*N(Produits!$E$46))</f>
        <v/>
      </c>
    </row>
    <row r="48">
      <c r="A48" s="33">
        <f>IF(Produits!$A$47="","",Produits!$A$47)</f>
        <v/>
      </c>
      <c r="B48" s="34">
        <f>IF(Produits!$A$47="","",Produits!$C$47)</f>
        <v/>
      </c>
      <c r="C48" s="34">
        <f>IF(Produits!$A$47="","",Produits!$D$47)</f>
        <v/>
      </c>
      <c r="D48" s="32" t="n"/>
      <c r="E48" s="29" t="n"/>
      <c r="F48" s="29" t="n"/>
      <c r="G48" s="29" t="n"/>
      <c r="H48" s="32" t="n"/>
      <c r="I48" s="29" t="n"/>
      <c r="J48" s="29" t="n"/>
      <c r="K48" s="29" t="n"/>
      <c r="L48" s="32" t="n"/>
      <c r="M48" s="29" t="n"/>
      <c r="N48" s="29" t="n"/>
      <c r="O48" s="29" t="n"/>
      <c r="P48" s="32" t="n"/>
      <c r="Q48" s="29" t="n"/>
      <c r="R48" s="29" t="n"/>
      <c r="S48" s="29" t="n"/>
      <c r="T48" s="22">
        <f>IF(COUNT(F48,J48,N48,R48)=0,"",SUM(F48,J48,N48,R48))</f>
        <v/>
      </c>
      <c r="U48" s="22">
        <f>IF(COUNT(G48,K48,O48,S48)=0,"",SUM(G48,K48,O48,S48))</f>
        <v/>
      </c>
      <c r="V48" s="22">
        <f>IF(OR(T48="",U48=""),"",U48-T48)</f>
        <v/>
      </c>
      <c r="W48" s="22">
        <f>IF(Q48&lt;&gt;"",Q48,IF(M48&lt;&gt;"",M48,IF(I48&lt;&gt;"",I48,IF(E48&lt;&gt;"",E48,""))))</f>
        <v/>
      </c>
      <c r="X48" s="18">
        <f>IF(U48="","",U48*N(Produits!$E$47))</f>
        <v/>
      </c>
    </row>
    <row r="49">
      <c r="A49" s="33">
        <f>IF(Produits!$A$48="","",Produits!$A$48)</f>
        <v/>
      </c>
      <c r="B49" s="34">
        <f>IF(Produits!$A$48="","",Produits!$C$48)</f>
        <v/>
      </c>
      <c r="C49" s="34">
        <f>IF(Produits!$A$48="","",Produits!$D$48)</f>
        <v/>
      </c>
      <c r="D49" s="32" t="n"/>
      <c r="E49" s="29" t="n"/>
      <c r="F49" s="29" t="n"/>
      <c r="G49" s="29" t="n"/>
      <c r="H49" s="32" t="n"/>
      <c r="I49" s="29" t="n"/>
      <c r="J49" s="29" t="n"/>
      <c r="K49" s="29" t="n"/>
      <c r="L49" s="32" t="n"/>
      <c r="M49" s="29" t="n"/>
      <c r="N49" s="29" t="n"/>
      <c r="O49" s="29" t="n"/>
      <c r="P49" s="32" t="n"/>
      <c r="Q49" s="29" t="n"/>
      <c r="R49" s="29" t="n"/>
      <c r="S49" s="29" t="n"/>
      <c r="T49" s="22">
        <f>IF(COUNT(F49,J49,N49,R49)=0,"",SUM(F49,J49,N49,R49))</f>
        <v/>
      </c>
      <c r="U49" s="22">
        <f>IF(COUNT(G49,K49,O49,S49)=0,"",SUM(G49,K49,O49,S49))</f>
        <v/>
      </c>
      <c r="V49" s="22">
        <f>IF(OR(T49="",U49=""),"",U49-T49)</f>
        <v/>
      </c>
      <c r="W49" s="22">
        <f>IF(Q49&lt;&gt;"",Q49,IF(M49&lt;&gt;"",M49,IF(I49&lt;&gt;"",I49,IF(E49&lt;&gt;"",E49,""))))</f>
        <v/>
      </c>
      <c r="X49" s="18">
        <f>IF(U49="","",U49*N(Produits!$E$48))</f>
        <v/>
      </c>
    </row>
    <row r="50">
      <c r="A50" s="33">
        <f>IF(Produits!$A$49="","",Produits!$A$49)</f>
        <v/>
      </c>
      <c r="B50" s="34">
        <f>IF(Produits!$A$49="","",Produits!$C$49)</f>
        <v/>
      </c>
      <c r="C50" s="34">
        <f>IF(Produits!$A$49="","",Produits!$D$49)</f>
        <v/>
      </c>
      <c r="D50" s="32" t="n"/>
      <c r="E50" s="29" t="n"/>
      <c r="F50" s="29" t="n"/>
      <c r="G50" s="29" t="n"/>
      <c r="H50" s="32" t="n"/>
      <c r="I50" s="29" t="n"/>
      <c r="J50" s="29" t="n"/>
      <c r="K50" s="29" t="n"/>
      <c r="L50" s="32" t="n"/>
      <c r="M50" s="29" t="n"/>
      <c r="N50" s="29" t="n"/>
      <c r="O50" s="29" t="n"/>
      <c r="P50" s="32" t="n"/>
      <c r="Q50" s="29" t="n"/>
      <c r="R50" s="29" t="n"/>
      <c r="S50" s="29" t="n"/>
      <c r="T50" s="22">
        <f>IF(COUNT(F50,J50,N50,R50)=0,"",SUM(F50,J50,N50,R50))</f>
        <v/>
      </c>
      <c r="U50" s="22">
        <f>IF(COUNT(G50,K50,O50,S50)=0,"",SUM(G50,K50,O50,S50))</f>
        <v/>
      </c>
      <c r="V50" s="22">
        <f>IF(OR(T50="",U50=""),"",U50-T50)</f>
        <v/>
      </c>
      <c r="W50" s="22">
        <f>IF(Q50&lt;&gt;"",Q50,IF(M50&lt;&gt;"",M50,IF(I50&lt;&gt;"",I50,IF(E50&lt;&gt;"",E50,""))))</f>
        <v/>
      </c>
      <c r="X50" s="18">
        <f>IF(U50="","",U50*N(Produits!$E$49))</f>
        <v/>
      </c>
    </row>
    <row r="51">
      <c r="A51" s="33">
        <f>IF(Produits!$A$50="","",Produits!$A$50)</f>
        <v/>
      </c>
      <c r="B51" s="34">
        <f>IF(Produits!$A$50="","",Produits!$C$50)</f>
        <v/>
      </c>
      <c r="C51" s="34">
        <f>IF(Produits!$A$50="","",Produits!$D$50)</f>
        <v/>
      </c>
      <c r="D51" s="32" t="n"/>
      <c r="E51" s="29" t="n"/>
      <c r="F51" s="29" t="n"/>
      <c r="G51" s="29" t="n"/>
      <c r="H51" s="32" t="n"/>
      <c r="I51" s="29" t="n"/>
      <c r="J51" s="29" t="n"/>
      <c r="K51" s="29" t="n"/>
      <c r="L51" s="32" t="n"/>
      <c r="M51" s="29" t="n"/>
      <c r="N51" s="29" t="n"/>
      <c r="O51" s="29" t="n"/>
      <c r="P51" s="32" t="n"/>
      <c r="Q51" s="29" t="n"/>
      <c r="R51" s="29" t="n"/>
      <c r="S51" s="29" t="n"/>
      <c r="T51" s="22">
        <f>IF(COUNT(F51,J51,N51,R51)=0,"",SUM(F51,J51,N51,R51))</f>
        <v/>
      </c>
      <c r="U51" s="22">
        <f>IF(COUNT(G51,K51,O51,S51)=0,"",SUM(G51,K51,O51,S51))</f>
        <v/>
      </c>
      <c r="V51" s="22">
        <f>IF(OR(T51="",U51=""),"",U51-T51)</f>
        <v/>
      </c>
      <c r="W51" s="22">
        <f>IF(Q51&lt;&gt;"",Q51,IF(M51&lt;&gt;"",M51,IF(I51&lt;&gt;"",I51,IF(E51&lt;&gt;"",E51,""))))</f>
        <v/>
      </c>
      <c r="X51" s="18">
        <f>IF(U51="","",U51*N(Produits!$E$50))</f>
        <v/>
      </c>
    </row>
    <row r="52">
      <c r="A52" s="33">
        <f>IF(Produits!$A$51="","",Produits!$A$51)</f>
        <v/>
      </c>
      <c r="B52" s="34">
        <f>IF(Produits!$A$51="","",Produits!$C$51)</f>
        <v/>
      </c>
      <c r="C52" s="34">
        <f>IF(Produits!$A$51="","",Produits!$D$51)</f>
        <v/>
      </c>
      <c r="D52" s="32" t="n"/>
      <c r="E52" s="29" t="n"/>
      <c r="F52" s="29" t="n"/>
      <c r="G52" s="29" t="n"/>
      <c r="H52" s="32" t="n"/>
      <c r="I52" s="29" t="n"/>
      <c r="J52" s="29" t="n"/>
      <c r="K52" s="29" t="n"/>
      <c r="L52" s="32" t="n"/>
      <c r="M52" s="29" t="n"/>
      <c r="N52" s="29" t="n"/>
      <c r="O52" s="29" t="n"/>
      <c r="P52" s="32" t="n"/>
      <c r="Q52" s="29" t="n"/>
      <c r="R52" s="29" t="n"/>
      <c r="S52" s="29" t="n"/>
      <c r="T52" s="22">
        <f>IF(COUNT(F52,J52,N52,R52)=0,"",SUM(F52,J52,N52,R52))</f>
        <v/>
      </c>
      <c r="U52" s="22">
        <f>IF(COUNT(G52,K52,O52,S52)=0,"",SUM(G52,K52,O52,S52))</f>
        <v/>
      </c>
      <c r="V52" s="22">
        <f>IF(OR(T52="",U52=""),"",U52-T52)</f>
        <v/>
      </c>
      <c r="W52" s="22">
        <f>IF(Q52&lt;&gt;"",Q52,IF(M52&lt;&gt;"",M52,IF(I52&lt;&gt;"",I52,IF(E52&lt;&gt;"",E52,""))))</f>
        <v/>
      </c>
      <c r="X52" s="18">
        <f>IF(U52="","",U52*N(Produits!$E$51))</f>
        <v/>
      </c>
    </row>
    <row r="53">
      <c r="A53" s="33">
        <f>IF(Produits!$A$52="","",Produits!$A$52)</f>
        <v/>
      </c>
      <c r="B53" s="34">
        <f>IF(Produits!$A$52="","",Produits!$C$52)</f>
        <v/>
      </c>
      <c r="C53" s="34">
        <f>IF(Produits!$A$52="","",Produits!$D$52)</f>
        <v/>
      </c>
      <c r="D53" s="32" t="n"/>
      <c r="E53" s="29" t="n"/>
      <c r="F53" s="29" t="n"/>
      <c r="G53" s="29" t="n"/>
      <c r="H53" s="32" t="n"/>
      <c r="I53" s="29" t="n"/>
      <c r="J53" s="29" t="n"/>
      <c r="K53" s="29" t="n"/>
      <c r="L53" s="32" t="n"/>
      <c r="M53" s="29" t="n"/>
      <c r="N53" s="29" t="n"/>
      <c r="O53" s="29" t="n"/>
      <c r="P53" s="32" t="n"/>
      <c r="Q53" s="29" t="n"/>
      <c r="R53" s="29" t="n"/>
      <c r="S53" s="29" t="n"/>
      <c r="T53" s="22">
        <f>IF(COUNT(F53,J53,N53,R53)=0,"",SUM(F53,J53,N53,R53))</f>
        <v/>
      </c>
      <c r="U53" s="22">
        <f>IF(COUNT(G53,K53,O53,S53)=0,"",SUM(G53,K53,O53,S53))</f>
        <v/>
      </c>
      <c r="V53" s="22">
        <f>IF(OR(T53="",U53=""),"",U53-T53)</f>
        <v/>
      </c>
      <c r="W53" s="22">
        <f>IF(Q53&lt;&gt;"",Q53,IF(M53&lt;&gt;"",M53,IF(I53&lt;&gt;"",I53,IF(E53&lt;&gt;"",E53,""))))</f>
        <v/>
      </c>
      <c r="X53" s="18">
        <f>IF(U53="","",U53*N(Produits!$E$52))</f>
        <v/>
      </c>
    </row>
    <row r="54" ht="20" customHeight="1">
      <c r="A54" s="23" t="inlineStr">
        <is>
          <t>MÉNAGER</t>
        </is>
      </c>
      <c r="B54" s="10" t="n"/>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row>
    <row r="55">
      <c r="A55" s="33">
        <f>IF(Produits!$A$54="","",Produits!$A$54)</f>
        <v/>
      </c>
      <c r="B55" s="34">
        <f>IF(Produits!$A$54="","",Produits!$C$54)</f>
        <v/>
      </c>
      <c r="C55" s="34">
        <f>IF(Produits!$A$54="","",Produits!$D$54)</f>
        <v/>
      </c>
      <c r="D55" s="32" t="n"/>
      <c r="E55" s="29" t="n"/>
      <c r="F55" s="29" t="n"/>
      <c r="G55" s="29" t="n"/>
      <c r="H55" s="32" t="n"/>
      <c r="I55" s="29" t="n"/>
      <c r="J55" s="29" t="n"/>
      <c r="K55" s="29" t="n"/>
      <c r="L55" s="32" t="n"/>
      <c r="M55" s="29" t="n"/>
      <c r="N55" s="29" t="n"/>
      <c r="O55" s="29" t="n"/>
      <c r="P55" s="32" t="n"/>
      <c r="Q55" s="29" t="n"/>
      <c r="R55" s="29" t="n"/>
      <c r="S55" s="29" t="n"/>
      <c r="T55" s="22">
        <f>IF(COUNT(F55,J55,N55,R55)=0,"",SUM(F55,J55,N55,R55))</f>
        <v/>
      </c>
      <c r="U55" s="22">
        <f>IF(COUNT(G55,K55,O55,S55)=0,"",SUM(G55,K55,O55,S55))</f>
        <v/>
      </c>
      <c r="V55" s="22">
        <f>IF(OR(T55="",U55=""),"",U55-T55)</f>
        <v/>
      </c>
      <c r="W55" s="22">
        <f>IF(Q55&lt;&gt;"",Q55,IF(M55&lt;&gt;"",M55,IF(I55&lt;&gt;"",I55,IF(E55&lt;&gt;"",E55,""))))</f>
        <v/>
      </c>
      <c r="X55" s="18">
        <f>IF(U55="","",U55*N(Produits!$E$54))</f>
        <v/>
      </c>
    </row>
    <row r="56">
      <c r="A56" s="33">
        <f>IF(Produits!$A$55="","",Produits!$A$55)</f>
        <v/>
      </c>
      <c r="B56" s="34">
        <f>IF(Produits!$A$55="","",Produits!$C$55)</f>
        <v/>
      </c>
      <c r="C56" s="34">
        <f>IF(Produits!$A$55="","",Produits!$D$55)</f>
        <v/>
      </c>
      <c r="D56" s="32" t="n"/>
      <c r="E56" s="29" t="n"/>
      <c r="F56" s="29" t="n"/>
      <c r="G56" s="29" t="n"/>
      <c r="H56" s="32" t="n"/>
      <c r="I56" s="29" t="n"/>
      <c r="J56" s="29" t="n"/>
      <c r="K56" s="29" t="n"/>
      <c r="L56" s="32" t="n"/>
      <c r="M56" s="29" t="n"/>
      <c r="N56" s="29" t="n"/>
      <c r="O56" s="29" t="n"/>
      <c r="P56" s="32" t="n"/>
      <c r="Q56" s="29" t="n"/>
      <c r="R56" s="29" t="n"/>
      <c r="S56" s="29" t="n"/>
      <c r="T56" s="22">
        <f>IF(COUNT(F56,J56,N56,R56)=0,"",SUM(F56,J56,N56,R56))</f>
        <v/>
      </c>
      <c r="U56" s="22">
        <f>IF(COUNT(G56,K56,O56,S56)=0,"",SUM(G56,K56,O56,S56))</f>
        <v/>
      </c>
      <c r="V56" s="22">
        <f>IF(OR(T56="",U56=""),"",U56-T56)</f>
        <v/>
      </c>
      <c r="W56" s="22">
        <f>IF(Q56&lt;&gt;"",Q56,IF(M56&lt;&gt;"",M56,IF(I56&lt;&gt;"",I56,IF(E56&lt;&gt;"",E56,""))))</f>
        <v/>
      </c>
      <c r="X56" s="18">
        <f>IF(U56="","",U56*N(Produits!$E$55))</f>
        <v/>
      </c>
    </row>
    <row r="57">
      <c r="A57" s="33">
        <f>IF(Produits!$A$56="","",Produits!$A$56)</f>
        <v/>
      </c>
      <c r="B57" s="34">
        <f>IF(Produits!$A$56="","",Produits!$C$56)</f>
        <v/>
      </c>
      <c r="C57" s="34">
        <f>IF(Produits!$A$56="","",Produits!$D$56)</f>
        <v/>
      </c>
      <c r="D57" s="32" t="n"/>
      <c r="E57" s="29" t="n"/>
      <c r="F57" s="29" t="n"/>
      <c r="G57" s="29" t="n"/>
      <c r="H57" s="32" t="n"/>
      <c r="I57" s="29" t="n"/>
      <c r="J57" s="29" t="n"/>
      <c r="K57" s="29" t="n"/>
      <c r="L57" s="32" t="n"/>
      <c r="M57" s="29" t="n"/>
      <c r="N57" s="29" t="n"/>
      <c r="O57" s="29" t="n"/>
      <c r="P57" s="32" t="n"/>
      <c r="Q57" s="29" t="n"/>
      <c r="R57" s="29" t="n"/>
      <c r="S57" s="29" t="n"/>
      <c r="T57" s="22">
        <f>IF(COUNT(F57,J57,N57,R57)=0,"",SUM(F57,J57,N57,R57))</f>
        <v/>
      </c>
      <c r="U57" s="22">
        <f>IF(COUNT(G57,K57,O57,S57)=0,"",SUM(G57,K57,O57,S57))</f>
        <v/>
      </c>
      <c r="V57" s="22">
        <f>IF(OR(T57="",U57=""),"",U57-T57)</f>
        <v/>
      </c>
      <c r="W57" s="22">
        <f>IF(Q57&lt;&gt;"",Q57,IF(M57&lt;&gt;"",M57,IF(I57&lt;&gt;"",I57,IF(E57&lt;&gt;"",E57,""))))</f>
        <v/>
      </c>
      <c r="X57" s="18">
        <f>IF(U57="","",U57*N(Produits!$E$56))</f>
        <v/>
      </c>
    </row>
    <row r="58">
      <c r="A58" s="33">
        <f>IF(Produits!$A$57="","",Produits!$A$57)</f>
        <v/>
      </c>
      <c r="B58" s="34">
        <f>IF(Produits!$A$57="","",Produits!$C$57)</f>
        <v/>
      </c>
      <c r="C58" s="34">
        <f>IF(Produits!$A$57="","",Produits!$D$57)</f>
        <v/>
      </c>
      <c r="D58" s="32" t="n"/>
      <c r="E58" s="29" t="n"/>
      <c r="F58" s="29" t="n"/>
      <c r="G58" s="29" t="n"/>
      <c r="H58" s="32" t="n"/>
      <c r="I58" s="29" t="n"/>
      <c r="J58" s="29" t="n"/>
      <c r="K58" s="29" t="n"/>
      <c r="L58" s="32" t="n"/>
      <c r="M58" s="29" t="n"/>
      <c r="N58" s="29" t="n"/>
      <c r="O58" s="29" t="n"/>
      <c r="P58" s="32" t="n"/>
      <c r="Q58" s="29" t="n"/>
      <c r="R58" s="29" t="n"/>
      <c r="S58" s="29" t="n"/>
      <c r="T58" s="22">
        <f>IF(COUNT(F58,J58,N58,R58)=0,"",SUM(F58,J58,N58,R58))</f>
        <v/>
      </c>
      <c r="U58" s="22">
        <f>IF(COUNT(G58,K58,O58,S58)=0,"",SUM(G58,K58,O58,S58))</f>
        <v/>
      </c>
      <c r="V58" s="22">
        <f>IF(OR(T58="",U58=""),"",U58-T58)</f>
        <v/>
      </c>
      <c r="W58" s="22">
        <f>IF(Q58&lt;&gt;"",Q58,IF(M58&lt;&gt;"",M58,IF(I58&lt;&gt;"",I58,IF(E58&lt;&gt;"",E58,""))))</f>
        <v/>
      </c>
      <c r="X58" s="18">
        <f>IF(U58="","",U58*N(Produits!$E$57))</f>
        <v/>
      </c>
    </row>
    <row r="59">
      <c r="A59" s="33">
        <f>IF(Produits!$A$58="","",Produits!$A$58)</f>
        <v/>
      </c>
      <c r="B59" s="34">
        <f>IF(Produits!$A$58="","",Produits!$C$58)</f>
        <v/>
      </c>
      <c r="C59" s="34">
        <f>IF(Produits!$A$58="","",Produits!$D$58)</f>
        <v/>
      </c>
      <c r="D59" s="32" t="n"/>
      <c r="E59" s="29" t="n"/>
      <c r="F59" s="29" t="n"/>
      <c r="G59" s="29" t="n"/>
      <c r="H59" s="32" t="n"/>
      <c r="I59" s="29" t="n"/>
      <c r="J59" s="29" t="n"/>
      <c r="K59" s="29" t="n"/>
      <c r="L59" s="32" t="n"/>
      <c r="M59" s="29" t="n"/>
      <c r="N59" s="29" t="n"/>
      <c r="O59" s="29" t="n"/>
      <c r="P59" s="32" t="n"/>
      <c r="Q59" s="29" t="n"/>
      <c r="R59" s="29" t="n"/>
      <c r="S59" s="29" t="n"/>
      <c r="T59" s="22">
        <f>IF(COUNT(F59,J59,N59,R59)=0,"",SUM(F59,J59,N59,R59))</f>
        <v/>
      </c>
      <c r="U59" s="22">
        <f>IF(COUNT(G59,K59,O59,S59)=0,"",SUM(G59,K59,O59,S59))</f>
        <v/>
      </c>
      <c r="V59" s="22">
        <f>IF(OR(T59="",U59=""),"",U59-T59)</f>
        <v/>
      </c>
      <c r="W59" s="22">
        <f>IF(Q59&lt;&gt;"",Q59,IF(M59&lt;&gt;"",M59,IF(I59&lt;&gt;"",I59,IF(E59&lt;&gt;"",E59,""))))</f>
        <v/>
      </c>
      <c r="X59" s="18">
        <f>IF(U59="","",U59*N(Produits!$E$58))</f>
        <v/>
      </c>
    </row>
    <row r="60">
      <c r="A60" s="33">
        <f>IF(Produits!$A$59="","",Produits!$A$59)</f>
        <v/>
      </c>
      <c r="B60" s="34">
        <f>IF(Produits!$A$59="","",Produits!$C$59)</f>
        <v/>
      </c>
      <c r="C60" s="34">
        <f>IF(Produits!$A$59="","",Produits!$D$59)</f>
        <v/>
      </c>
      <c r="D60" s="32" t="n"/>
      <c r="E60" s="29" t="n"/>
      <c r="F60" s="29" t="n"/>
      <c r="G60" s="29" t="n"/>
      <c r="H60" s="32" t="n"/>
      <c r="I60" s="29" t="n"/>
      <c r="J60" s="29" t="n"/>
      <c r="K60" s="29" t="n"/>
      <c r="L60" s="32" t="n"/>
      <c r="M60" s="29" t="n"/>
      <c r="N60" s="29" t="n"/>
      <c r="O60" s="29" t="n"/>
      <c r="P60" s="32" t="n"/>
      <c r="Q60" s="29" t="n"/>
      <c r="R60" s="29" t="n"/>
      <c r="S60" s="29" t="n"/>
      <c r="T60" s="22">
        <f>IF(COUNT(F60,J60,N60,R60)=0,"",SUM(F60,J60,N60,R60))</f>
        <v/>
      </c>
      <c r="U60" s="22">
        <f>IF(COUNT(G60,K60,O60,S60)=0,"",SUM(G60,K60,O60,S60))</f>
        <v/>
      </c>
      <c r="V60" s="22">
        <f>IF(OR(T60="",U60=""),"",U60-T60)</f>
        <v/>
      </c>
      <c r="W60" s="22">
        <f>IF(Q60&lt;&gt;"",Q60,IF(M60&lt;&gt;"",M60,IF(I60&lt;&gt;"",I60,IF(E60&lt;&gt;"",E60,""))))</f>
        <v/>
      </c>
      <c r="X60" s="18">
        <f>IF(U60="","",U60*N(Produits!$E$59))</f>
        <v/>
      </c>
    </row>
    <row r="61">
      <c r="A61" s="33">
        <f>IF(Produits!$A$60="","",Produits!$A$60)</f>
        <v/>
      </c>
      <c r="B61" s="34">
        <f>IF(Produits!$A$60="","",Produits!$C$60)</f>
        <v/>
      </c>
      <c r="C61" s="34">
        <f>IF(Produits!$A$60="","",Produits!$D$60)</f>
        <v/>
      </c>
      <c r="D61" s="32" t="n"/>
      <c r="E61" s="29" t="n"/>
      <c r="F61" s="29" t="n"/>
      <c r="G61" s="29" t="n"/>
      <c r="H61" s="32" t="n"/>
      <c r="I61" s="29" t="n"/>
      <c r="J61" s="29" t="n"/>
      <c r="K61" s="29" t="n"/>
      <c r="L61" s="32" t="n"/>
      <c r="M61" s="29" t="n"/>
      <c r="N61" s="29" t="n"/>
      <c r="O61" s="29" t="n"/>
      <c r="P61" s="32" t="n"/>
      <c r="Q61" s="29" t="n"/>
      <c r="R61" s="29" t="n"/>
      <c r="S61" s="29" t="n"/>
      <c r="T61" s="22">
        <f>IF(COUNT(F61,J61,N61,R61)=0,"",SUM(F61,J61,N61,R61))</f>
        <v/>
      </c>
      <c r="U61" s="22">
        <f>IF(COUNT(G61,K61,O61,S61)=0,"",SUM(G61,K61,O61,S61))</f>
        <v/>
      </c>
      <c r="V61" s="22">
        <f>IF(OR(T61="",U61=""),"",U61-T61)</f>
        <v/>
      </c>
      <c r="W61" s="22">
        <f>IF(Q61&lt;&gt;"",Q61,IF(M61&lt;&gt;"",M61,IF(I61&lt;&gt;"",I61,IF(E61&lt;&gt;"",E61,""))))</f>
        <v/>
      </c>
      <c r="X61" s="18">
        <f>IF(U61="","",U61*N(Produits!$E$60))</f>
        <v/>
      </c>
    </row>
    <row r="62">
      <c r="A62" s="33">
        <f>IF(Produits!$A$61="","",Produits!$A$61)</f>
        <v/>
      </c>
      <c r="B62" s="34">
        <f>IF(Produits!$A$61="","",Produits!$C$61)</f>
        <v/>
      </c>
      <c r="C62" s="34">
        <f>IF(Produits!$A$61="","",Produits!$D$61)</f>
        <v/>
      </c>
      <c r="D62" s="32" t="n"/>
      <c r="E62" s="29" t="n"/>
      <c r="F62" s="29" t="n"/>
      <c r="G62" s="29" t="n"/>
      <c r="H62" s="32" t="n"/>
      <c r="I62" s="29" t="n"/>
      <c r="J62" s="29" t="n"/>
      <c r="K62" s="29" t="n"/>
      <c r="L62" s="32" t="n"/>
      <c r="M62" s="29" t="n"/>
      <c r="N62" s="29" t="n"/>
      <c r="O62" s="29" t="n"/>
      <c r="P62" s="32" t="n"/>
      <c r="Q62" s="29" t="n"/>
      <c r="R62" s="29" t="n"/>
      <c r="S62" s="29" t="n"/>
      <c r="T62" s="22">
        <f>IF(COUNT(F62,J62,N62,R62)=0,"",SUM(F62,J62,N62,R62))</f>
        <v/>
      </c>
      <c r="U62" s="22">
        <f>IF(COUNT(G62,K62,O62,S62)=0,"",SUM(G62,K62,O62,S62))</f>
        <v/>
      </c>
      <c r="V62" s="22">
        <f>IF(OR(T62="",U62=""),"",U62-T62)</f>
        <v/>
      </c>
      <c r="W62" s="22">
        <f>IF(Q62&lt;&gt;"",Q62,IF(M62&lt;&gt;"",M62,IF(I62&lt;&gt;"",I62,IF(E62&lt;&gt;"",E62,""))))</f>
        <v/>
      </c>
      <c r="X62" s="18">
        <f>IF(U62="","",U62*N(Produits!$E$61))</f>
        <v/>
      </c>
    </row>
    <row r="63">
      <c r="A63" s="33">
        <f>IF(Produits!$A$62="","",Produits!$A$62)</f>
        <v/>
      </c>
      <c r="B63" s="34">
        <f>IF(Produits!$A$62="","",Produits!$C$62)</f>
        <v/>
      </c>
      <c r="C63" s="34">
        <f>IF(Produits!$A$62="","",Produits!$D$62)</f>
        <v/>
      </c>
      <c r="D63" s="32" t="n"/>
      <c r="E63" s="29" t="n"/>
      <c r="F63" s="29" t="n"/>
      <c r="G63" s="29" t="n"/>
      <c r="H63" s="32" t="n"/>
      <c r="I63" s="29" t="n"/>
      <c r="J63" s="29" t="n"/>
      <c r="K63" s="29" t="n"/>
      <c r="L63" s="32" t="n"/>
      <c r="M63" s="29" t="n"/>
      <c r="N63" s="29" t="n"/>
      <c r="O63" s="29" t="n"/>
      <c r="P63" s="32" t="n"/>
      <c r="Q63" s="29" t="n"/>
      <c r="R63" s="29" t="n"/>
      <c r="S63" s="29" t="n"/>
      <c r="T63" s="22">
        <f>IF(COUNT(F63,J63,N63,R63)=0,"",SUM(F63,J63,N63,R63))</f>
        <v/>
      </c>
      <c r="U63" s="22">
        <f>IF(COUNT(G63,K63,O63,S63)=0,"",SUM(G63,K63,O63,S63))</f>
        <v/>
      </c>
      <c r="V63" s="22">
        <f>IF(OR(T63="",U63=""),"",U63-T63)</f>
        <v/>
      </c>
      <c r="W63" s="22">
        <f>IF(Q63&lt;&gt;"",Q63,IF(M63&lt;&gt;"",M63,IF(I63&lt;&gt;"",I63,IF(E63&lt;&gt;"",E63,""))))</f>
        <v/>
      </c>
      <c r="X63" s="18">
        <f>IF(U63="","",U63*N(Produits!$E$62))</f>
        <v/>
      </c>
    </row>
    <row r="64">
      <c r="A64" s="33">
        <f>IF(Produits!$A$63="","",Produits!$A$63)</f>
        <v/>
      </c>
      <c r="B64" s="34">
        <f>IF(Produits!$A$63="","",Produits!$C$63)</f>
        <v/>
      </c>
      <c r="C64" s="34">
        <f>IF(Produits!$A$63="","",Produits!$D$63)</f>
        <v/>
      </c>
      <c r="D64" s="32" t="n"/>
      <c r="E64" s="29" t="n"/>
      <c r="F64" s="29" t="n"/>
      <c r="G64" s="29" t="n"/>
      <c r="H64" s="32" t="n"/>
      <c r="I64" s="29" t="n"/>
      <c r="J64" s="29" t="n"/>
      <c r="K64" s="29" t="n"/>
      <c r="L64" s="32" t="n"/>
      <c r="M64" s="29" t="n"/>
      <c r="N64" s="29" t="n"/>
      <c r="O64" s="29" t="n"/>
      <c r="P64" s="32" t="n"/>
      <c r="Q64" s="29" t="n"/>
      <c r="R64" s="29" t="n"/>
      <c r="S64" s="29" t="n"/>
      <c r="T64" s="22">
        <f>IF(COUNT(F64,J64,N64,R64)=0,"",SUM(F64,J64,N64,R64))</f>
        <v/>
      </c>
      <c r="U64" s="22">
        <f>IF(COUNT(G64,K64,O64,S64)=0,"",SUM(G64,K64,O64,S64))</f>
        <v/>
      </c>
      <c r="V64" s="22">
        <f>IF(OR(T64="",U64=""),"",U64-T64)</f>
        <v/>
      </c>
      <c r="W64" s="22">
        <f>IF(Q64&lt;&gt;"",Q64,IF(M64&lt;&gt;"",M64,IF(I64&lt;&gt;"",I64,IF(E64&lt;&gt;"",E64,""))))</f>
        <v/>
      </c>
      <c r="X64" s="18">
        <f>IF(U64="","",U64*N(Produits!$E$63))</f>
        <v/>
      </c>
    </row>
    <row r="65">
      <c r="A65" s="33">
        <f>IF(Produits!$A$64="","",Produits!$A$64)</f>
        <v/>
      </c>
      <c r="B65" s="34">
        <f>IF(Produits!$A$64="","",Produits!$C$64)</f>
        <v/>
      </c>
      <c r="C65" s="34">
        <f>IF(Produits!$A$64="","",Produits!$D$64)</f>
        <v/>
      </c>
      <c r="D65" s="32" t="n"/>
      <c r="E65" s="29" t="n"/>
      <c r="F65" s="29" t="n"/>
      <c r="G65" s="29" t="n"/>
      <c r="H65" s="32" t="n"/>
      <c r="I65" s="29" t="n"/>
      <c r="J65" s="29" t="n"/>
      <c r="K65" s="29" t="n"/>
      <c r="L65" s="32" t="n"/>
      <c r="M65" s="29" t="n"/>
      <c r="N65" s="29" t="n"/>
      <c r="O65" s="29" t="n"/>
      <c r="P65" s="32" t="n"/>
      <c r="Q65" s="29" t="n"/>
      <c r="R65" s="29" t="n"/>
      <c r="S65" s="29" t="n"/>
      <c r="T65" s="22">
        <f>IF(COUNT(F65,J65,N65,R65)=0,"",SUM(F65,J65,N65,R65))</f>
        <v/>
      </c>
      <c r="U65" s="22">
        <f>IF(COUNT(G65,K65,O65,S65)=0,"",SUM(G65,K65,O65,S65))</f>
        <v/>
      </c>
      <c r="V65" s="22">
        <f>IF(OR(T65="",U65=""),"",U65-T65)</f>
        <v/>
      </c>
      <c r="W65" s="22">
        <f>IF(Q65&lt;&gt;"",Q65,IF(M65&lt;&gt;"",M65,IF(I65&lt;&gt;"",I65,IF(E65&lt;&gt;"",E65,""))))</f>
        <v/>
      </c>
      <c r="X65" s="18">
        <f>IF(U65="","",U65*N(Produits!$E$64))</f>
        <v/>
      </c>
    </row>
    <row r="66">
      <c r="A66" s="33">
        <f>IF(Produits!$A$65="","",Produits!$A$65)</f>
        <v/>
      </c>
      <c r="B66" s="34">
        <f>IF(Produits!$A$65="","",Produits!$C$65)</f>
        <v/>
      </c>
      <c r="C66" s="34">
        <f>IF(Produits!$A$65="","",Produits!$D$65)</f>
        <v/>
      </c>
      <c r="D66" s="32" t="n"/>
      <c r="E66" s="29" t="n"/>
      <c r="F66" s="29" t="n"/>
      <c r="G66" s="29" t="n"/>
      <c r="H66" s="32" t="n"/>
      <c r="I66" s="29" t="n"/>
      <c r="J66" s="29" t="n"/>
      <c r="K66" s="29" t="n"/>
      <c r="L66" s="32" t="n"/>
      <c r="M66" s="29" t="n"/>
      <c r="N66" s="29" t="n"/>
      <c r="O66" s="29" t="n"/>
      <c r="P66" s="32" t="n"/>
      <c r="Q66" s="29" t="n"/>
      <c r="R66" s="29" t="n"/>
      <c r="S66" s="29" t="n"/>
      <c r="T66" s="22">
        <f>IF(COUNT(F66,J66,N66,R66)=0,"",SUM(F66,J66,N66,R66))</f>
        <v/>
      </c>
      <c r="U66" s="22">
        <f>IF(COUNT(G66,K66,O66,S66)=0,"",SUM(G66,K66,O66,S66))</f>
        <v/>
      </c>
      <c r="V66" s="22">
        <f>IF(OR(T66="",U66=""),"",U66-T66)</f>
        <v/>
      </c>
      <c r="W66" s="22">
        <f>IF(Q66&lt;&gt;"",Q66,IF(M66&lt;&gt;"",M66,IF(I66&lt;&gt;"",I66,IF(E66&lt;&gt;"",E66,""))))</f>
        <v/>
      </c>
      <c r="X66" s="18">
        <f>IF(U66="","",U66*N(Produits!$E$65))</f>
        <v/>
      </c>
    </row>
    <row r="67">
      <c r="A67" s="33">
        <f>IF(Produits!$A$66="","",Produits!$A$66)</f>
        <v/>
      </c>
      <c r="B67" s="34">
        <f>IF(Produits!$A$66="","",Produits!$C$66)</f>
        <v/>
      </c>
      <c r="C67" s="34">
        <f>IF(Produits!$A$66="","",Produits!$D$66)</f>
        <v/>
      </c>
      <c r="D67" s="32" t="n"/>
      <c r="E67" s="29" t="n"/>
      <c r="F67" s="29" t="n"/>
      <c r="G67" s="29" t="n"/>
      <c r="H67" s="32" t="n"/>
      <c r="I67" s="29" t="n"/>
      <c r="J67" s="29" t="n"/>
      <c r="K67" s="29" t="n"/>
      <c r="L67" s="32" t="n"/>
      <c r="M67" s="29" t="n"/>
      <c r="N67" s="29" t="n"/>
      <c r="O67" s="29" t="n"/>
      <c r="P67" s="32" t="n"/>
      <c r="Q67" s="29" t="n"/>
      <c r="R67" s="29" t="n"/>
      <c r="S67" s="29" t="n"/>
      <c r="T67" s="22">
        <f>IF(COUNT(F67,J67,N67,R67)=0,"",SUM(F67,J67,N67,R67))</f>
        <v/>
      </c>
      <c r="U67" s="22">
        <f>IF(COUNT(G67,K67,O67,S67)=0,"",SUM(G67,K67,O67,S67))</f>
        <v/>
      </c>
      <c r="V67" s="22">
        <f>IF(OR(T67="",U67=""),"",U67-T67)</f>
        <v/>
      </c>
      <c r="W67" s="22">
        <f>IF(Q67&lt;&gt;"",Q67,IF(M67&lt;&gt;"",M67,IF(I67&lt;&gt;"",I67,IF(E67&lt;&gt;"",E67,""))))</f>
        <v/>
      </c>
      <c r="X67" s="18">
        <f>IF(U67="","",U67*N(Produits!$E$66))</f>
        <v/>
      </c>
    </row>
    <row r="68">
      <c r="A68" s="33">
        <f>IF(Produits!$A$67="","",Produits!$A$67)</f>
        <v/>
      </c>
      <c r="B68" s="34">
        <f>IF(Produits!$A$67="","",Produits!$C$67)</f>
        <v/>
      </c>
      <c r="C68" s="34">
        <f>IF(Produits!$A$67="","",Produits!$D$67)</f>
        <v/>
      </c>
      <c r="D68" s="32" t="n"/>
      <c r="E68" s="29" t="n"/>
      <c r="F68" s="29" t="n"/>
      <c r="G68" s="29" t="n"/>
      <c r="H68" s="32" t="n"/>
      <c r="I68" s="29" t="n"/>
      <c r="J68" s="29" t="n"/>
      <c r="K68" s="29" t="n"/>
      <c r="L68" s="32" t="n"/>
      <c r="M68" s="29" t="n"/>
      <c r="N68" s="29" t="n"/>
      <c r="O68" s="29" t="n"/>
      <c r="P68" s="32" t="n"/>
      <c r="Q68" s="29" t="n"/>
      <c r="R68" s="29" t="n"/>
      <c r="S68" s="29" t="n"/>
      <c r="T68" s="22">
        <f>IF(COUNT(F68,J68,N68,R68)=0,"",SUM(F68,J68,N68,R68))</f>
        <v/>
      </c>
      <c r="U68" s="22">
        <f>IF(COUNT(G68,K68,O68,S68)=0,"",SUM(G68,K68,O68,S68))</f>
        <v/>
      </c>
      <c r="V68" s="22">
        <f>IF(OR(T68="",U68=""),"",U68-T68)</f>
        <v/>
      </c>
      <c r="W68" s="22">
        <f>IF(Q68&lt;&gt;"",Q68,IF(M68&lt;&gt;"",M68,IF(I68&lt;&gt;"",I68,IF(E68&lt;&gt;"",E68,""))))</f>
        <v/>
      </c>
      <c r="X68" s="18">
        <f>IF(U68="","",U68*N(Produits!$E$67))</f>
        <v/>
      </c>
    </row>
    <row r="69">
      <c r="A69" s="33">
        <f>IF(Produits!$A$68="","",Produits!$A$68)</f>
        <v/>
      </c>
      <c r="B69" s="34">
        <f>IF(Produits!$A$68="","",Produits!$C$68)</f>
        <v/>
      </c>
      <c r="C69" s="34">
        <f>IF(Produits!$A$68="","",Produits!$D$68)</f>
        <v/>
      </c>
      <c r="D69" s="32" t="n"/>
      <c r="E69" s="29" t="n"/>
      <c r="F69" s="29" t="n"/>
      <c r="G69" s="29" t="n"/>
      <c r="H69" s="32" t="n"/>
      <c r="I69" s="29" t="n"/>
      <c r="J69" s="29" t="n"/>
      <c r="K69" s="29" t="n"/>
      <c r="L69" s="32" t="n"/>
      <c r="M69" s="29" t="n"/>
      <c r="N69" s="29" t="n"/>
      <c r="O69" s="29" t="n"/>
      <c r="P69" s="32" t="n"/>
      <c r="Q69" s="29" t="n"/>
      <c r="R69" s="29" t="n"/>
      <c r="S69" s="29" t="n"/>
      <c r="T69" s="22">
        <f>IF(COUNT(F69,J69,N69,R69)=0,"",SUM(F69,J69,N69,R69))</f>
        <v/>
      </c>
      <c r="U69" s="22">
        <f>IF(COUNT(G69,K69,O69,S69)=0,"",SUM(G69,K69,O69,S69))</f>
        <v/>
      </c>
      <c r="V69" s="22">
        <f>IF(OR(T69="",U69=""),"",U69-T69)</f>
        <v/>
      </c>
      <c r="W69" s="22">
        <f>IF(Q69&lt;&gt;"",Q69,IF(M69&lt;&gt;"",M69,IF(I69&lt;&gt;"",I69,IF(E69&lt;&gt;"",E69,""))))</f>
        <v/>
      </c>
      <c r="X69" s="18">
        <f>IF(U69="","",U69*N(Produits!$E$68))</f>
        <v/>
      </c>
    </row>
    <row r="71">
      <c r="A71" s="15" t="inlineStr">
        <is>
          <t>Total des dépenses du mois</t>
        </is>
      </c>
      <c r="B71" s="19" t="n"/>
      <c r="C71" s="19" t="n"/>
      <c r="X71" s="35">
        <f>SUM(X7:X69)</f>
        <v/>
      </c>
    </row>
  </sheetData>
  <mergeCells count="14">
    <mergeCell ref="H4:K4"/>
    <mergeCell ref="A71:C71"/>
    <mergeCell ref="B4:B5"/>
    <mergeCell ref="C4:C5"/>
    <mergeCell ref="A4:A5"/>
    <mergeCell ref="T4:W4"/>
    <mergeCell ref="X4:X5"/>
    <mergeCell ref="A38:X38"/>
    <mergeCell ref="A54:X54"/>
    <mergeCell ref="L4:O4"/>
    <mergeCell ref="P4:S4"/>
    <mergeCell ref="A6:X6"/>
    <mergeCell ref="A22:X22"/>
    <mergeCell ref="D4:G4"/>
  </mergeCells>
  <conditionalFormatting sqref="V7:V69">
    <cfRule type="expression" priority="1" dxfId="0">
      <formula>AND(ISNUMBER(V7),V7&lt;0)</formula>
    </cfRule>
  </conditionalFormatting>
  <conditionalFormatting sqref="E7:E69">
    <cfRule type="expression" priority="2" dxfId="1">
      <formula>AND(ISNUMBER(E7),ISNUMBER($C7),E7&lt;=$C7)</formula>
    </cfRule>
  </conditionalFormatting>
  <conditionalFormatting sqref="G7:G69">
    <cfRule type="expression" priority="3" dxfId="0">
      <formula>AND(ISNUMBER(G7),ISNUMBER(F7),G7&lt;F7)</formula>
    </cfRule>
  </conditionalFormatting>
  <conditionalFormatting sqref="I7:I69">
    <cfRule type="expression" priority="4" dxfId="1">
      <formula>AND(ISNUMBER(I7),ISNUMBER($C7),I7&lt;=$C7)</formula>
    </cfRule>
  </conditionalFormatting>
  <conditionalFormatting sqref="K7:K69">
    <cfRule type="expression" priority="5" dxfId="0">
      <formula>AND(ISNUMBER(K7),ISNUMBER(J7),K7&lt;J7)</formula>
    </cfRule>
  </conditionalFormatting>
  <conditionalFormatting sqref="M7:M69">
    <cfRule type="expression" priority="6" dxfId="1">
      <formula>AND(ISNUMBER(M7),ISNUMBER($C7),M7&lt;=$C7)</formula>
    </cfRule>
  </conditionalFormatting>
  <conditionalFormatting sqref="O7:O69">
    <cfRule type="expression" priority="7" dxfId="0">
      <formula>AND(ISNUMBER(O7),ISNUMBER(N7),O7&lt;N7)</formula>
    </cfRule>
  </conditionalFormatting>
  <conditionalFormatting sqref="Q7:Q69">
    <cfRule type="expression" priority="8" dxfId="1">
      <formula>AND(ISNUMBER(Q7),ISNUMBER($C7),Q7&lt;=$C7)</formula>
    </cfRule>
  </conditionalFormatting>
  <conditionalFormatting sqref="S7:S69">
    <cfRule type="expression" priority="9" dxfId="0">
      <formula>AND(ISNUMBER(S7),ISNUMBER(R7),S7&lt;R7)</formula>
    </cfRule>
  </conditionalFormatting>
  <dataValidations count="4">
    <dataValidation sqref="E7:G69" showDropDown="0" showInputMessage="0" showErrorMessage="1" allowBlank="1" errorTitle="Valeur invalide" error="Entre un nombre positif (ou laisse vide)." type="decimal" operator="greaterThanOrEqual">
      <formula1>0</formula1>
    </dataValidation>
    <dataValidation sqref="I7:K69" showDropDown="0" showInputMessage="0" showErrorMessage="1" allowBlank="1" errorTitle="Valeur invalide" error="Entre un nombre positif (ou laisse vide)." type="decimal" operator="greaterThanOrEqual">
      <formula1>0</formula1>
    </dataValidation>
    <dataValidation sqref="M7:O69" showDropDown="0" showInputMessage="0" showErrorMessage="1" allowBlank="1" errorTitle="Valeur invalide" error="Entre un nombre positif (ou laisse vide)." type="decimal" operator="greaterThanOrEqual">
      <formula1>0</formula1>
    </dataValidation>
    <dataValidation sqref="Q7:S69"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X71"/>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24" customWidth="1" min="1" max="1"/>
    <col width="7" customWidth="1" min="2" max="2"/>
    <col width="7" customWidth="1" min="3" max="3"/>
    <col width="11" customWidth="1" min="4" max="4"/>
    <col width="10.5" customWidth="1" min="5" max="5"/>
    <col width="10.5" customWidth="1" min="6" max="6"/>
    <col width="10.5" customWidth="1" min="7" max="7"/>
    <col width="11" customWidth="1" min="8" max="8"/>
    <col width="10.5" customWidth="1" min="9" max="9"/>
    <col width="10.5" customWidth="1" min="10" max="10"/>
    <col width="10.5" customWidth="1" min="11" max="11"/>
    <col width="11" customWidth="1" min="12" max="12"/>
    <col width="10.5" customWidth="1" min="13" max="13"/>
    <col width="10.5" customWidth="1" min="14" max="14"/>
    <col width="10.5" customWidth="1" min="15" max="15"/>
    <col width="11" customWidth="1" min="16" max="16"/>
    <col width="10.5" customWidth="1" min="17" max="17"/>
    <col width="10.5" customWidth="1" min="18" max="18"/>
    <col width="10.5" customWidth="1" min="19" max="19"/>
    <col width="11" customWidth="1" min="20" max="20"/>
    <col width="11" customWidth="1" min="21" max="21"/>
    <col width="11" customWidth="1" min="22" max="22"/>
    <col width="11" customWidth="1" min="23" max="23"/>
    <col width="12" customWidth="1" min="24" max="24"/>
  </cols>
  <sheetData>
    <row r="1" ht="26" customHeight="1">
      <c r="A1" s="1" t="inlineStr">
        <is>
          <t>Juin 2026</t>
        </is>
      </c>
    </row>
    <row r="2">
      <c r="A2" s="2" t="inlineStr">
        <is>
          <t>Date cmd = jour où tu passes la commande · Stock = ce qu'il reste · Commandé · Reçu = ce qui est arrivé</t>
        </is>
      </c>
    </row>
    <row r="4">
      <c r="A4" s="15" t="inlineStr">
        <is>
          <t>Produit</t>
        </is>
      </c>
      <c r="B4" s="15" t="inlineStr">
        <is>
          <t>Unité</t>
        </is>
      </c>
      <c r="C4" s="15" t="inlineStr">
        <is>
          <t>Mini</t>
        </is>
      </c>
      <c r="D4" s="15" t="inlineStr">
        <is>
          <t>Semaine 1</t>
        </is>
      </c>
      <c r="E4" s="19" t="n"/>
      <c r="F4" s="19" t="n"/>
      <c r="G4" s="19" t="n"/>
      <c r="H4" s="15" t="inlineStr">
        <is>
          <t>Semaine 2</t>
        </is>
      </c>
      <c r="I4" s="19" t="n"/>
      <c r="J4" s="19" t="n"/>
      <c r="K4" s="19" t="n"/>
      <c r="L4" s="15" t="inlineStr">
        <is>
          <t>Semaine 3</t>
        </is>
      </c>
      <c r="M4" s="19" t="n"/>
      <c r="N4" s="19" t="n"/>
      <c r="O4" s="19" t="n"/>
      <c r="P4" s="15" t="inlineStr">
        <is>
          <t>Semaine 4</t>
        </is>
      </c>
      <c r="Q4" s="19" t="n"/>
      <c r="R4" s="19" t="n"/>
      <c r="S4" s="19" t="n"/>
      <c r="T4" s="15" t="inlineStr">
        <is>
          <t>Total du mois</t>
        </is>
      </c>
      <c r="U4" s="19" t="n"/>
      <c r="V4" s="19" t="n"/>
      <c r="W4" s="19" t="n"/>
      <c r="X4" s="15" t="inlineStr">
        <is>
          <t>Dépense (€)</t>
        </is>
      </c>
    </row>
    <row r="5">
      <c r="A5" s="19" t="n"/>
      <c r="B5" s="19" t="n"/>
      <c r="C5" s="19" t="n"/>
      <c r="D5" s="8" t="inlineStr">
        <is>
          <t>Date cmd</t>
        </is>
      </c>
      <c r="E5" s="8" t="inlineStr">
        <is>
          <t>Stock</t>
        </is>
      </c>
      <c r="F5" s="8" t="inlineStr">
        <is>
          <t>Commandé</t>
        </is>
      </c>
      <c r="G5" s="8" t="inlineStr">
        <is>
          <t>Reçu</t>
        </is>
      </c>
      <c r="H5" s="8" t="inlineStr">
        <is>
          <t>Date cmd</t>
        </is>
      </c>
      <c r="I5" s="8" t="inlineStr">
        <is>
          <t>Stock</t>
        </is>
      </c>
      <c r="J5" s="8" t="inlineStr">
        <is>
          <t>Commandé</t>
        </is>
      </c>
      <c r="K5" s="8" t="inlineStr">
        <is>
          <t>Reçu</t>
        </is>
      </c>
      <c r="L5" s="8" t="inlineStr">
        <is>
          <t>Date cmd</t>
        </is>
      </c>
      <c r="M5" s="8" t="inlineStr">
        <is>
          <t>Stock</t>
        </is>
      </c>
      <c r="N5" s="8" t="inlineStr">
        <is>
          <t>Commandé</t>
        </is>
      </c>
      <c r="O5" s="8" t="inlineStr">
        <is>
          <t>Reçu</t>
        </is>
      </c>
      <c r="P5" s="8" t="inlineStr">
        <is>
          <t>Date cmd</t>
        </is>
      </c>
      <c r="Q5" s="8" t="inlineStr">
        <is>
          <t>Stock</t>
        </is>
      </c>
      <c r="R5" s="8" t="inlineStr">
        <is>
          <t>Commandé</t>
        </is>
      </c>
      <c r="S5" s="8" t="inlineStr">
        <is>
          <t>Reçu</t>
        </is>
      </c>
      <c r="T5" s="8" t="inlineStr">
        <is>
          <t>Commandé</t>
        </is>
      </c>
      <c r="U5" s="8" t="inlineStr">
        <is>
          <t>Reçu</t>
        </is>
      </c>
      <c r="V5" s="8" t="inlineStr">
        <is>
          <t>Écart</t>
        </is>
      </c>
      <c r="W5" s="8" t="inlineStr">
        <is>
          <t>Dernier stock</t>
        </is>
      </c>
      <c r="X5" s="19" t="n"/>
    </row>
    <row r="6" ht="20" customHeight="1">
      <c r="A6" s="23" t="inlineStr">
        <is>
          <t>RÉSERVE SÈCHE</t>
        </is>
      </c>
      <c r="B6" s="10" t="n"/>
      <c r="C6" s="10" t="n"/>
      <c r="D6" s="10" t="n"/>
      <c r="E6" s="10" t="n"/>
      <c r="F6" s="10" t="n"/>
      <c r="G6" s="10" t="n"/>
      <c r="H6" s="10" t="n"/>
      <c r="I6" s="10" t="n"/>
      <c r="J6" s="10" t="n"/>
      <c r="K6" s="10" t="n"/>
      <c r="L6" s="10" t="n"/>
      <c r="M6" s="10" t="n"/>
      <c r="N6" s="10" t="n"/>
      <c r="O6" s="10" t="n"/>
      <c r="P6" s="10" t="n"/>
      <c r="Q6" s="10" t="n"/>
      <c r="R6" s="10" t="n"/>
      <c r="S6" s="10" t="n"/>
      <c r="T6" s="10" t="n"/>
      <c r="U6" s="10" t="n"/>
      <c r="V6" s="10" t="n"/>
      <c r="W6" s="10" t="n"/>
      <c r="X6" s="10" t="n"/>
    </row>
    <row r="7">
      <c r="A7" s="33">
        <f>IF(Produits!$A$6="","",Produits!$A$6)</f>
        <v/>
      </c>
      <c r="B7" s="34">
        <f>IF(Produits!$A$6="","",Produits!$C$6)</f>
        <v/>
      </c>
      <c r="C7" s="34">
        <f>IF(Produits!$A$6="","",Produits!$D$6)</f>
        <v/>
      </c>
      <c r="D7" s="32" t="n"/>
      <c r="E7" s="29" t="n"/>
      <c r="F7" s="29" t="n"/>
      <c r="G7" s="29" t="n"/>
      <c r="H7" s="32" t="n"/>
      <c r="I7" s="29" t="n"/>
      <c r="J7" s="29" t="n"/>
      <c r="K7" s="29" t="n"/>
      <c r="L7" s="32" t="n"/>
      <c r="M7" s="29" t="n"/>
      <c r="N7" s="29" t="n"/>
      <c r="O7" s="29" t="n"/>
      <c r="P7" s="32" t="n"/>
      <c r="Q7" s="29" t="n"/>
      <c r="R7" s="29" t="n"/>
      <c r="S7" s="29" t="n"/>
      <c r="T7" s="22">
        <f>IF(COUNT(F7,J7,N7,R7)=0,"",SUM(F7,J7,N7,R7))</f>
        <v/>
      </c>
      <c r="U7" s="22">
        <f>IF(COUNT(G7,K7,O7,S7)=0,"",SUM(G7,K7,O7,S7))</f>
        <v/>
      </c>
      <c r="V7" s="22">
        <f>IF(OR(T7="",U7=""),"",U7-T7)</f>
        <v/>
      </c>
      <c r="W7" s="22">
        <f>IF(Q7&lt;&gt;"",Q7,IF(M7&lt;&gt;"",M7,IF(I7&lt;&gt;"",I7,IF(E7&lt;&gt;"",E7,""))))</f>
        <v/>
      </c>
      <c r="X7" s="18">
        <f>IF(U7="","",U7*N(Produits!$E$6))</f>
        <v/>
      </c>
    </row>
    <row r="8">
      <c r="A8" s="33">
        <f>IF(Produits!$A$7="","",Produits!$A$7)</f>
        <v/>
      </c>
      <c r="B8" s="34">
        <f>IF(Produits!$A$7="","",Produits!$C$7)</f>
        <v/>
      </c>
      <c r="C8" s="34">
        <f>IF(Produits!$A$7="","",Produits!$D$7)</f>
        <v/>
      </c>
      <c r="D8" s="32" t="n"/>
      <c r="E8" s="29" t="n"/>
      <c r="F8" s="29" t="n"/>
      <c r="G8" s="29" t="n"/>
      <c r="H8" s="32" t="n"/>
      <c r="I8" s="29" t="n"/>
      <c r="J8" s="29" t="n"/>
      <c r="K8" s="29" t="n"/>
      <c r="L8" s="32" t="n"/>
      <c r="M8" s="29" t="n"/>
      <c r="N8" s="29" t="n"/>
      <c r="O8" s="29" t="n"/>
      <c r="P8" s="32" t="n"/>
      <c r="Q8" s="29" t="n"/>
      <c r="R8" s="29" t="n"/>
      <c r="S8" s="29" t="n"/>
      <c r="T8" s="22">
        <f>IF(COUNT(F8,J8,N8,R8)=0,"",SUM(F8,J8,N8,R8))</f>
        <v/>
      </c>
      <c r="U8" s="22">
        <f>IF(COUNT(G8,K8,O8,S8)=0,"",SUM(G8,K8,O8,S8))</f>
        <v/>
      </c>
      <c r="V8" s="22">
        <f>IF(OR(T8="",U8=""),"",U8-T8)</f>
        <v/>
      </c>
      <c r="W8" s="22">
        <f>IF(Q8&lt;&gt;"",Q8,IF(M8&lt;&gt;"",M8,IF(I8&lt;&gt;"",I8,IF(E8&lt;&gt;"",E8,""))))</f>
        <v/>
      </c>
      <c r="X8" s="18">
        <f>IF(U8="","",U8*N(Produits!$E$7))</f>
        <v/>
      </c>
    </row>
    <row r="9">
      <c r="A9" s="33">
        <f>IF(Produits!$A$8="","",Produits!$A$8)</f>
        <v/>
      </c>
      <c r="B9" s="34">
        <f>IF(Produits!$A$8="","",Produits!$C$8)</f>
        <v/>
      </c>
      <c r="C9" s="34">
        <f>IF(Produits!$A$8="","",Produits!$D$8)</f>
        <v/>
      </c>
      <c r="D9" s="32" t="n"/>
      <c r="E9" s="29" t="n"/>
      <c r="F9" s="29" t="n"/>
      <c r="G9" s="29" t="n"/>
      <c r="H9" s="32" t="n"/>
      <c r="I9" s="29" t="n"/>
      <c r="J9" s="29" t="n"/>
      <c r="K9" s="29" t="n"/>
      <c r="L9" s="32" t="n"/>
      <c r="M9" s="29" t="n"/>
      <c r="N9" s="29" t="n"/>
      <c r="O9" s="29" t="n"/>
      <c r="P9" s="32" t="n"/>
      <c r="Q9" s="29" t="n"/>
      <c r="R9" s="29" t="n"/>
      <c r="S9" s="29" t="n"/>
      <c r="T9" s="22">
        <f>IF(COUNT(F9,J9,N9,R9)=0,"",SUM(F9,J9,N9,R9))</f>
        <v/>
      </c>
      <c r="U9" s="22">
        <f>IF(COUNT(G9,K9,O9,S9)=0,"",SUM(G9,K9,O9,S9))</f>
        <v/>
      </c>
      <c r="V9" s="22">
        <f>IF(OR(T9="",U9=""),"",U9-T9)</f>
        <v/>
      </c>
      <c r="W9" s="22">
        <f>IF(Q9&lt;&gt;"",Q9,IF(M9&lt;&gt;"",M9,IF(I9&lt;&gt;"",I9,IF(E9&lt;&gt;"",E9,""))))</f>
        <v/>
      </c>
      <c r="X9" s="18">
        <f>IF(U9="","",U9*N(Produits!$E$8))</f>
        <v/>
      </c>
    </row>
    <row r="10">
      <c r="A10" s="33">
        <f>IF(Produits!$A$9="","",Produits!$A$9)</f>
        <v/>
      </c>
      <c r="B10" s="34">
        <f>IF(Produits!$A$9="","",Produits!$C$9)</f>
        <v/>
      </c>
      <c r="C10" s="34">
        <f>IF(Produits!$A$9="","",Produits!$D$9)</f>
        <v/>
      </c>
      <c r="D10" s="32" t="n"/>
      <c r="E10" s="29" t="n"/>
      <c r="F10" s="29" t="n"/>
      <c r="G10" s="29" t="n"/>
      <c r="H10" s="32" t="n"/>
      <c r="I10" s="29" t="n"/>
      <c r="J10" s="29" t="n"/>
      <c r="K10" s="29" t="n"/>
      <c r="L10" s="32" t="n"/>
      <c r="M10" s="29" t="n"/>
      <c r="N10" s="29" t="n"/>
      <c r="O10" s="29" t="n"/>
      <c r="P10" s="32" t="n"/>
      <c r="Q10" s="29" t="n"/>
      <c r="R10" s="29" t="n"/>
      <c r="S10" s="29" t="n"/>
      <c r="T10" s="22">
        <f>IF(COUNT(F10,J10,N10,R10)=0,"",SUM(F10,J10,N10,R10))</f>
        <v/>
      </c>
      <c r="U10" s="22">
        <f>IF(COUNT(G10,K10,O10,S10)=0,"",SUM(G10,K10,O10,S10))</f>
        <v/>
      </c>
      <c r="V10" s="22">
        <f>IF(OR(T10="",U10=""),"",U10-T10)</f>
        <v/>
      </c>
      <c r="W10" s="22">
        <f>IF(Q10&lt;&gt;"",Q10,IF(M10&lt;&gt;"",M10,IF(I10&lt;&gt;"",I10,IF(E10&lt;&gt;"",E10,""))))</f>
        <v/>
      </c>
      <c r="X10" s="18">
        <f>IF(U10="","",U10*N(Produits!$E$9))</f>
        <v/>
      </c>
    </row>
    <row r="11">
      <c r="A11" s="33">
        <f>IF(Produits!$A$10="","",Produits!$A$10)</f>
        <v/>
      </c>
      <c r="B11" s="34">
        <f>IF(Produits!$A$10="","",Produits!$C$10)</f>
        <v/>
      </c>
      <c r="C11" s="34">
        <f>IF(Produits!$A$10="","",Produits!$D$10)</f>
        <v/>
      </c>
      <c r="D11" s="32" t="n"/>
      <c r="E11" s="29" t="n"/>
      <c r="F11" s="29" t="n"/>
      <c r="G11" s="29" t="n"/>
      <c r="H11" s="32" t="n"/>
      <c r="I11" s="29" t="n"/>
      <c r="J11" s="29" t="n"/>
      <c r="K11" s="29" t="n"/>
      <c r="L11" s="32" t="n"/>
      <c r="M11" s="29" t="n"/>
      <c r="N11" s="29" t="n"/>
      <c r="O11" s="29" t="n"/>
      <c r="P11" s="32" t="n"/>
      <c r="Q11" s="29" t="n"/>
      <c r="R11" s="29" t="n"/>
      <c r="S11" s="29" t="n"/>
      <c r="T11" s="22">
        <f>IF(COUNT(F11,J11,N11,R11)=0,"",SUM(F11,J11,N11,R11))</f>
        <v/>
      </c>
      <c r="U11" s="22">
        <f>IF(COUNT(G11,K11,O11,S11)=0,"",SUM(G11,K11,O11,S11))</f>
        <v/>
      </c>
      <c r="V11" s="22">
        <f>IF(OR(T11="",U11=""),"",U11-T11)</f>
        <v/>
      </c>
      <c r="W11" s="22">
        <f>IF(Q11&lt;&gt;"",Q11,IF(M11&lt;&gt;"",M11,IF(I11&lt;&gt;"",I11,IF(E11&lt;&gt;"",E11,""))))</f>
        <v/>
      </c>
      <c r="X11" s="18">
        <f>IF(U11="","",U11*N(Produits!$E$10))</f>
        <v/>
      </c>
    </row>
    <row r="12">
      <c r="A12" s="33">
        <f>IF(Produits!$A$11="","",Produits!$A$11)</f>
        <v/>
      </c>
      <c r="B12" s="34">
        <f>IF(Produits!$A$11="","",Produits!$C$11)</f>
        <v/>
      </c>
      <c r="C12" s="34">
        <f>IF(Produits!$A$11="","",Produits!$D$11)</f>
        <v/>
      </c>
      <c r="D12" s="32" t="n"/>
      <c r="E12" s="29" t="n"/>
      <c r="F12" s="29" t="n"/>
      <c r="G12" s="29" t="n"/>
      <c r="H12" s="32" t="n"/>
      <c r="I12" s="29" t="n"/>
      <c r="J12" s="29" t="n"/>
      <c r="K12" s="29" t="n"/>
      <c r="L12" s="32" t="n"/>
      <c r="M12" s="29" t="n"/>
      <c r="N12" s="29" t="n"/>
      <c r="O12" s="29" t="n"/>
      <c r="P12" s="32" t="n"/>
      <c r="Q12" s="29" t="n"/>
      <c r="R12" s="29" t="n"/>
      <c r="S12" s="29" t="n"/>
      <c r="T12" s="22">
        <f>IF(COUNT(F12,J12,N12,R12)=0,"",SUM(F12,J12,N12,R12))</f>
        <v/>
      </c>
      <c r="U12" s="22">
        <f>IF(COUNT(G12,K12,O12,S12)=0,"",SUM(G12,K12,O12,S12))</f>
        <v/>
      </c>
      <c r="V12" s="22">
        <f>IF(OR(T12="",U12=""),"",U12-T12)</f>
        <v/>
      </c>
      <c r="W12" s="22">
        <f>IF(Q12&lt;&gt;"",Q12,IF(M12&lt;&gt;"",M12,IF(I12&lt;&gt;"",I12,IF(E12&lt;&gt;"",E12,""))))</f>
        <v/>
      </c>
      <c r="X12" s="18">
        <f>IF(U12="","",U12*N(Produits!$E$11))</f>
        <v/>
      </c>
    </row>
    <row r="13">
      <c r="A13" s="33">
        <f>IF(Produits!$A$12="","",Produits!$A$12)</f>
        <v/>
      </c>
      <c r="B13" s="34">
        <f>IF(Produits!$A$12="","",Produits!$C$12)</f>
        <v/>
      </c>
      <c r="C13" s="34">
        <f>IF(Produits!$A$12="","",Produits!$D$12)</f>
        <v/>
      </c>
      <c r="D13" s="32" t="n"/>
      <c r="E13" s="29" t="n"/>
      <c r="F13" s="29" t="n"/>
      <c r="G13" s="29" t="n"/>
      <c r="H13" s="32" t="n"/>
      <c r="I13" s="29" t="n"/>
      <c r="J13" s="29" t="n"/>
      <c r="K13" s="29" t="n"/>
      <c r="L13" s="32" t="n"/>
      <c r="M13" s="29" t="n"/>
      <c r="N13" s="29" t="n"/>
      <c r="O13" s="29" t="n"/>
      <c r="P13" s="32" t="n"/>
      <c r="Q13" s="29" t="n"/>
      <c r="R13" s="29" t="n"/>
      <c r="S13" s="29" t="n"/>
      <c r="T13" s="22">
        <f>IF(COUNT(F13,J13,N13,R13)=0,"",SUM(F13,J13,N13,R13))</f>
        <v/>
      </c>
      <c r="U13" s="22">
        <f>IF(COUNT(G13,K13,O13,S13)=0,"",SUM(G13,K13,O13,S13))</f>
        <v/>
      </c>
      <c r="V13" s="22">
        <f>IF(OR(T13="",U13=""),"",U13-T13)</f>
        <v/>
      </c>
      <c r="W13" s="22">
        <f>IF(Q13&lt;&gt;"",Q13,IF(M13&lt;&gt;"",M13,IF(I13&lt;&gt;"",I13,IF(E13&lt;&gt;"",E13,""))))</f>
        <v/>
      </c>
      <c r="X13" s="18">
        <f>IF(U13="","",U13*N(Produits!$E$12))</f>
        <v/>
      </c>
    </row>
    <row r="14">
      <c r="A14" s="33">
        <f>IF(Produits!$A$13="","",Produits!$A$13)</f>
        <v/>
      </c>
      <c r="B14" s="34">
        <f>IF(Produits!$A$13="","",Produits!$C$13)</f>
        <v/>
      </c>
      <c r="C14" s="34">
        <f>IF(Produits!$A$13="","",Produits!$D$13)</f>
        <v/>
      </c>
      <c r="D14" s="32" t="n"/>
      <c r="E14" s="29" t="n"/>
      <c r="F14" s="29" t="n"/>
      <c r="G14" s="29" t="n"/>
      <c r="H14" s="32" t="n"/>
      <c r="I14" s="29" t="n"/>
      <c r="J14" s="29" t="n"/>
      <c r="K14" s="29" t="n"/>
      <c r="L14" s="32" t="n"/>
      <c r="M14" s="29" t="n"/>
      <c r="N14" s="29" t="n"/>
      <c r="O14" s="29" t="n"/>
      <c r="P14" s="32" t="n"/>
      <c r="Q14" s="29" t="n"/>
      <c r="R14" s="29" t="n"/>
      <c r="S14" s="29" t="n"/>
      <c r="T14" s="22">
        <f>IF(COUNT(F14,J14,N14,R14)=0,"",SUM(F14,J14,N14,R14))</f>
        <v/>
      </c>
      <c r="U14" s="22">
        <f>IF(COUNT(G14,K14,O14,S14)=0,"",SUM(G14,K14,O14,S14))</f>
        <v/>
      </c>
      <c r="V14" s="22">
        <f>IF(OR(T14="",U14=""),"",U14-T14)</f>
        <v/>
      </c>
      <c r="W14" s="22">
        <f>IF(Q14&lt;&gt;"",Q14,IF(M14&lt;&gt;"",M14,IF(I14&lt;&gt;"",I14,IF(E14&lt;&gt;"",E14,""))))</f>
        <v/>
      </c>
      <c r="X14" s="18">
        <f>IF(U14="","",U14*N(Produits!$E$13))</f>
        <v/>
      </c>
    </row>
    <row r="15">
      <c r="A15" s="33">
        <f>IF(Produits!$A$14="","",Produits!$A$14)</f>
        <v/>
      </c>
      <c r="B15" s="34">
        <f>IF(Produits!$A$14="","",Produits!$C$14)</f>
        <v/>
      </c>
      <c r="C15" s="34">
        <f>IF(Produits!$A$14="","",Produits!$D$14)</f>
        <v/>
      </c>
      <c r="D15" s="32" t="n"/>
      <c r="E15" s="29" t="n"/>
      <c r="F15" s="29" t="n"/>
      <c r="G15" s="29" t="n"/>
      <c r="H15" s="32" t="n"/>
      <c r="I15" s="29" t="n"/>
      <c r="J15" s="29" t="n"/>
      <c r="K15" s="29" t="n"/>
      <c r="L15" s="32" t="n"/>
      <c r="M15" s="29" t="n"/>
      <c r="N15" s="29" t="n"/>
      <c r="O15" s="29" t="n"/>
      <c r="P15" s="32" t="n"/>
      <c r="Q15" s="29" t="n"/>
      <c r="R15" s="29" t="n"/>
      <c r="S15" s="29" t="n"/>
      <c r="T15" s="22">
        <f>IF(COUNT(F15,J15,N15,R15)=0,"",SUM(F15,J15,N15,R15))</f>
        <v/>
      </c>
      <c r="U15" s="22">
        <f>IF(COUNT(G15,K15,O15,S15)=0,"",SUM(G15,K15,O15,S15))</f>
        <v/>
      </c>
      <c r="V15" s="22">
        <f>IF(OR(T15="",U15=""),"",U15-T15)</f>
        <v/>
      </c>
      <c r="W15" s="22">
        <f>IF(Q15&lt;&gt;"",Q15,IF(M15&lt;&gt;"",M15,IF(I15&lt;&gt;"",I15,IF(E15&lt;&gt;"",E15,""))))</f>
        <v/>
      </c>
      <c r="X15" s="18">
        <f>IF(U15="","",U15*N(Produits!$E$14))</f>
        <v/>
      </c>
    </row>
    <row r="16">
      <c r="A16" s="33">
        <f>IF(Produits!$A$15="","",Produits!$A$15)</f>
        <v/>
      </c>
      <c r="B16" s="34">
        <f>IF(Produits!$A$15="","",Produits!$C$15)</f>
        <v/>
      </c>
      <c r="C16" s="34">
        <f>IF(Produits!$A$15="","",Produits!$D$15)</f>
        <v/>
      </c>
      <c r="D16" s="32" t="n"/>
      <c r="E16" s="29" t="n"/>
      <c r="F16" s="29" t="n"/>
      <c r="G16" s="29" t="n"/>
      <c r="H16" s="32" t="n"/>
      <c r="I16" s="29" t="n"/>
      <c r="J16" s="29" t="n"/>
      <c r="K16" s="29" t="n"/>
      <c r="L16" s="32" t="n"/>
      <c r="M16" s="29" t="n"/>
      <c r="N16" s="29" t="n"/>
      <c r="O16" s="29" t="n"/>
      <c r="P16" s="32" t="n"/>
      <c r="Q16" s="29" t="n"/>
      <c r="R16" s="29" t="n"/>
      <c r="S16" s="29" t="n"/>
      <c r="T16" s="22">
        <f>IF(COUNT(F16,J16,N16,R16)=0,"",SUM(F16,J16,N16,R16))</f>
        <v/>
      </c>
      <c r="U16" s="22">
        <f>IF(COUNT(G16,K16,O16,S16)=0,"",SUM(G16,K16,O16,S16))</f>
        <v/>
      </c>
      <c r="V16" s="22">
        <f>IF(OR(T16="",U16=""),"",U16-T16)</f>
        <v/>
      </c>
      <c r="W16" s="22">
        <f>IF(Q16&lt;&gt;"",Q16,IF(M16&lt;&gt;"",M16,IF(I16&lt;&gt;"",I16,IF(E16&lt;&gt;"",E16,""))))</f>
        <v/>
      </c>
      <c r="X16" s="18">
        <f>IF(U16="","",U16*N(Produits!$E$15))</f>
        <v/>
      </c>
    </row>
    <row r="17">
      <c r="A17" s="33">
        <f>IF(Produits!$A$16="","",Produits!$A$16)</f>
        <v/>
      </c>
      <c r="B17" s="34">
        <f>IF(Produits!$A$16="","",Produits!$C$16)</f>
        <v/>
      </c>
      <c r="C17" s="34">
        <f>IF(Produits!$A$16="","",Produits!$D$16)</f>
        <v/>
      </c>
      <c r="D17" s="32" t="n"/>
      <c r="E17" s="29" t="n"/>
      <c r="F17" s="29" t="n"/>
      <c r="G17" s="29" t="n"/>
      <c r="H17" s="32" t="n"/>
      <c r="I17" s="29" t="n"/>
      <c r="J17" s="29" t="n"/>
      <c r="K17" s="29" t="n"/>
      <c r="L17" s="32" t="n"/>
      <c r="M17" s="29" t="n"/>
      <c r="N17" s="29" t="n"/>
      <c r="O17" s="29" t="n"/>
      <c r="P17" s="32" t="n"/>
      <c r="Q17" s="29" t="n"/>
      <c r="R17" s="29" t="n"/>
      <c r="S17" s="29" t="n"/>
      <c r="T17" s="22">
        <f>IF(COUNT(F17,J17,N17,R17)=0,"",SUM(F17,J17,N17,R17))</f>
        <v/>
      </c>
      <c r="U17" s="22">
        <f>IF(COUNT(G17,K17,O17,S17)=0,"",SUM(G17,K17,O17,S17))</f>
        <v/>
      </c>
      <c r="V17" s="22">
        <f>IF(OR(T17="",U17=""),"",U17-T17)</f>
        <v/>
      </c>
      <c r="W17" s="22">
        <f>IF(Q17&lt;&gt;"",Q17,IF(M17&lt;&gt;"",M17,IF(I17&lt;&gt;"",I17,IF(E17&lt;&gt;"",E17,""))))</f>
        <v/>
      </c>
      <c r="X17" s="18">
        <f>IF(U17="","",U17*N(Produits!$E$16))</f>
        <v/>
      </c>
    </row>
    <row r="18">
      <c r="A18" s="33">
        <f>IF(Produits!$A$17="","",Produits!$A$17)</f>
        <v/>
      </c>
      <c r="B18" s="34">
        <f>IF(Produits!$A$17="","",Produits!$C$17)</f>
        <v/>
      </c>
      <c r="C18" s="34">
        <f>IF(Produits!$A$17="","",Produits!$D$17)</f>
        <v/>
      </c>
      <c r="D18" s="32" t="n"/>
      <c r="E18" s="29" t="n"/>
      <c r="F18" s="29" t="n"/>
      <c r="G18" s="29" t="n"/>
      <c r="H18" s="32" t="n"/>
      <c r="I18" s="29" t="n"/>
      <c r="J18" s="29" t="n"/>
      <c r="K18" s="29" t="n"/>
      <c r="L18" s="32" t="n"/>
      <c r="M18" s="29" t="n"/>
      <c r="N18" s="29" t="n"/>
      <c r="O18" s="29" t="n"/>
      <c r="P18" s="32" t="n"/>
      <c r="Q18" s="29" t="n"/>
      <c r="R18" s="29" t="n"/>
      <c r="S18" s="29" t="n"/>
      <c r="T18" s="22">
        <f>IF(COUNT(F18,J18,N18,R18)=0,"",SUM(F18,J18,N18,R18))</f>
        <v/>
      </c>
      <c r="U18" s="22">
        <f>IF(COUNT(G18,K18,O18,S18)=0,"",SUM(G18,K18,O18,S18))</f>
        <v/>
      </c>
      <c r="V18" s="22">
        <f>IF(OR(T18="",U18=""),"",U18-T18)</f>
        <v/>
      </c>
      <c r="W18" s="22">
        <f>IF(Q18&lt;&gt;"",Q18,IF(M18&lt;&gt;"",M18,IF(I18&lt;&gt;"",I18,IF(E18&lt;&gt;"",E18,""))))</f>
        <v/>
      </c>
      <c r="X18" s="18">
        <f>IF(U18="","",U18*N(Produits!$E$17))</f>
        <v/>
      </c>
    </row>
    <row r="19">
      <c r="A19" s="33">
        <f>IF(Produits!$A$18="","",Produits!$A$18)</f>
        <v/>
      </c>
      <c r="B19" s="34">
        <f>IF(Produits!$A$18="","",Produits!$C$18)</f>
        <v/>
      </c>
      <c r="C19" s="34">
        <f>IF(Produits!$A$18="","",Produits!$D$18)</f>
        <v/>
      </c>
      <c r="D19" s="32" t="n"/>
      <c r="E19" s="29" t="n"/>
      <c r="F19" s="29" t="n"/>
      <c r="G19" s="29" t="n"/>
      <c r="H19" s="32" t="n"/>
      <c r="I19" s="29" t="n"/>
      <c r="J19" s="29" t="n"/>
      <c r="K19" s="29" t="n"/>
      <c r="L19" s="32" t="n"/>
      <c r="M19" s="29" t="n"/>
      <c r="N19" s="29" t="n"/>
      <c r="O19" s="29" t="n"/>
      <c r="P19" s="32" t="n"/>
      <c r="Q19" s="29" t="n"/>
      <c r="R19" s="29" t="n"/>
      <c r="S19" s="29" t="n"/>
      <c r="T19" s="22">
        <f>IF(COUNT(F19,J19,N19,R19)=0,"",SUM(F19,J19,N19,R19))</f>
        <v/>
      </c>
      <c r="U19" s="22">
        <f>IF(COUNT(G19,K19,O19,S19)=0,"",SUM(G19,K19,O19,S19))</f>
        <v/>
      </c>
      <c r="V19" s="22">
        <f>IF(OR(T19="",U19=""),"",U19-T19)</f>
        <v/>
      </c>
      <c r="W19" s="22">
        <f>IF(Q19&lt;&gt;"",Q19,IF(M19&lt;&gt;"",M19,IF(I19&lt;&gt;"",I19,IF(E19&lt;&gt;"",E19,""))))</f>
        <v/>
      </c>
      <c r="X19" s="18">
        <f>IF(U19="","",U19*N(Produits!$E$18))</f>
        <v/>
      </c>
    </row>
    <row r="20">
      <c r="A20" s="33">
        <f>IF(Produits!$A$19="","",Produits!$A$19)</f>
        <v/>
      </c>
      <c r="B20" s="34">
        <f>IF(Produits!$A$19="","",Produits!$C$19)</f>
        <v/>
      </c>
      <c r="C20" s="34">
        <f>IF(Produits!$A$19="","",Produits!$D$19)</f>
        <v/>
      </c>
      <c r="D20" s="32" t="n"/>
      <c r="E20" s="29" t="n"/>
      <c r="F20" s="29" t="n"/>
      <c r="G20" s="29" t="n"/>
      <c r="H20" s="32" t="n"/>
      <c r="I20" s="29" t="n"/>
      <c r="J20" s="29" t="n"/>
      <c r="K20" s="29" t="n"/>
      <c r="L20" s="32" t="n"/>
      <c r="M20" s="29" t="n"/>
      <c r="N20" s="29" t="n"/>
      <c r="O20" s="29" t="n"/>
      <c r="P20" s="32" t="n"/>
      <c r="Q20" s="29" t="n"/>
      <c r="R20" s="29" t="n"/>
      <c r="S20" s="29" t="n"/>
      <c r="T20" s="22">
        <f>IF(COUNT(F20,J20,N20,R20)=0,"",SUM(F20,J20,N20,R20))</f>
        <v/>
      </c>
      <c r="U20" s="22">
        <f>IF(COUNT(G20,K20,O20,S20)=0,"",SUM(G20,K20,O20,S20))</f>
        <v/>
      </c>
      <c r="V20" s="22">
        <f>IF(OR(T20="",U20=""),"",U20-T20)</f>
        <v/>
      </c>
      <c r="W20" s="22">
        <f>IF(Q20&lt;&gt;"",Q20,IF(M20&lt;&gt;"",M20,IF(I20&lt;&gt;"",I20,IF(E20&lt;&gt;"",E20,""))))</f>
        <v/>
      </c>
      <c r="X20" s="18">
        <f>IF(U20="","",U20*N(Produits!$E$19))</f>
        <v/>
      </c>
    </row>
    <row r="21">
      <c r="A21" s="33">
        <f>IF(Produits!$A$20="","",Produits!$A$20)</f>
        <v/>
      </c>
      <c r="B21" s="34">
        <f>IF(Produits!$A$20="","",Produits!$C$20)</f>
        <v/>
      </c>
      <c r="C21" s="34">
        <f>IF(Produits!$A$20="","",Produits!$D$20)</f>
        <v/>
      </c>
      <c r="D21" s="32" t="n"/>
      <c r="E21" s="29" t="n"/>
      <c r="F21" s="29" t="n"/>
      <c r="G21" s="29" t="n"/>
      <c r="H21" s="32" t="n"/>
      <c r="I21" s="29" t="n"/>
      <c r="J21" s="29" t="n"/>
      <c r="K21" s="29" t="n"/>
      <c r="L21" s="32" t="n"/>
      <c r="M21" s="29" t="n"/>
      <c r="N21" s="29" t="n"/>
      <c r="O21" s="29" t="n"/>
      <c r="P21" s="32" t="n"/>
      <c r="Q21" s="29" t="n"/>
      <c r="R21" s="29" t="n"/>
      <c r="S21" s="29" t="n"/>
      <c r="T21" s="22">
        <f>IF(COUNT(F21,J21,N21,R21)=0,"",SUM(F21,J21,N21,R21))</f>
        <v/>
      </c>
      <c r="U21" s="22">
        <f>IF(COUNT(G21,K21,O21,S21)=0,"",SUM(G21,K21,O21,S21))</f>
        <v/>
      </c>
      <c r="V21" s="22">
        <f>IF(OR(T21="",U21=""),"",U21-T21)</f>
        <v/>
      </c>
      <c r="W21" s="22">
        <f>IF(Q21&lt;&gt;"",Q21,IF(M21&lt;&gt;"",M21,IF(I21&lt;&gt;"",I21,IF(E21&lt;&gt;"",E21,""))))</f>
        <v/>
      </c>
      <c r="X21" s="18">
        <f>IF(U21="","",U21*N(Produits!$E$20))</f>
        <v/>
      </c>
    </row>
    <row r="22" ht="20" customHeight="1">
      <c r="A22" s="23" t="inlineStr">
        <is>
          <t>CHAMBRE FROIDE POSITIVE</t>
        </is>
      </c>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row>
    <row r="23">
      <c r="A23" s="33">
        <f>IF(Produits!$A$22="","",Produits!$A$22)</f>
        <v/>
      </c>
      <c r="B23" s="34">
        <f>IF(Produits!$A$22="","",Produits!$C$22)</f>
        <v/>
      </c>
      <c r="C23" s="34">
        <f>IF(Produits!$A$22="","",Produits!$D$22)</f>
        <v/>
      </c>
      <c r="D23" s="32" t="n"/>
      <c r="E23" s="29" t="n"/>
      <c r="F23" s="29" t="n"/>
      <c r="G23" s="29" t="n"/>
      <c r="H23" s="32" t="n"/>
      <c r="I23" s="29" t="n"/>
      <c r="J23" s="29" t="n"/>
      <c r="K23" s="29" t="n"/>
      <c r="L23" s="32" t="n"/>
      <c r="M23" s="29" t="n"/>
      <c r="N23" s="29" t="n"/>
      <c r="O23" s="29" t="n"/>
      <c r="P23" s="32" t="n"/>
      <c r="Q23" s="29" t="n"/>
      <c r="R23" s="29" t="n"/>
      <c r="S23" s="29" t="n"/>
      <c r="T23" s="22">
        <f>IF(COUNT(F23,J23,N23,R23)=0,"",SUM(F23,J23,N23,R23))</f>
        <v/>
      </c>
      <c r="U23" s="22">
        <f>IF(COUNT(G23,K23,O23,S23)=0,"",SUM(G23,K23,O23,S23))</f>
        <v/>
      </c>
      <c r="V23" s="22">
        <f>IF(OR(T23="",U23=""),"",U23-T23)</f>
        <v/>
      </c>
      <c r="W23" s="22">
        <f>IF(Q23&lt;&gt;"",Q23,IF(M23&lt;&gt;"",M23,IF(I23&lt;&gt;"",I23,IF(E23&lt;&gt;"",E23,""))))</f>
        <v/>
      </c>
      <c r="X23" s="18">
        <f>IF(U23="","",U23*N(Produits!$E$22))</f>
        <v/>
      </c>
    </row>
    <row r="24">
      <c r="A24" s="33">
        <f>IF(Produits!$A$23="","",Produits!$A$23)</f>
        <v/>
      </c>
      <c r="B24" s="34">
        <f>IF(Produits!$A$23="","",Produits!$C$23)</f>
        <v/>
      </c>
      <c r="C24" s="34">
        <f>IF(Produits!$A$23="","",Produits!$D$23)</f>
        <v/>
      </c>
      <c r="D24" s="32" t="n"/>
      <c r="E24" s="29" t="n"/>
      <c r="F24" s="29" t="n"/>
      <c r="G24" s="29" t="n"/>
      <c r="H24" s="32" t="n"/>
      <c r="I24" s="29" t="n"/>
      <c r="J24" s="29" t="n"/>
      <c r="K24" s="29" t="n"/>
      <c r="L24" s="32" t="n"/>
      <c r="M24" s="29" t="n"/>
      <c r="N24" s="29" t="n"/>
      <c r="O24" s="29" t="n"/>
      <c r="P24" s="32" t="n"/>
      <c r="Q24" s="29" t="n"/>
      <c r="R24" s="29" t="n"/>
      <c r="S24" s="29" t="n"/>
      <c r="T24" s="22">
        <f>IF(COUNT(F24,J24,N24,R24)=0,"",SUM(F24,J24,N24,R24))</f>
        <v/>
      </c>
      <c r="U24" s="22">
        <f>IF(COUNT(G24,K24,O24,S24)=0,"",SUM(G24,K24,O24,S24))</f>
        <v/>
      </c>
      <c r="V24" s="22">
        <f>IF(OR(T24="",U24=""),"",U24-T24)</f>
        <v/>
      </c>
      <c r="W24" s="22">
        <f>IF(Q24&lt;&gt;"",Q24,IF(M24&lt;&gt;"",M24,IF(I24&lt;&gt;"",I24,IF(E24&lt;&gt;"",E24,""))))</f>
        <v/>
      </c>
      <c r="X24" s="18">
        <f>IF(U24="","",U24*N(Produits!$E$23))</f>
        <v/>
      </c>
    </row>
    <row r="25">
      <c r="A25" s="33">
        <f>IF(Produits!$A$24="","",Produits!$A$24)</f>
        <v/>
      </c>
      <c r="B25" s="34">
        <f>IF(Produits!$A$24="","",Produits!$C$24)</f>
        <v/>
      </c>
      <c r="C25" s="34">
        <f>IF(Produits!$A$24="","",Produits!$D$24)</f>
        <v/>
      </c>
      <c r="D25" s="32" t="n"/>
      <c r="E25" s="29" t="n"/>
      <c r="F25" s="29" t="n"/>
      <c r="G25" s="29" t="n"/>
      <c r="H25" s="32" t="n"/>
      <c r="I25" s="29" t="n"/>
      <c r="J25" s="29" t="n"/>
      <c r="K25" s="29" t="n"/>
      <c r="L25" s="32" t="n"/>
      <c r="M25" s="29" t="n"/>
      <c r="N25" s="29" t="n"/>
      <c r="O25" s="29" t="n"/>
      <c r="P25" s="32" t="n"/>
      <c r="Q25" s="29" t="n"/>
      <c r="R25" s="29" t="n"/>
      <c r="S25" s="29" t="n"/>
      <c r="T25" s="22">
        <f>IF(COUNT(F25,J25,N25,R25)=0,"",SUM(F25,J25,N25,R25))</f>
        <v/>
      </c>
      <c r="U25" s="22">
        <f>IF(COUNT(G25,K25,O25,S25)=0,"",SUM(G25,K25,O25,S25))</f>
        <v/>
      </c>
      <c r="V25" s="22">
        <f>IF(OR(T25="",U25=""),"",U25-T25)</f>
        <v/>
      </c>
      <c r="W25" s="22">
        <f>IF(Q25&lt;&gt;"",Q25,IF(M25&lt;&gt;"",M25,IF(I25&lt;&gt;"",I25,IF(E25&lt;&gt;"",E25,""))))</f>
        <v/>
      </c>
      <c r="X25" s="18">
        <f>IF(U25="","",U25*N(Produits!$E$24))</f>
        <v/>
      </c>
    </row>
    <row r="26">
      <c r="A26" s="33">
        <f>IF(Produits!$A$25="","",Produits!$A$25)</f>
        <v/>
      </c>
      <c r="B26" s="34">
        <f>IF(Produits!$A$25="","",Produits!$C$25)</f>
        <v/>
      </c>
      <c r="C26" s="34">
        <f>IF(Produits!$A$25="","",Produits!$D$25)</f>
        <v/>
      </c>
      <c r="D26" s="32" t="n"/>
      <c r="E26" s="29" t="n"/>
      <c r="F26" s="29" t="n"/>
      <c r="G26" s="29" t="n"/>
      <c r="H26" s="32" t="n"/>
      <c r="I26" s="29" t="n"/>
      <c r="J26" s="29" t="n"/>
      <c r="K26" s="29" t="n"/>
      <c r="L26" s="32" t="n"/>
      <c r="M26" s="29" t="n"/>
      <c r="N26" s="29" t="n"/>
      <c r="O26" s="29" t="n"/>
      <c r="P26" s="32" t="n"/>
      <c r="Q26" s="29" t="n"/>
      <c r="R26" s="29" t="n"/>
      <c r="S26" s="29" t="n"/>
      <c r="T26" s="22">
        <f>IF(COUNT(F26,J26,N26,R26)=0,"",SUM(F26,J26,N26,R26))</f>
        <v/>
      </c>
      <c r="U26" s="22">
        <f>IF(COUNT(G26,K26,O26,S26)=0,"",SUM(G26,K26,O26,S26))</f>
        <v/>
      </c>
      <c r="V26" s="22">
        <f>IF(OR(T26="",U26=""),"",U26-T26)</f>
        <v/>
      </c>
      <c r="W26" s="22">
        <f>IF(Q26&lt;&gt;"",Q26,IF(M26&lt;&gt;"",M26,IF(I26&lt;&gt;"",I26,IF(E26&lt;&gt;"",E26,""))))</f>
        <v/>
      </c>
      <c r="X26" s="18">
        <f>IF(U26="","",U26*N(Produits!$E$25))</f>
        <v/>
      </c>
    </row>
    <row r="27">
      <c r="A27" s="33">
        <f>IF(Produits!$A$26="","",Produits!$A$26)</f>
        <v/>
      </c>
      <c r="B27" s="34">
        <f>IF(Produits!$A$26="","",Produits!$C$26)</f>
        <v/>
      </c>
      <c r="C27" s="34">
        <f>IF(Produits!$A$26="","",Produits!$D$26)</f>
        <v/>
      </c>
      <c r="D27" s="32" t="n"/>
      <c r="E27" s="29" t="n"/>
      <c r="F27" s="29" t="n"/>
      <c r="G27" s="29" t="n"/>
      <c r="H27" s="32" t="n"/>
      <c r="I27" s="29" t="n"/>
      <c r="J27" s="29" t="n"/>
      <c r="K27" s="29" t="n"/>
      <c r="L27" s="32" t="n"/>
      <c r="M27" s="29" t="n"/>
      <c r="N27" s="29" t="n"/>
      <c r="O27" s="29" t="n"/>
      <c r="P27" s="32" t="n"/>
      <c r="Q27" s="29" t="n"/>
      <c r="R27" s="29" t="n"/>
      <c r="S27" s="29" t="n"/>
      <c r="T27" s="22">
        <f>IF(COUNT(F27,J27,N27,R27)=0,"",SUM(F27,J27,N27,R27))</f>
        <v/>
      </c>
      <c r="U27" s="22">
        <f>IF(COUNT(G27,K27,O27,S27)=0,"",SUM(G27,K27,O27,S27))</f>
        <v/>
      </c>
      <c r="V27" s="22">
        <f>IF(OR(T27="",U27=""),"",U27-T27)</f>
        <v/>
      </c>
      <c r="W27" s="22">
        <f>IF(Q27&lt;&gt;"",Q27,IF(M27&lt;&gt;"",M27,IF(I27&lt;&gt;"",I27,IF(E27&lt;&gt;"",E27,""))))</f>
        <v/>
      </c>
      <c r="X27" s="18">
        <f>IF(U27="","",U27*N(Produits!$E$26))</f>
        <v/>
      </c>
    </row>
    <row r="28">
      <c r="A28" s="33">
        <f>IF(Produits!$A$27="","",Produits!$A$27)</f>
        <v/>
      </c>
      <c r="B28" s="34">
        <f>IF(Produits!$A$27="","",Produits!$C$27)</f>
        <v/>
      </c>
      <c r="C28" s="34">
        <f>IF(Produits!$A$27="","",Produits!$D$27)</f>
        <v/>
      </c>
      <c r="D28" s="32" t="n"/>
      <c r="E28" s="29" t="n"/>
      <c r="F28" s="29" t="n"/>
      <c r="G28" s="29" t="n"/>
      <c r="H28" s="32" t="n"/>
      <c r="I28" s="29" t="n"/>
      <c r="J28" s="29" t="n"/>
      <c r="K28" s="29" t="n"/>
      <c r="L28" s="32" t="n"/>
      <c r="M28" s="29" t="n"/>
      <c r="N28" s="29" t="n"/>
      <c r="O28" s="29" t="n"/>
      <c r="P28" s="32" t="n"/>
      <c r="Q28" s="29" t="n"/>
      <c r="R28" s="29" t="n"/>
      <c r="S28" s="29" t="n"/>
      <c r="T28" s="22">
        <f>IF(COUNT(F28,J28,N28,R28)=0,"",SUM(F28,J28,N28,R28))</f>
        <v/>
      </c>
      <c r="U28" s="22">
        <f>IF(COUNT(G28,K28,O28,S28)=0,"",SUM(G28,K28,O28,S28))</f>
        <v/>
      </c>
      <c r="V28" s="22">
        <f>IF(OR(T28="",U28=""),"",U28-T28)</f>
        <v/>
      </c>
      <c r="W28" s="22">
        <f>IF(Q28&lt;&gt;"",Q28,IF(M28&lt;&gt;"",M28,IF(I28&lt;&gt;"",I28,IF(E28&lt;&gt;"",E28,""))))</f>
        <v/>
      </c>
      <c r="X28" s="18">
        <f>IF(U28="","",U28*N(Produits!$E$27))</f>
        <v/>
      </c>
    </row>
    <row r="29">
      <c r="A29" s="33">
        <f>IF(Produits!$A$28="","",Produits!$A$28)</f>
        <v/>
      </c>
      <c r="B29" s="34">
        <f>IF(Produits!$A$28="","",Produits!$C$28)</f>
        <v/>
      </c>
      <c r="C29" s="34">
        <f>IF(Produits!$A$28="","",Produits!$D$28)</f>
        <v/>
      </c>
      <c r="D29" s="32" t="n"/>
      <c r="E29" s="29" t="n"/>
      <c r="F29" s="29" t="n"/>
      <c r="G29" s="29" t="n"/>
      <c r="H29" s="32" t="n"/>
      <c r="I29" s="29" t="n"/>
      <c r="J29" s="29" t="n"/>
      <c r="K29" s="29" t="n"/>
      <c r="L29" s="32" t="n"/>
      <c r="M29" s="29" t="n"/>
      <c r="N29" s="29" t="n"/>
      <c r="O29" s="29" t="n"/>
      <c r="P29" s="32" t="n"/>
      <c r="Q29" s="29" t="n"/>
      <c r="R29" s="29" t="n"/>
      <c r="S29" s="29" t="n"/>
      <c r="T29" s="22">
        <f>IF(COUNT(F29,J29,N29,R29)=0,"",SUM(F29,J29,N29,R29))</f>
        <v/>
      </c>
      <c r="U29" s="22">
        <f>IF(COUNT(G29,K29,O29,S29)=0,"",SUM(G29,K29,O29,S29))</f>
        <v/>
      </c>
      <c r="V29" s="22">
        <f>IF(OR(T29="",U29=""),"",U29-T29)</f>
        <v/>
      </c>
      <c r="W29" s="22">
        <f>IF(Q29&lt;&gt;"",Q29,IF(M29&lt;&gt;"",M29,IF(I29&lt;&gt;"",I29,IF(E29&lt;&gt;"",E29,""))))</f>
        <v/>
      </c>
      <c r="X29" s="18">
        <f>IF(U29="","",U29*N(Produits!$E$28))</f>
        <v/>
      </c>
    </row>
    <row r="30">
      <c r="A30" s="33">
        <f>IF(Produits!$A$29="","",Produits!$A$29)</f>
        <v/>
      </c>
      <c r="B30" s="34">
        <f>IF(Produits!$A$29="","",Produits!$C$29)</f>
        <v/>
      </c>
      <c r="C30" s="34">
        <f>IF(Produits!$A$29="","",Produits!$D$29)</f>
        <v/>
      </c>
      <c r="D30" s="32" t="n"/>
      <c r="E30" s="29" t="n"/>
      <c r="F30" s="29" t="n"/>
      <c r="G30" s="29" t="n"/>
      <c r="H30" s="32" t="n"/>
      <c r="I30" s="29" t="n"/>
      <c r="J30" s="29" t="n"/>
      <c r="K30" s="29" t="n"/>
      <c r="L30" s="32" t="n"/>
      <c r="M30" s="29" t="n"/>
      <c r="N30" s="29" t="n"/>
      <c r="O30" s="29" t="n"/>
      <c r="P30" s="32" t="n"/>
      <c r="Q30" s="29" t="n"/>
      <c r="R30" s="29" t="n"/>
      <c r="S30" s="29" t="n"/>
      <c r="T30" s="22">
        <f>IF(COUNT(F30,J30,N30,R30)=0,"",SUM(F30,J30,N30,R30))</f>
        <v/>
      </c>
      <c r="U30" s="22">
        <f>IF(COUNT(G30,K30,O30,S30)=0,"",SUM(G30,K30,O30,S30))</f>
        <v/>
      </c>
      <c r="V30" s="22">
        <f>IF(OR(T30="",U30=""),"",U30-T30)</f>
        <v/>
      </c>
      <c r="W30" s="22">
        <f>IF(Q30&lt;&gt;"",Q30,IF(M30&lt;&gt;"",M30,IF(I30&lt;&gt;"",I30,IF(E30&lt;&gt;"",E30,""))))</f>
        <v/>
      </c>
      <c r="X30" s="18">
        <f>IF(U30="","",U30*N(Produits!$E$29))</f>
        <v/>
      </c>
    </row>
    <row r="31">
      <c r="A31" s="33">
        <f>IF(Produits!$A$30="","",Produits!$A$30)</f>
        <v/>
      </c>
      <c r="B31" s="34">
        <f>IF(Produits!$A$30="","",Produits!$C$30)</f>
        <v/>
      </c>
      <c r="C31" s="34">
        <f>IF(Produits!$A$30="","",Produits!$D$30)</f>
        <v/>
      </c>
      <c r="D31" s="32" t="n"/>
      <c r="E31" s="29" t="n"/>
      <c r="F31" s="29" t="n"/>
      <c r="G31" s="29" t="n"/>
      <c r="H31" s="32" t="n"/>
      <c r="I31" s="29" t="n"/>
      <c r="J31" s="29" t="n"/>
      <c r="K31" s="29" t="n"/>
      <c r="L31" s="32" t="n"/>
      <c r="M31" s="29" t="n"/>
      <c r="N31" s="29" t="n"/>
      <c r="O31" s="29" t="n"/>
      <c r="P31" s="32" t="n"/>
      <c r="Q31" s="29" t="n"/>
      <c r="R31" s="29" t="n"/>
      <c r="S31" s="29" t="n"/>
      <c r="T31" s="22">
        <f>IF(COUNT(F31,J31,N31,R31)=0,"",SUM(F31,J31,N31,R31))</f>
        <v/>
      </c>
      <c r="U31" s="22">
        <f>IF(COUNT(G31,K31,O31,S31)=0,"",SUM(G31,K31,O31,S31))</f>
        <v/>
      </c>
      <c r="V31" s="22">
        <f>IF(OR(T31="",U31=""),"",U31-T31)</f>
        <v/>
      </c>
      <c r="W31" s="22">
        <f>IF(Q31&lt;&gt;"",Q31,IF(M31&lt;&gt;"",M31,IF(I31&lt;&gt;"",I31,IF(E31&lt;&gt;"",E31,""))))</f>
        <v/>
      </c>
      <c r="X31" s="18">
        <f>IF(U31="","",U31*N(Produits!$E$30))</f>
        <v/>
      </c>
    </row>
    <row r="32">
      <c r="A32" s="33">
        <f>IF(Produits!$A$31="","",Produits!$A$31)</f>
        <v/>
      </c>
      <c r="B32" s="34">
        <f>IF(Produits!$A$31="","",Produits!$C$31)</f>
        <v/>
      </c>
      <c r="C32" s="34">
        <f>IF(Produits!$A$31="","",Produits!$D$31)</f>
        <v/>
      </c>
      <c r="D32" s="32" t="n"/>
      <c r="E32" s="29" t="n"/>
      <c r="F32" s="29" t="n"/>
      <c r="G32" s="29" t="n"/>
      <c r="H32" s="32" t="n"/>
      <c r="I32" s="29" t="n"/>
      <c r="J32" s="29" t="n"/>
      <c r="K32" s="29" t="n"/>
      <c r="L32" s="32" t="n"/>
      <c r="M32" s="29" t="n"/>
      <c r="N32" s="29" t="n"/>
      <c r="O32" s="29" t="n"/>
      <c r="P32" s="32" t="n"/>
      <c r="Q32" s="29" t="n"/>
      <c r="R32" s="29" t="n"/>
      <c r="S32" s="29" t="n"/>
      <c r="T32" s="22">
        <f>IF(COUNT(F32,J32,N32,R32)=0,"",SUM(F32,J32,N32,R32))</f>
        <v/>
      </c>
      <c r="U32" s="22">
        <f>IF(COUNT(G32,K32,O32,S32)=0,"",SUM(G32,K32,O32,S32))</f>
        <v/>
      </c>
      <c r="V32" s="22">
        <f>IF(OR(T32="",U32=""),"",U32-T32)</f>
        <v/>
      </c>
      <c r="W32" s="22">
        <f>IF(Q32&lt;&gt;"",Q32,IF(M32&lt;&gt;"",M32,IF(I32&lt;&gt;"",I32,IF(E32&lt;&gt;"",E32,""))))</f>
        <v/>
      </c>
      <c r="X32" s="18">
        <f>IF(U32="","",U32*N(Produits!$E$31))</f>
        <v/>
      </c>
    </row>
    <row r="33">
      <c r="A33" s="33">
        <f>IF(Produits!$A$32="","",Produits!$A$32)</f>
        <v/>
      </c>
      <c r="B33" s="34">
        <f>IF(Produits!$A$32="","",Produits!$C$32)</f>
        <v/>
      </c>
      <c r="C33" s="34">
        <f>IF(Produits!$A$32="","",Produits!$D$32)</f>
        <v/>
      </c>
      <c r="D33" s="32" t="n"/>
      <c r="E33" s="29" t="n"/>
      <c r="F33" s="29" t="n"/>
      <c r="G33" s="29" t="n"/>
      <c r="H33" s="32" t="n"/>
      <c r="I33" s="29" t="n"/>
      <c r="J33" s="29" t="n"/>
      <c r="K33" s="29" t="n"/>
      <c r="L33" s="32" t="n"/>
      <c r="M33" s="29" t="n"/>
      <c r="N33" s="29" t="n"/>
      <c r="O33" s="29" t="n"/>
      <c r="P33" s="32" t="n"/>
      <c r="Q33" s="29" t="n"/>
      <c r="R33" s="29" t="n"/>
      <c r="S33" s="29" t="n"/>
      <c r="T33" s="22">
        <f>IF(COUNT(F33,J33,N33,R33)=0,"",SUM(F33,J33,N33,R33))</f>
        <v/>
      </c>
      <c r="U33" s="22">
        <f>IF(COUNT(G33,K33,O33,S33)=0,"",SUM(G33,K33,O33,S33))</f>
        <v/>
      </c>
      <c r="V33" s="22">
        <f>IF(OR(T33="",U33=""),"",U33-T33)</f>
        <v/>
      </c>
      <c r="W33" s="22">
        <f>IF(Q33&lt;&gt;"",Q33,IF(M33&lt;&gt;"",M33,IF(I33&lt;&gt;"",I33,IF(E33&lt;&gt;"",E33,""))))</f>
        <v/>
      </c>
      <c r="X33" s="18">
        <f>IF(U33="","",U33*N(Produits!$E$32))</f>
        <v/>
      </c>
    </row>
    <row r="34">
      <c r="A34" s="33">
        <f>IF(Produits!$A$33="","",Produits!$A$33)</f>
        <v/>
      </c>
      <c r="B34" s="34">
        <f>IF(Produits!$A$33="","",Produits!$C$33)</f>
        <v/>
      </c>
      <c r="C34" s="34">
        <f>IF(Produits!$A$33="","",Produits!$D$33)</f>
        <v/>
      </c>
      <c r="D34" s="32" t="n"/>
      <c r="E34" s="29" t="n"/>
      <c r="F34" s="29" t="n"/>
      <c r="G34" s="29" t="n"/>
      <c r="H34" s="32" t="n"/>
      <c r="I34" s="29" t="n"/>
      <c r="J34" s="29" t="n"/>
      <c r="K34" s="29" t="n"/>
      <c r="L34" s="32" t="n"/>
      <c r="M34" s="29" t="n"/>
      <c r="N34" s="29" t="n"/>
      <c r="O34" s="29" t="n"/>
      <c r="P34" s="32" t="n"/>
      <c r="Q34" s="29" t="n"/>
      <c r="R34" s="29" t="n"/>
      <c r="S34" s="29" t="n"/>
      <c r="T34" s="22">
        <f>IF(COUNT(F34,J34,N34,R34)=0,"",SUM(F34,J34,N34,R34))</f>
        <v/>
      </c>
      <c r="U34" s="22">
        <f>IF(COUNT(G34,K34,O34,S34)=0,"",SUM(G34,K34,O34,S34))</f>
        <v/>
      </c>
      <c r="V34" s="22">
        <f>IF(OR(T34="",U34=""),"",U34-T34)</f>
        <v/>
      </c>
      <c r="W34" s="22">
        <f>IF(Q34&lt;&gt;"",Q34,IF(M34&lt;&gt;"",M34,IF(I34&lt;&gt;"",I34,IF(E34&lt;&gt;"",E34,""))))</f>
        <v/>
      </c>
      <c r="X34" s="18">
        <f>IF(U34="","",U34*N(Produits!$E$33))</f>
        <v/>
      </c>
    </row>
    <row r="35">
      <c r="A35" s="33">
        <f>IF(Produits!$A$34="","",Produits!$A$34)</f>
        <v/>
      </c>
      <c r="B35" s="34">
        <f>IF(Produits!$A$34="","",Produits!$C$34)</f>
        <v/>
      </c>
      <c r="C35" s="34">
        <f>IF(Produits!$A$34="","",Produits!$D$34)</f>
        <v/>
      </c>
      <c r="D35" s="32" t="n"/>
      <c r="E35" s="29" t="n"/>
      <c r="F35" s="29" t="n"/>
      <c r="G35" s="29" t="n"/>
      <c r="H35" s="32" t="n"/>
      <c r="I35" s="29" t="n"/>
      <c r="J35" s="29" t="n"/>
      <c r="K35" s="29" t="n"/>
      <c r="L35" s="32" t="n"/>
      <c r="M35" s="29" t="n"/>
      <c r="N35" s="29" t="n"/>
      <c r="O35" s="29" t="n"/>
      <c r="P35" s="32" t="n"/>
      <c r="Q35" s="29" t="n"/>
      <c r="R35" s="29" t="n"/>
      <c r="S35" s="29" t="n"/>
      <c r="T35" s="22">
        <f>IF(COUNT(F35,J35,N35,R35)=0,"",SUM(F35,J35,N35,R35))</f>
        <v/>
      </c>
      <c r="U35" s="22">
        <f>IF(COUNT(G35,K35,O35,S35)=0,"",SUM(G35,K35,O35,S35))</f>
        <v/>
      </c>
      <c r="V35" s="22">
        <f>IF(OR(T35="",U35=""),"",U35-T35)</f>
        <v/>
      </c>
      <c r="W35" s="22">
        <f>IF(Q35&lt;&gt;"",Q35,IF(M35&lt;&gt;"",M35,IF(I35&lt;&gt;"",I35,IF(E35&lt;&gt;"",E35,""))))</f>
        <v/>
      </c>
      <c r="X35" s="18">
        <f>IF(U35="","",U35*N(Produits!$E$34))</f>
        <v/>
      </c>
    </row>
    <row r="36">
      <c r="A36" s="33">
        <f>IF(Produits!$A$35="","",Produits!$A$35)</f>
        <v/>
      </c>
      <c r="B36" s="34">
        <f>IF(Produits!$A$35="","",Produits!$C$35)</f>
        <v/>
      </c>
      <c r="C36" s="34">
        <f>IF(Produits!$A$35="","",Produits!$D$35)</f>
        <v/>
      </c>
      <c r="D36" s="32" t="n"/>
      <c r="E36" s="29" t="n"/>
      <c r="F36" s="29" t="n"/>
      <c r="G36" s="29" t="n"/>
      <c r="H36" s="32" t="n"/>
      <c r="I36" s="29" t="n"/>
      <c r="J36" s="29" t="n"/>
      <c r="K36" s="29" t="n"/>
      <c r="L36" s="32" t="n"/>
      <c r="M36" s="29" t="n"/>
      <c r="N36" s="29" t="n"/>
      <c r="O36" s="29" t="n"/>
      <c r="P36" s="32" t="n"/>
      <c r="Q36" s="29" t="n"/>
      <c r="R36" s="29" t="n"/>
      <c r="S36" s="29" t="n"/>
      <c r="T36" s="22">
        <f>IF(COUNT(F36,J36,N36,R36)=0,"",SUM(F36,J36,N36,R36))</f>
        <v/>
      </c>
      <c r="U36" s="22">
        <f>IF(COUNT(G36,K36,O36,S36)=0,"",SUM(G36,K36,O36,S36))</f>
        <v/>
      </c>
      <c r="V36" s="22">
        <f>IF(OR(T36="",U36=""),"",U36-T36)</f>
        <v/>
      </c>
      <c r="W36" s="22">
        <f>IF(Q36&lt;&gt;"",Q36,IF(M36&lt;&gt;"",M36,IF(I36&lt;&gt;"",I36,IF(E36&lt;&gt;"",E36,""))))</f>
        <v/>
      </c>
      <c r="X36" s="18">
        <f>IF(U36="","",U36*N(Produits!$E$35))</f>
        <v/>
      </c>
    </row>
    <row r="37">
      <c r="A37" s="33">
        <f>IF(Produits!$A$36="","",Produits!$A$36)</f>
        <v/>
      </c>
      <c r="B37" s="34">
        <f>IF(Produits!$A$36="","",Produits!$C$36)</f>
        <v/>
      </c>
      <c r="C37" s="34">
        <f>IF(Produits!$A$36="","",Produits!$D$36)</f>
        <v/>
      </c>
      <c r="D37" s="32" t="n"/>
      <c r="E37" s="29" t="n"/>
      <c r="F37" s="29" t="n"/>
      <c r="G37" s="29" t="n"/>
      <c r="H37" s="32" t="n"/>
      <c r="I37" s="29" t="n"/>
      <c r="J37" s="29" t="n"/>
      <c r="K37" s="29" t="n"/>
      <c r="L37" s="32" t="n"/>
      <c r="M37" s="29" t="n"/>
      <c r="N37" s="29" t="n"/>
      <c r="O37" s="29" t="n"/>
      <c r="P37" s="32" t="n"/>
      <c r="Q37" s="29" t="n"/>
      <c r="R37" s="29" t="n"/>
      <c r="S37" s="29" t="n"/>
      <c r="T37" s="22">
        <f>IF(COUNT(F37,J37,N37,R37)=0,"",SUM(F37,J37,N37,R37))</f>
        <v/>
      </c>
      <c r="U37" s="22">
        <f>IF(COUNT(G37,K37,O37,S37)=0,"",SUM(G37,K37,O37,S37))</f>
        <v/>
      </c>
      <c r="V37" s="22">
        <f>IF(OR(T37="",U37=""),"",U37-T37)</f>
        <v/>
      </c>
      <c r="W37" s="22">
        <f>IF(Q37&lt;&gt;"",Q37,IF(M37&lt;&gt;"",M37,IF(I37&lt;&gt;"",I37,IF(E37&lt;&gt;"",E37,""))))</f>
        <v/>
      </c>
      <c r="X37" s="18">
        <f>IF(U37="","",U37*N(Produits!$E$36))</f>
        <v/>
      </c>
    </row>
    <row r="38" ht="20" customHeight="1">
      <c r="A38" s="23" t="inlineStr">
        <is>
          <t>CHAMBRE FROIDE NÉGATIVE</t>
        </is>
      </c>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row>
    <row r="39">
      <c r="A39" s="33">
        <f>IF(Produits!$A$38="","",Produits!$A$38)</f>
        <v/>
      </c>
      <c r="B39" s="34">
        <f>IF(Produits!$A$38="","",Produits!$C$38)</f>
        <v/>
      </c>
      <c r="C39" s="34">
        <f>IF(Produits!$A$38="","",Produits!$D$38)</f>
        <v/>
      </c>
      <c r="D39" s="32" t="n"/>
      <c r="E39" s="29" t="n"/>
      <c r="F39" s="29" t="n"/>
      <c r="G39" s="29" t="n"/>
      <c r="H39" s="32" t="n"/>
      <c r="I39" s="29" t="n"/>
      <c r="J39" s="29" t="n"/>
      <c r="K39" s="29" t="n"/>
      <c r="L39" s="32" t="n"/>
      <c r="M39" s="29" t="n"/>
      <c r="N39" s="29" t="n"/>
      <c r="O39" s="29" t="n"/>
      <c r="P39" s="32" t="n"/>
      <c r="Q39" s="29" t="n"/>
      <c r="R39" s="29" t="n"/>
      <c r="S39" s="29" t="n"/>
      <c r="T39" s="22">
        <f>IF(COUNT(F39,J39,N39,R39)=0,"",SUM(F39,J39,N39,R39))</f>
        <v/>
      </c>
      <c r="U39" s="22">
        <f>IF(COUNT(G39,K39,O39,S39)=0,"",SUM(G39,K39,O39,S39))</f>
        <v/>
      </c>
      <c r="V39" s="22">
        <f>IF(OR(T39="",U39=""),"",U39-T39)</f>
        <v/>
      </c>
      <c r="W39" s="22">
        <f>IF(Q39&lt;&gt;"",Q39,IF(M39&lt;&gt;"",M39,IF(I39&lt;&gt;"",I39,IF(E39&lt;&gt;"",E39,""))))</f>
        <v/>
      </c>
      <c r="X39" s="18">
        <f>IF(U39="","",U39*N(Produits!$E$38))</f>
        <v/>
      </c>
    </row>
    <row r="40">
      <c r="A40" s="33">
        <f>IF(Produits!$A$39="","",Produits!$A$39)</f>
        <v/>
      </c>
      <c r="B40" s="34">
        <f>IF(Produits!$A$39="","",Produits!$C$39)</f>
        <v/>
      </c>
      <c r="C40" s="34">
        <f>IF(Produits!$A$39="","",Produits!$D$39)</f>
        <v/>
      </c>
      <c r="D40" s="32" t="n"/>
      <c r="E40" s="29" t="n"/>
      <c r="F40" s="29" t="n"/>
      <c r="G40" s="29" t="n"/>
      <c r="H40" s="32" t="n"/>
      <c r="I40" s="29" t="n"/>
      <c r="J40" s="29" t="n"/>
      <c r="K40" s="29" t="n"/>
      <c r="L40" s="32" t="n"/>
      <c r="M40" s="29" t="n"/>
      <c r="N40" s="29" t="n"/>
      <c r="O40" s="29" t="n"/>
      <c r="P40" s="32" t="n"/>
      <c r="Q40" s="29" t="n"/>
      <c r="R40" s="29" t="n"/>
      <c r="S40" s="29" t="n"/>
      <c r="T40" s="22">
        <f>IF(COUNT(F40,J40,N40,R40)=0,"",SUM(F40,J40,N40,R40))</f>
        <v/>
      </c>
      <c r="U40" s="22">
        <f>IF(COUNT(G40,K40,O40,S40)=0,"",SUM(G40,K40,O40,S40))</f>
        <v/>
      </c>
      <c r="V40" s="22">
        <f>IF(OR(T40="",U40=""),"",U40-T40)</f>
        <v/>
      </c>
      <c r="W40" s="22">
        <f>IF(Q40&lt;&gt;"",Q40,IF(M40&lt;&gt;"",M40,IF(I40&lt;&gt;"",I40,IF(E40&lt;&gt;"",E40,""))))</f>
        <v/>
      </c>
      <c r="X40" s="18">
        <f>IF(U40="","",U40*N(Produits!$E$39))</f>
        <v/>
      </c>
    </row>
    <row r="41">
      <c r="A41" s="33">
        <f>IF(Produits!$A$40="","",Produits!$A$40)</f>
        <v/>
      </c>
      <c r="B41" s="34">
        <f>IF(Produits!$A$40="","",Produits!$C$40)</f>
        <v/>
      </c>
      <c r="C41" s="34">
        <f>IF(Produits!$A$40="","",Produits!$D$40)</f>
        <v/>
      </c>
      <c r="D41" s="32" t="n"/>
      <c r="E41" s="29" t="n"/>
      <c r="F41" s="29" t="n"/>
      <c r="G41" s="29" t="n"/>
      <c r="H41" s="32" t="n"/>
      <c r="I41" s="29" t="n"/>
      <c r="J41" s="29" t="n"/>
      <c r="K41" s="29" t="n"/>
      <c r="L41" s="32" t="n"/>
      <c r="M41" s="29" t="n"/>
      <c r="N41" s="29" t="n"/>
      <c r="O41" s="29" t="n"/>
      <c r="P41" s="32" t="n"/>
      <c r="Q41" s="29" t="n"/>
      <c r="R41" s="29" t="n"/>
      <c r="S41" s="29" t="n"/>
      <c r="T41" s="22">
        <f>IF(COUNT(F41,J41,N41,R41)=0,"",SUM(F41,J41,N41,R41))</f>
        <v/>
      </c>
      <c r="U41" s="22">
        <f>IF(COUNT(G41,K41,O41,S41)=0,"",SUM(G41,K41,O41,S41))</f>
        <v/>
      </c>
      <c r="V41" s="22">
        <f>IF(OR(T41="",U41=""),"",U41-T41)</f>
        <v/>
      </c>
      <c r="W41" s="22">
        <f>IF(Q41&lt;&gt;"",Q41,IF(M41&lt;&gt;"",M41,IF(I41&lt;&gt;"",I41,IF(E41&lt;&gt;"",E41,""))))</f>
        <v/>
      </c>
      <c r="X41" s="18">
        <f>IF(U41="","",U41*N(Produits!$E$40))</f>
        <v/>
      </c>
    </row>
    <row r="42">
      <c r="A42" s="33">
        <f>IF(Produits!$A$41="","",Produits!$A$41)</f>
        <v/>
      </c>
      <c r="B42" s="34">
        <f>IF(Produits!$A$41="","",Produits!$C$41)</f>
        <v/>
      </c>
      <c r="C42" s="34">
        <f>IF(Produits!$A$41="","",Produits!$D$41)</f>
        <v/>
      </c>
      <c r="D42" s="32" t="n"/>
      <c r="E42" s="29" t="n"/>
      <c r="F42" s="29" t="n"/>
      <c r="G42" s="29" t="n"/>
      <c r="H42" s="32" t="n"/>
      <c r="I42" s="29" t="n"/>
      <c r="J42" s="29" t="n"/>
      <c r="K42" s="29" t="n"/>
      <c r="L42" s="32" t="n"/>
      <c r="M42" s="29" t="n"/>
      <c r="N42" s="29" t="n"/>
      <c r="O42" s="29" t="n"/>
      <c r="P42" s="32" t="n"/>
      <c r="Q42" s="29" t="n"/>
      <c r="R42" s="29" t="n"/>
      <c r="S42" s="29" t="n"/>
      <c r="T42" s="22">
        <f>IF(COUNT(F42,J42,N42,R42)=0,"",SUM(F42,J42,N42,R42))</f>
        <v/>
      </c>
      <c r="U42" s="22">
        <f>IF(COUNT(G42,K42,O42,S42)=0,"",SUM(G42,K42,O42,S42))</f>
        <v/>
      </c>
      <c r="V42" s="22">
        <f>IF(OR(T42="",U42=""),"",U42-T42)</f>
        <v/>
      </c>
      <c r="W42" s="22">
        <f>IF(Q42&lt;&gt;"",Q42,IF(M42&lt;&gt;"",M42,IF(I42&lt;&gt;"",I42,IF(E42&lt;&gt;"",E42,""))))</f>
        <v/>
      </c>
      <c r="X42" s="18">
        <f>IF(U42="","",U42*N(Produits!$E$41))</f>
        <v/>
      </c>
    </row>
    <row r="43">
      <c r="A43" s="33">
        <f>IF(Produits!$A$42="","",Produits!$A$42)</f>
        <v/>
      </c>
      <c r="B43" s="34">
        <f>IF(Produits!$A$42="","",Produits!$C$42)</f>
        <v/>
      </c>
      <c r="C43" s="34">
        <f>IF(Produits!$A$42="","",Produits!$D$42)</f>
        <v/>
      </c>
      <c r="D43" s="32" t="n"/>
      <c r="E43" s="29" t="n"/>
      <c r="F43" s="29" t="n"/>
      <c r="G43" s="29" t="n"/>
      <c r="H43" s="32" t="n"/>
      <c r="I43" s="29" t="n"/>
      <c r="J43" s="29" t="n"/>
      <c r="K43" s="29" t="n"/>
      <c r="L43" s="32" t="n"/>
      <c r="M43" s="29" t="n"/>
      <c r="N43" s="29" t="n"/>
      <c r="O43" s="29" t="n"/>
      <c r="P43" s="32" t="n"/>
      <c r="Q43" s="29" t="n"/>
      <c r="R43" s="29" t="n"/>
      <c r="S43" s="29" t="n"/>
      <c r="T43" s="22">
        <f>IF(COUNT(F43,J43,N43,R43)=0,"",SUM(F43,J43,N43,R43))</f>
        <v/>
      </c>
      <c r="U43" s="22">
        <f>IF(COUNT(G43,K43,O43,S43)=0,"",SUM(G43,K43,O43,S43))</f>
        <v/>
      </c>
      <c r="V43" s="22">
        <f>IF(OR(T43="",U43=""),"",U43-T43)</f>
        <v/>
      </c>
      <c r="W43" s="22">
        <f>IF(Q43&lt;&gt;"",Q43,IF(M43&lt;&gt;"",M43,IF(I43&lt;&gt;"",I43,IF(E43&lt;&gt;"",E43,""))))</f>
        <v/>
      </c>
      <c r="X43" s="18">
        <f>IF(U43="","",U43*N(Produits!$E$42))</f>
        <v/>
      </c>
    </row>
    <row r="44">
      <c r="A44" s="33">
        <f>IF(Produits!$A$43="","",Produits!$A$43)</f>
        <v/>
      </c>
      <c r="B44" s="34">
        <f>IF(Produits!$A$43="","",Produits!$C$43)</f>
        <v/>
      </c>
      <c r="C44" s="34">
        <f>IF(Produits!$A$43="","",Produits!$D$43)</f>
        <v/>
      </c>
      <c r="D44" s="32" t="n"/>
      <c r="E44" s="29" t="n"/>
      <c r="F44" s="29" t="n"/>
      <c r="G44" s="29" t="n"/>
      <c r="H44" s="32" t="n"/>
      <c r="I44" s="29" t="n"/>
      <c r="J44" s="29" t="n"/>
      <c r="K44" s="29" t="n"/>
      <c r="L44" s="32" t="n"/>
      <c r="M44" s="29" t="n"/>
      <c r="N44" s="29" t="n"/>
      <c r="O44" s="29" t="n"/>
      <c r="P44" s="32" t="n"/>
      <c r="Q44" s="29" t="n"/>
      <c r="R44" s="29" t="n"/>
      <c r="S44" s="29" t="n"/>
      <c r="T44" s="22">
        <f>IF(COUNT(F44,J44,N44,R44)=0,"",SUM(F44,J44,N44,R44))</f>
        <v/>
      </c>
      <c r="U44" s="22">
        <f>IF(COUNT(G44,K44,O44,S44)=0,"",SUM(G44,K44,O44,S44))</f>
        <v/>
      </c>
      <c r="V44" s="22">
        <f>IF(OR(T44="",U44=""),"",U44-T44)</f>
        <v/>
      </c>
      <c r="W44" s="22">
        <f>IF(Q44&lt;&gt;"",Q44,IF(M44&lt;&gt;"",M44,IF(I44&lt;&gt;"",I44,IF(E44&lt;&gt;"",E44,""))))</f>
        <v/>
      </c>
      <c r="X44" s="18">
        <f>IF(U44="","",U44*N(Produits!$E$43))</f>
        <v/>
      </c>
    </row>
    <row r="45">
      <c r="A45" s="33">
        <f>IF(Produits!$A$44="","",Produits!$A$44)</f>
        <v/>
      </c>
      <c r="B45" s="34">
        <f>IF(Produits!$A$44="","",Produits!$C$44)</f>
        <v/>
      </c>
      <c r="C45" s="34">
        <f>IF(Produits!$A$44="","",Produits!$D$44)</f>
        <v/>
      </c>
      <c r="D45" s="32" t="n"/>
      <c r="E45" s="29" t="n"/>
      <c r="F45" s="29" t="n"/>
      <c r="G45" s="29" t="n"/>
      <c r="H45" s="32" t="n"/>
      <c r="I45" s="29" t="n"/>
      <c r="J45" s="29" t="n"/>
      <c r="K45" s="29" t="n"/>
      <c r="L45" s="32" t="n"/>
      <c r="M45" s="29" t="n"/>
      <c r="N45" s="29" t="n"/>
      <c r="O45" s="29" t="n"/>
      <c r="P45" s="32" t="n"/>
      <c r="Q45" s="29" t="n"/>
      <c r="R45" s="29" t="n"/>
      <c r="S45" s="29" t="n"/>
      <c r="T45" s="22">
        <f>IF(COUNT(F45,J45,N45,R45)=0,"",SUM(F45,J45,N45,R45))</f>
        <v/>
      </c>
      <c r="U45" s="22">
        <f>IF(COUNT(G45,K45,O45,S45)=0,"",SUM(G45,K45,O45,S45))</f>
        <v/>
      </c>
      <c r="V45" s="22">
        <f>IF(OR(T45="",U45=""),"",U45-T45)</f>
        <v/>
      </c>
      <c r="W45" s="22">
        <f>IF(Q45&lt;&gt;"",Q45,IF(M45&lt;&gt;"",M45,IF(I45&lt;&gt;"",I45,IF(E45&lt;&gt;"",E45,""))))</f>
        <v/>
      </c>
      <c r="X45" s="18">
        <f>IF(U45="","",U45*N(Produits!$E$44))</f>
        <v/>
      </c>
    </row>
    <row r="46">
      <c r="A46" s="33">
        <f>IF(Produits!$A$45="","",Produits!$A$45)</f>
        <v/>
      </c>
      <c r="B46" s="34">
        <f>IF(Produits!$A$45="","",Produits!$C$45)</f>
        <v/>
      </c>
      <c r="C46" s="34">
        <f>IF(Produits!$A$45="","",Produits!$D$45)</f>
        <v/>
      </c>
      <c r="D46" s="32" t="n"/>
      <c r="E46" s="29" t="n"/>
      <c r="F46" s="29" t="n"/>
      <c r="G46" s="29" t="n"/>
      <c r="H46" s="32" t="n"/>
      <c r="I46" s="29" t="n"/>
      <c r="J46" s="29" t="n"/>
      <c r="K46" s="29" t="n"/>
      <c r="L46" s="32" t="n"/>
      <c r="M46" s="29" t="n"/>
      <c r="N46" s="29" t="n"/>
      <c r="O46" s="29" t="n"/>
      <c r="P46" s="32" t="n"/>
      <c r="Q46" s="29" t="n"/>
      <c r="R46" s="29" t="n"/>
      <c r="S46" s="29" t="n"/>
      <c r="T46" s="22">
        <f>IF(COUNT(F46,J46,N46,R46)=0,"",SUM(F46,J46,N46,R46))</f>
        <v/>
      </c>
      <c r="U46" s="22">
        <f>IF(COUNT(G46,K46,O46,S46)=0,"",SUM(G46,K46,O46,S46))</f>
        <v/>
      </c>
      <c r="V46" s="22">
        <f>IF(OR(T46="",U46=""),"",U46-T46)</f>
        <v/>
      </c>
      <c r="W46" s="22">
        <f>IF(Q46&lt;&gt;"",Q46,IF(M46&lt;&gt;"",M46,IF(I46&lt;&gt;"",I46,IF(E46&lt;&gt;"",E46,""))))</f>
        <v/>
      </c>
      <c r="X46" s="18">
        <f>IF(U46="","",U46*N(Produits!$E$45))</f>
        <v/>
      </c>
    </row>
    <row r="47">
      <c r="A47" s="33">
        <f>IF(Produits!$A$46="","",Produits!$A$46)</f>
        <v/>
      </c>
      <c r="B47" s="34">
        <f>IF(Produits!$A$46="","",Produits!$C$46)</f>
        <v/>
      </c>
      <c r="C47" s="34">
        <f>IF(Produits!$A$46="","",Produits!$D$46)</f>
        <v/>
      </c>
      <c r="D47" s="32" t="n"/>
      <c r="E47" s="29" t="n"/>
      <c r="F47" s="29" t="n"/>
      <c r="G47" s="29" t="n"/>
      <c r="H47" s="32" t="n"/>
      <c r="I47" s="29" t="n"/>
      <c r="J47" s="29" t="n"/>
      <c r="K47" s="29" t="n"/>
      <c r="L47" s="32" t="n"/>
      <c r="M47" s="29" t="n"/>
      <c r="N47" s="29" t="n"/>
      <c r="O47" s="29" t="n"/>
      <c r="P47" s="32" t="n"/>
      <c r="Q47" s="29" t="n"/>
      <c r="R47" s="29" t="n"/>
      <c r="S47" s="29" t="n"/>
      <c r="T47" s="22">
        <f>IF(COUNT(F47,J47,N47,R47)=0,"",SUM(F47,J47,N47,R47))</f>
        <v/>
      </c>
      <c r="U47" s="22">
        <f>IF(COUNT(G47,K47,O47,S47)=0,"",SUM(G47,K47,O47,S47))</f>
        <v/>
      </c>
      <c r="V47" s="22">
        <f>IF(OR(T47="",U47=""),"",U47-T47)</f>
        <v/>
      </c>
      <c r="W47" s="22">
        <f>IF(Q47&lt;&gt;"",Q47,IF(M47&lt;&gt;"",M47,IF(I47&lt;&gt;"",I47,IF(E47&lt;&gt;"",E47,""))))</f>
        <v/>
      </c>
      <c r="X47" s="18">
        <f>IF(U47="","",U47*N(Produits!$E$46))</f>
        <v/>
      </c>
    </row>
    <row r="48">
      <c r="A48" s="33">
        <f>IF(Produits!$A$47="","",Produits!$A$47)</f>
        <v/>
      </c>
      <c r="B48" s="34">
        <f>IF(Produits!$A$47="","",Produits!$C$47)</f>
        <v/>
      </c>
      <c r="C48" s="34">
        <f>IF(Produits!$A$47="","",Produits!$D$47)</f>
        <v/>
      </c>
      <c r="D48" s="32" t="n"/>
      <c r="E48" s="29" t="n"/>
      <c r="F48" s="29" t="n"/>
      <c r="G48" s="29" t="n"/>
      <c r="H48" s="32" t="n"/>
      <c r="I48" s="29" t="n"/>
      <c r="J48" s="29" t="n"/>
      <c r="K48" s="29" t="n"/>
      <c r="L48" s="32" t="n"/>
      <c r="M48" s="29" t="n"/>
      <c r="N48" s="29" t="n"/>
      <c r="O48" s="29" t="n"/>
      <c r="P48" s="32" t="n"/>
      <c r="Q48" s="29" t="n"/>
      <c r="R48" s="29" t="n"/>
      <c r="S48" s="29" t="n"/>
      <c r="T48" s="22">
        <f>IF(COUNT(F48,J48,N48,R48)=0,"",SUM(F48,J48,N48,R48))</f>
        <v/>
      </c>
      <c r="U48" s="22">
        <f>IF(COUNT(G48,K48,O48,S48)=0,"",SUM(G48,K48,O48,S48))</f>
        <v/>
      </c>
      <c r="V48" s="22">
        <f>IF(OR(T48="",U48=""),"",U48-T48)</f>
        <v/>
      </c>
      <c r="W48" s="22">
        <f>IF(Q48&lt;&gt;"",Q48,IF(M48&lt;&gt;"",M48,IF(I48&lt;&gt;"",I48,IF(E48&lt;&gt;"",E48,""))))</f>
        <v/>
      </c>
      <c r="X48" s="18">
        <f>IF(U48="","",U48*N(Produits!$E$47))</f>
        <v/>
      </c>
    </row>
    <row r="49">
      <c r="A49" s="33">
        <f>IF(Produits!$A$48="","",Produits!$A$48)</f>
        <v/>
      </c>
      <c r="B49" s="34">
        <f>IF(Produits!$A$48="","",Produits!$C$48)</f>
        <v/>
      </c>
      <c r="C49" s="34">
        <f>IF(Produits!$A$48="","",Produits!$D$48)</f>
        <v/>
      </c>
      <c r="D49" s="32" t="n"/>
      <c r="E49" s="29" t="n"/>
      <c r="F49" s="29" t="n"/>
      <c r="G49" s="29" t="n"/>
      <c r="H49" s="32" t="n"/>
      <c r="I49" s="29" t="n"/>
      <c r="J49" s="29" t="n"/>
      <c r="K49" s="29" t="n"/>
      <c r="L49" s="32" t="n"/>
      <c r="M49" s="29" t="n"/>
      <c r="N49" s="29" t="n"/>
      <c r="O49" s="29" t="n"/>
      <c r="P49" s="32" t="n"/>
      <c r="Q49" s="29" t="n"/>
      <c r="R49" s="29" t="n"/>
      <c r="S49" s="29" t="n"/>
      <c r="T49" s="22">
        <f>IF(COUNT(F49,J49,N49,R49)=0,"",SUM(F49,J49,N49,R49))</f>
        <v/>
      </c>
      <c r="U49" s="22">
        <f>IF(COUNT(G49,K49,O49,S49)=0,"",SUM(G49,K49,O49,S49))</f>
        <v/>
      </c>
      <c r="V49" s="22">
        <f>IF(OR(T49="",U49=""),"",U49-T49)</f>
        <v/>
      </c>
      <c r="W49" s="22">
        <f>IF(Q49&lt;&gt;"",Q49,IF(M49&lt;&gt;"",M49,IF(I49&lt;&gt;"",I49,IF(E49&lt;&gt;"",E49,""))))</f>
        <v/>
      </c>
      <c r="X49" s="18">
        <f>IF(U49="","",U49*N(Produits!$E$48))</f>
        <v/>
      </c>
    </row>
    <row r="50">
      <c r="A50" s="33">
        <f>IF(Produits!$A$49="","",Produits!$A$49)</f>
        <v/>
      </c>
      <c r="B50" s="34">
        <f>IF(Produits!$A$49="","",Produits!$C$49)</f>
        <v/>
      </c>
      <c r="C50" s="34">
        <f>IF(Produits!$A$49="","",Produits!$D$49)</f>
        <v/>
      </c>
      <c r="D50" s="32" t="n"/>
      <c r="E50" s="29" t="n"/>
      <c r="F50" s="29" t="n"/>
      <c r="G50" s="29" t="n"/>
      <c r="H50" s="32" t="n"/>
      <c r="I50" s="29" t="n"/>
      <c r="J50" s="29" t="n"/>
      <c r="K50" s="29" t="n"/>
      <c r="L50" s="32" t="n"/>
      <c r="M50" s="29" t="n"/>
      <c r="N50" s="29" t="n"/>
      <c r="O50" s="29" t="n"/>
      <c r="P50" s="32" t="n"/>
      <c r="Q50" s="29" t="n"/>
      <c r="R50" s="29" t="n"/>
      <c r="S50" s="29" t="n"/>
      <c r="T50" s="22">
        <f>IF(COUNT(F50,J50,N50,R50)=0,"",SUM(F50,J50,N50,R50))</f>
        <v/>
      </c>
      <c r="U50" s="22">
        <f>IF(COUNT(G50,K50,O50,S50)=0,"",SUM(G50,K50,O50,S50))</f>
        <v/>
      </c>
      <c r="V50" s="22">
        <f>IF(OR(T50="",U50=""),"",U50-T50)</f>
        <v/>
      </c>
      <c r="W50" s="22">
        <f>IF(Q50&lt;&gt;"",Q50,IF(M50&lt;&gt;"",M50,IF(I50&lt;&gt;"",I50,IF(E50&lt;&gt;"",E50,""))))</f>
        <v/>
      </c>
      <c r="X50" s="18">
        <f>IF(U50="","",U50*N(Produits!$E$49))</f>
        <v/>
      </c>
    </row>
    <row r="51">
      <c r="A51" s="33">
        <f>IF(Produits!$A$50="","",Produits!$A$50)</f>
        <v/>
      </c>
      <c r="B51" s="34">
        <f>IF(Produits!$A$50="","",Produits!$C$50)</f>
        <v/>
      </c>
      <c r="C51" s="34">
        <f>IF(Produits!$A$50="","",Produits!$D$50)</f>
        <v/>
      </c>
      <c r="D51" s="32" t="n"/>
      <c r="E51" s="29" t="n"/>
      <c r="F51" s="29" t="n"/>
      <c r="G51" s="29" t="n"/>
      <c r="H51" s="32" t="n"/>
      <c r="I51" s="29" t="n"/>
      <c r="J51" s="29" t="n"/>
      <c r="K51" s="29" t="n"/>
      <c r="L51" s="32" t="n"/>
      <c r="M51" s="29" t="n"/>
      <c r="N51" s="29" t="n"/>
      <c r="O51" s="29" t="n"/>
      <c r="P51" s="32" t="n"/>
      <c r="Q51" s="29" t="n"/>
      <c r="R51" s="29" t="n"/>
      <c r="S51" s="29" t="n"/>
      <c r="T51" s="22">
        <f>IF(COUNT(F51,J51,N51,R51)=0,"",SUM(F51,J51,N51,R51))</f>
        <v/>
      </c>
      <c r="U51" s="22">
        <f>IF(COUNT(G51,K51,O51,S51)=0,"",SUM(G51,K51,O51,S51))</f>
        <v/>
      </c>
      <c r="V51" s="22">
        <f>IF(OR(T51="",U51=""),"",U51-T51)</f>
        <v/>
      </c>
      <c r="W51" s="22">
        <f>IF(Q51&lt;&gt;"",Q51,IF(M51&lt;&gt;"",M51,IF(I51&lt;&gt;"",I51,IF(E51&lt;&gt;"",E51,""))))</f>
        <v/>
      </c>
      <c r="X51" s="18">
        <f>IF(U51="","",U51*N(Produits!$E$50))</f>
        <v/>
      </c>
    </row>
    <row r="52">
      <c r="A52" s="33">
        <f>IF(Produits!$A$51="","",Produits!$A$51)</f>
        <v/>
      </c>
      <c r="B52" s="34">
        <f>IF(Produits!$A$51="","",Produits!$C$51)</f>
        <v/>
      </c>
      <c r="C52" s="34">
        <f>IF(Produits!$A$51="","",Produits!$D$51)</f>
        <v/>
      </c>
      <c r="D52" s="32" t="n"/>
      <c r="E52" s="29" t="n"/>
      <c r="F52" s="29" t="n"/>
      <c r="G52" s="29" t="n"/>
      <c r="H52" s="32" t="n"/>
      <c r="I52" s="29" t="n"/>
      <c r="J52" s="29" t="n"/>
      <c r="K52" s="29" t="n"/>
      <c r="L52" s="32" t="n"/>
      <c r="M52" s="29" t="n"/>
      <c r="N52" s="29" t="n"/>
      <c r="O52" s="29" t="n"/>
      <c r="P52" s="32" t="n"/>
      <c r="Q52" s="29" t="n"/>
      <c r="R52" s="29" t="n"/>
      <c r="S52" s="29" t="n"/>
      <c r="T52" s="22">
        <f>IF(COUNT(F52,J52,N52,R52)=0,"",SUM(F52,J52,N52,R52))</f>
        <v/>
      </c>
      <c r="U52" s="22">
        <f>IF(COUNT(G52,K52,O52,S52)=0,"",SUM(G52,K52,O52,S52))</f>
        <v/>
      </c>
      <c r="V52" s="22">
        <f>IF(OR(T52="",U52=""),"",U52-T52)</f>
        <v/>
      </c>
      <c r="W52" s="22">
        <f>IF(Q52&lt;&gt;"",Q52,IF(M52&lt;&gt;"",M52,IF(I52&lt;&gt;"",I52,IF(E52&lt;&gt;"",E52,""))))</f>
        <v/>
      </c>
      <c r="X52" s="18">
        <f>IF(U52="","",U52*N(Produits!$E$51))</f>
        <v/>
      </c>
    </row>
    <row r="53">
      <c r="A53" s="33">
        <f>IF(Produits!$A$52="","",Produits!$A$52)</f>
        <v/>
      </c>
      <c r="B53" s="34">
        <f>IF(Produits!$A$52="","",Produits!$C$52)</f>
        <v/>
      </c>
      <c r="C53" s="34">
        <f>IF(Produits!$A$52="","",Produits!$D$52)</f>
        <v/>
      </c>
      <c r="D53" s="32" t="n"/>
      <c r="E53" s="29" t="n"/>
      <c r="F53" s="29" t="n"/>
      <c r="G53" s="29" t="n"/>
      <c r="H53" s="32" t="n"/>
      <c r="I53" s="29" t="n"/>
      <c r="J53" s="29" t="n"/>
      <c r="K53" s="29" t="n"/>
      <c r="L53" s="32" t="n"/>
      <c r="M53" s="29" t="n"/>
      <c r="N53" s="29" t="n"/>
      <c r="O53" s="29" t="n"/>
      <c r="P53" s="32" t="n"/>
      <c r="Q53" s="29" t="n"/>
      <c r="R53" s="29" t="n"/>
      <c r="S53" s="29" t="n"/>
      <c r="T53" s="22">
        <f>IF(COUNT(F53,J53,N53,R53)=0,"",SUM(F53,J53,N53,R53))</f>
        <v/>
      </c>
      <c r="U53" s="22">
        <f>IF(COUNT(G53,K53,O53,S53)=0,"",SUM(G53,K53,O53,S53))</f>
        <v/>
      </c>
      <c r="V53" s="22">
        <f>IF(OR(T53="",U53=""),"",U53-T53)</f>
        <v/>
      </c>
      <c r="W53" s="22">
        <f>IF(Q53&lt;&gt;"",Q53,IF(M53&lt;&gt;"",M53,IF(I53&lt;&gt;"",I53,IF(E53&lt;&gt;"",E53,""))))</f>
        <v/>
      </c>
      <c r="X53" s="18">
        <f>IF(U53="","",U53*N(Produits!$E$52))</f>
        <v/>
      </c>
    </row>
    <row r="54" ht="20" customHeight="1">
      <c r="A54" s="23" t="inlineStr">
        <is>
          <t>MÉNAGER</t>
        </is>
      </c>
      <c r="B54" s="10" t="n"/>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row>
    <row r="55">
      <c r="A55" s="33">
        <f>IF(Produits!$A$54="","",Produits!$A$54)</f>
        <v/>
      </c>
      <c r="B55" s="34">
        <f>IF(Produits!$A$54="","",Produits!$C$54)</f>
        <v/>
      </c>
      <c r="C55" s="34">
        <f>IF(Produits!$A$54="","",Produits!$D$54)</f>
        <v/>
      </c>
      <c r="D55" s="32" t="n"/>
      <c r="E55" s="29" t="n"/>
      <c r="F55" s="29" t="n"/>
      <c r="G55" s="29" t="n"/>
      <c r="H55" s="32" t="n"/>
      <c r="I55" s="29" t="n"/>
      <c r="J55" s="29" t="n"/>
      <c r="K55" s="29" t="n"/>
      <c r="L55" s="32" t="n"/>
      <c r="M55" s="29" t="n"/>
      <c r="N55" s="29" t="n"/>
      <c r="O55" s="29" t="n"/>
      <c r="P55" s="32" t="n"/>
      <c r="Q55" s="29" t="n"/>
      <c r="R55" s="29" t="n"/>
      <c r="S55" s="29" t="n"/>
      <c r="T55" s="22">
        <f>IF(COUNT(F55,J55,N55,R55)=0,"",SUM(F55,J55,N55,R55))</f>
        <v/>
      </c>
      <c r="U55" s="22">
        <f>IF(COUNT(G55,K55,O55,S55)=0,"",SUM(G55,K55,O55,S55))</f>
        <v/>
      </c>
      <c r="V55" s="22">
        <f>IF(OR(T55="",U55=""),"",U55-T55)</f>
        <v/>
      </c>
      <c r="W55" s="22">
        <f>IF(Q55&lt;&gt;"",Q55,IF(M55&lt;&gt;"",M55,IF(I55&lt;&gt;"",I55,IF(E55&lt;&gt;"",E55,""))))</f>
        <v/>
      </c>
      <c r="X55" s="18">
        <f>IF(U55="","",U55*N(Produits!$E$54))</f>
        <v/>
      </c>
    </row>
    <row r="56">
      <c r="A56" s="33">
        <f>IF(Produits!$A$55="","",Produits!$A$55)</f>
        <v/>
      </c>
      <c r="B56" s="34">
        <f>IF(Produits!$A$55="","",Produits!$C$55)</f>
        <v/>
      </c>
      <c r="C56" s="34">
        <f>IF(Produits!$A$55="","",Produits!$D$55)</f>
        <v/>
      </c>
      <c r="D56" s="32" t="n"/>
      <c r="E56" s="29" t="n"/>
      <c r="F56" s="29" t="n"/>
      <c r="G56" s="29" t="n"/>
      <c r="H56" s="32" t="n"/>
      <c r="I56" s="29" t="n"/>
      <c r="J56" s="29" t="n"/>
      <c r="K56" s="29" t="n"/>
      <c r="L56" s="32" t="n"/>
      <c r="M56" s="29" t="n"/>
      <c r="N56" s="29" t="n"/>
      <c r="O56" s="29" t="n"/>
      <c r="P56" s="32" t="n"/>
      <c r="Q56" s="29" t="n"/>
      <c r="R56" s="29" t="n"/>
      <c r="S56" s="29" t="n"/>
      <c r="T56" s="22">
        <f>IF(COUNT(F56,J56,N56,R56)=0,"",SUM(F56,J56,N56,R56))</f>
        <v/>
      </c>
      <c r="U56" s="22">
        <f>IF(COUNT(G56,K56,O56,S56)=0,"",SUM(G56,K56,O56,S56))</f>
        <v/>
      </c>
      <c r="V56" s="22">
        <f>IF(OR(T56="",U56=""),"",U56-T56)</f>
        <v/>
      </c>
      <c r="W56" s="22">
        <f>IF(Q56&lt;&gt;"",Q56,IF(M56&lt;&gt;"",M56,IF(I56&lt;&gt;"",I56,IF(E56&lt;&gt;"",E56,""))))</f>
        <v/>
      </c>
      <c r="X56" s="18">
        <f>IF(U56="","",U56*N(Produits!$E$55))</f>
        <v/>
      </c>
    </row>
    <row r="57">
      <c r="A57" s="33">
        <f>IF(Produits!$A$56="","",Produits!$A$56)</f>
        <v/>
      </c>
      <c r="B57" s="34">
        <f>IF(Produits!$A$56="","",Produits!$C$56)</f>
        <v/>
      </c>
      <c r="C57" s="34">
        <f>IF(Produits!$A$56="","",Produits!$D$56)</f>
        <v/>
      </c>
      <c r="D57" s="32" t="n"/>
      <c r="E57" s="29" t="n"/>
      <c r="F57" s="29" t="n"/>
      <c r="G57" s="29" t="n"/>
      <c r="H57" s="32" t="n"/>
      <c r="I57" s="29" t="n"/>
      <c r="J57" s="29" t="n"/>
      <c r="K57" s="29" t="n"/>
      <c r="L57" s="32" t="n"/>
      <c r="M57" s="29" t="n"/>
      <c r="N57" s="29" t="n"/>
      <c r="O57" s="29" t="n"/>
      <c r="P57" s="32" t="n"/>
      <c r="Q57" s="29" t="n"/>
      <c r="R57" s="29" t="n"/>
      <c r="S57" s="29" t="n"/>
      <c r="T57" s="22">
        <f>IF(COUNT(F57,J57,N57,R57)=0,"",SUM(F57,J57,N57,R57))</f>
        <v/>
      </c>
      <c r="U57" s="22">
        <f>IF(COUNT(G57,K57,O57,S57)=0,"",SUM(G57,K57,O57,S57))</f>
        <v/>
      </c>
      <c r="V57" s="22">
        <f>IF(OR(T57="",U57=""),"",U57-T57)</f>
        <v/>
      </c>
      <c r="W57" s="22">
        <f>IF(Q57&lt;&gt;"",Q57,IF(M57&lt;&gt;"",M57,IF(I57&lt;&gt;"",I57,IF(E57&lt;&gt;"",E57,""))))</f>
        <v/>
      </c>
      <c r="X57" s="18">
        <f>IF(U57="","",U57*N(Produits!$E$56))</f>
        <v/>
      </c>
    </row>
    <row r="58">
      <c r="A58" s="33">
        <f>IF(Produits!$A$57="","",Produits!$A$57)</f>
        <v/>
      </c>
      <c r="B58" s="34">
        <f>IF(Produits!$A$57="","",Produits!$C$57)</f>
        <v/>
      </c>
      <c r="C58" s="34">
        <f>IF(Produits!$A$57="","",Produits!$D$57)</f>
        <v/>
      </c>
      <c r="D58" s="32" t="n"/>
      <c r="E58" s="29" t="n"/>
      <c r="F58" s="29" t="n"/>
      <c r="G58" s="29" t="n"/>
      <c r="H58" s="32" t="n"/>
      <c r="I58" s="29" t="n"/>
      <c r="J58" s="29" t="n"/>
      <c r="K58" s="29" t="n"/>
      <c r="L58" s="32" t="n"/>
      <c r="M58" s="29" t="n"/>
      <c r="N58" s="29" t="n"/>
      <c r="O58" s="29" t="n"/>
      <c r="P58" s="32" t="n"/>
      <c r="Q58" s="29" t="n"/>
      <c r="R58" s="29" t="n"/>
      <c r="S58" s="29" t="n"/>
      <c r="T58" s="22">
        <f>IF(COUNT(F58,J58,N58,R58)=0,"",SUM(F58,J58,N58,R58))</f>
        <v/>
      </c>
      <c r="U58" s="22">
        <f>IF(COUNT(G58,K58,O58,S58)=0,"",SUM(G58,K58,O58,S58))</f>
        <v/>
      </c>
      <c r="V58" s="22">
        <f>IF(OR(T58="",U58=""),"",U58-T58)</f>
        <v/>
      </c>
      <c r="W58" s="22">
        <f>IF(Q58&lt;&gt;"",Q58,IF(M58&lt;&gt;"",M58,IF(I58&lt;&gt;"",I58,IF(E58&lt;&gt;"",E58,""))))</f>
        <v/>
      </c>
      <c r="X58" s="18">
        <f>IF(U58="","",U58*N(Produits!$E$57))</f>
        <v/>
      </c>
    </row>
    <row r="59">
      <c r="A59" s="33">
        <f>IF(Produits!$A$58="","",Produits!$A$58)</f>
        <v/>
      </c>
      <c r="B59" s="34">
        <f>IF(Produits!$A$58="","",Produits!$C$58)</f>
        <v/>
      </c>
      <c r="C59" s="34">
        <f>IF(Produits!$A$58="","",Produits!$D$58)</f>
        <v/>
      </c>
      <c r="D59" s="32" t="n"/>
      <c r="E59" s="29" t="n"/>
      <c r="F59" s="29" t="n"/>
      <c r="G59" s="29" t="n"/>
      <c r="H59" s="32" t="n"/>
      <c r="I59" s="29" t="n"/>
      <c r="J59" s="29" t="n"/>
      <c r="K59" s="29" t="n"/>
      <c r="L59" s="32" t="n"/>
      <c r="M59" s="29" t="n"/>
      <c r="N59" s="29" t="n"/>
      <c r="O59" s="29" t="n"/>
      <c r="P59" s="32" t="n"/>
      <c r="Q59" s="29" t="n"/>
      <c r="R59" s="29" t="n"/>
      <c r="S59" s="29" t="n"/>
      <c r="T59" s="22">
        <f>IF(COUNT(F59,J59,N59,R59)=0,"",SUM(F59,J59,N59,R59))</f>
        <v/>
      </c>
      <c r="U59" s="22">
        <f>IF(COUNT(G59,K59,O59,S59)=0,"",SUM(G59,K59,O59,S59))</f>
        <v/>
      </c>
      <c r="V59" s="22">
        <f>IF(OR(T59="",U59=""),"",U59-T59)</f>
        <v/>
      </c>
      <c r="W59" s="22">
        <f>IF(Q59&lt;&gt;"",Q59,IF(M59&lt;&gt;"",M59,IF(I59&lt;&gt;"",I59,IF(E59&lt;&gt;"",E59,""))))</f>
        <v/>
      </c>
      <c r="X59" s="18">
        <f>IF(U59="","",U59*N(Produits!$E$58))</f>
        <v/>
      </c>
    </row>
    <row r="60">
      <c r="A60" s="33">
        <f>IF(Produits!$A$59="","",Produits!$A$59)</f>
        <v/>
      </c>
      <c r="B60" s="34">
        <f>IF(Produits!$A$59="","",Produits!$C$59)</f>
        <v/>
      </c>
      <c r="C60" s="34">
        <f>IF(Produits!$A$59="","",Produits!$D$59)</f>
        <v/>
      </c>
      <c r="D60" s="32" t="n"/>
      <c r="E60" s="29" t="n"/>
      <c r="F60" s="29" t="n"/>
      <c r="G60" s="29" t="n"/>
      <c r="H60" s="32" t="n"/>
      <c r="I60" s="29" t="n"/>
      <c r="J60" s="29" t="n"/>
      <c r="K60" s="29" t="n"/>
      <c r="L60" s="32" t="n"/>
      <c r="M60" s="29" t="n"/>
      <c r="N60" s="29" t="n"/>
      <c r="O60" s="29" t="n"/>
      <c r="P60" s="32" t="n"/>
      <c r="Q60" s="29" t="n"/>
      <c r="R60" s="29" t="n"/>
      <c r="S60" s="29" t="n"/>
      <c r="T60" s="22">
        <f>IF(COUNT(F60,J60,N60,R60)=0,"",SUM(F60,J60,N60,R60))</f>
        <v/>
      </c>
      <c r="U60" s="22">
        <f>IF(COUNT(G60,K60,O60,S60)=0,"",SUM(G60,K60,O60,S60))</f>
        <v/>
      </c>
      <c r="V60" s="22">
        <f>IF(OR(T60="",U60=""),"",U60-T60)</f>
        <v/>
      </c>
      <c r="W60" s="22">
        <f>IF(Q60&lt;&gt;"",Q60,IF(M60&lt;&gt;"",M60,IF(I60&lt;&gt;"",I60,IF(E60&lt;&gt;"",E60,""))))</f>
        <v/>
      </c>
      <c r="X60" s="18">
        <f>IF(U60="","",U60*N(Produits!$E$59))</f>
        <v/>
      </c>
    </row>
    <row r="61">
      <c r="A61" s="33">
        <f>IF(Produits!$A$60="","",Produits!$A$60)</f>
        <v/>
      </c>
      <c r="B61" s="34">
        <f>IF(Produits!$A$60="","",Produits!$C$60)</f>
        <v/>
      </c>
      <c r="C61" s="34">
        <f>IF(Produits!$A$60="","",Produits!$D$60)</f>
        <v/>
      </c>
      <c r="D61" s="32" t="n"/>
      <c r="E61" s="29" t="n"/>
      <c r="F61" s="29" t="n"/>
      <c r="G61" s="29" t="n"/>
      <c r="H61" s="32" t="n"/>
      <c r="I61" s="29" t="n"/>
      <c r="J61" s="29" t="n"/>
      <c r="K61" s="29" t="n"/>
      <c r="L61" s="32" t="n"/>
      <c r="M61" s="29" t="n"/>
      <c r="N61" s="29" t="n"/>
      <c r="O61" s="29" t="n"/>
      <c r="P61" s="32" t="n"/>
      <c r="Q61" s="29" t="n"/>
      <c r="R61" s="29" t="n"/>
      <c r="S61" s="29" t="n"/>
      <c r="T61" s="22">
        <f>IF(COUNT(F61,J61,N61,R61)=0,"",SUM(F61,J61,N61,R61))</f>
        <v/>
      </c>
      <c r="U61" s="22">
        <f>IF(COUNT(G61,K61,O61,S61)=0,"",SUM(G61,K61,O61,S61))</f>
        <v/>
      </c>
      <c r="V61" s="22">
        <f>IF(OR(T61="",U61=""),"",U61-T61)</f>
        <v/>
      </c>
      <c r="W61" s="22">
        <f>IF(Q61&lt;&gt;"",Q61,IF(M61&lt;&gt;"",M61,IF(I61&lt;&gt;"",I61,IF(E61&lt;&gt;"",E61,""))))</f>
        <v/>
      </c>
      <c r="X61" s="18">
        <f>IF(U61="","",U61*N(Produits!$E$60))</f>
        <v/>
      </c>
    </row>
    <row r="62">
      <c r="A62" s="33">
        <f>IF(Produits!$A$61="","",Produits!$A$61)</f>
        <v/>
      </c>
      <c r="B62" s="34">
        <f>IF(Produits!$A$61="","",Produits!$C$61)</f>
        <v/>
      </c>
      <c r="C62" s="34">
        <f>IF(Produits!$A$61="","",Produits!$D$61)</f>
        <v/>
      </c>
      <c r="D62" s="32" t="n"/>
      <c r="E62" s="29" t="n"/>
      <c r="F62" s="29" t="n"/>
      <c r="G62" s="29" t="n"/>
      <c r="H62" s="32" t="n"/>
      <c r="I62" s="29" t="n"/>
      <c r="J62" s="29" t="n"/>
      <c r="K62" s="29" t="n"/>
      <c r="L62" s="32" t="n"/>
      <c r="M62" s="29" t="n"/>
      <c r="N62" s="29" t="n"/>
      <c r="O62" s="29" t="n"/>
      <c r="P62" s="32" t="n"/>
      <c r="Q62" s="29" t="n"/>
      <c r="R62" s="29" t="n"/>
      <c r="S62" s="29" t="n"/>
      <c r="T62" s="22">
        <f>IF(COUNT(F62,J62,N62,R62)=0,"",SUM(F62,J62,N62,R62))</f>
        <v/>
      </c>
      <c r="U62" s="22">
        <f>IF(COUNT(G62,K62,O62,S62)=0,"",SUM(G62,K62,O62,S62))</f>
        <v/>
      </c>
      <c r="V62" s="22">
        <f>IF(OR(T62="",U62=""),"",U62-T62)</f>
        <v/>
      </c>
      <c r="W62" s="22">
        <f>IF(Q62&lt;&gt;"",Q62,IF(M62&lt;&gt;"",M62,IF(I62&lt;&gt;"",I62,IF(E62&lt;&gt;"",E62,""))))</f>
        <v/>
      </c>
      <c r="X62" s="18">
        <f>IF(U62="","",U62*N(Produits!$E$61))</f>
        <v/>
      </c>
    </row>
    <row r="63">
      <c r="A63" s="33">
        <f>IF(Produits!$A$62="","",Produits!$A$62)</f>
        <v/>
      </c>
      <c r="B63" s="34">
        <f>IF(Produits!$A$62="","",Produits!$C$62)</f>
        <v/>
      </c>
      <c r="C63" s="34">
        <f>IF(Produits!$A$62="","",Produits!$D$62)</f>
        <v/>
      </c>
      <c r="D63" s="32" t="n"/>
      <c r="E63" s="29" t="n"/>
      <c r="F63" s="29" t="n"/>
      <c r="G63" s="29" t="n"/>
      <c r="H63" s="32" t="n"/>
      <c r="I63" s="29" t="n"/>
      <c r="J63" s="29" t="n"/>
      <c r="K63" s="29" t="n"/>
      <c r="L63" s="32" t="n"/>
      <c r="M63" s="29" t="n"/>
      <c r="N63" s="29" t="n"/>
      <c r="O63" s="29" t="n"/>
      <c r="P63" s="32" t="n"/>
      <c r="Q63" s="29" t="n"/>
      <c r="R63" s="29" t="n"/>
      <c r="S63" s="29" t="n"/>
      <c r="T63" s="22">
        <f>IF(COUNT(F63,J63,N63,R63)=0,"",SUM(F63,J63,N63,R63))</f>
        <v/>
      </c>
      <c r="U63" s="22">
        <f>IF(COUNT(G63,K63,O63,S63)=0,"",SUM(G63,K63,O63,S63))</f>
        <v/>
      </c>
      <c r="V63" s="22">
        <f>IF(OR(T63="",U63=""),"",U63-T63)</f>
        <v/>
      </c>
      <c r="W63" s="22">
        <f>IF(Q63&lt;&gt;"",Q63,IF(M63&lt;&gt;"",M63,IF(I63&lt;&gt;"",I63,IF(E63&lt;&gt;"",E63,""))))</f>
        <v/>
      </c>
      <c r="X63" s="18">
        <f>IF(U63="","",U63*N(Produits!$E$62))</f>
        <v/>
      </c>
    </row>
    <row r="64">
      <c r="A64" s="33">
        <f>IF(Produits!$A$63="","",Produits!$A$63)</f>
        <v/>
      </c>
      <c r="B64" s="34">
        <f>IF(Produits!$A$63="","",Produits!$C$63)</f>
        <v/>
      </c>
      <c r="C64" s="34">
        <f>IF(Produits!$A$63="","",Produits!$D$63)</f>
        <v/>
      </c>
      <c r="D64" s="32" t="n"/>
      <c r="E64" s="29" t="n"/>
      <c r="F64" s="29" t="n"/>
      <c r="G64" s="29" t="n"/>
      <c r="H64" s="32" t="n"/>
      <c r="I64" s="29" t="n"/>
      <c r="J64" s="29" t="n"/>
      <c r="K64" s="29" t="n"/>
      <c r="L64" s="32" t="n"/>
      <c r="M64" s="29" t="n"/>
      <c r="N64" s="29" t="n"/>
      <c r="O64" s="29" t="n"/>
      <c r="P64" s="32" t="n"/>
      <c r="Q64" s="29" t="n"/>
      <c r="R64" s="29" t="n"/>
      <c r="S64" s="29" t="n"/>
      <c r="T64" s="22">
        <f>IF(COUNT(F64,J64,N64,R64)=0,"",SUM(F64,J64,N64,R64))</f>
        <v/>
      </c>
      <c r="U64" s="22">
        <f>IF(COUNT(G64,K64,O64,S64)=0,"",SUM(G64,K64,O64,S64))</f>
        <v/>
      </c>
      <c r="V64" s="22">
        <f>IF(OR(T64="",U64=""),"",U64-T64)</f>
        <v/>
      </c>
      <c r="W64" s="22">
        <f>IF(Q64&lt;&gt;"",Q64,IF(M64&lt;&gt;"",M64,IF(I64&lt;&gt;"",I64,IF(E64&lt;&gt;"",E64,""))))</f>
        <v/>
      </c>
      <c r="X64" s="18">
        <f>IF(U64="","",U64*N(Produits!$E$63))</f>
        <v/>
      </c>
    </row>
    <row r="65">
      <c r="A65" s="33">
        <f>IF(Produits!$A$64="","",Produits!$A$64)</f>
        <v/>
      </c>
      <c r="B65" s="34">
        <f>IF(Produits!$A$64="","",Produits!$C$64)</f>
        <v/>
      </c>
      <c r="C65" s="34">
        <f>IF(Produits!$A$64="","",Produits!$D$64)</f>
        <v/>
      </c>
      <c r="D65" s="32" t="n"/>
      <c r="E65" s="29" t="n"/>
      <c r="F65" s="29" t="n"/>
      <c r="G65" s="29" t="n"/>
      <c r="H65" s="32" t="n"/>
      <c r="I65" s="29" t="n"/>
      <c r="J65" s="29" t="n"/>
      <c r="K65" s="29" t="n"/>
      <c r="L65" s="32" t="n"/>
      <c r="M65" s="29" t="n"/>
      <c r="N65" s="29" t="n"/>
      <c r="O65" s="29" t="n"/>
      <c r="P65" s="32" t="n"/>
      <c r="Q65" s="29" t="n"/>
      <c r="R65" s="29" t="n"/>
      <c r="S65" s="29" t="n"/>
      <c r="T65" s="22">
        <f>IF(COUNT(F65,J65,N65,R65)=0,"",SUM(F65,J65,N65,R65))</f>
        <v/>
      </c>
      <c r="U65" s="22">
        <f>IF(COUNT(G65,K65,O65,S65)=0,"",SUM(G65,K65,O65,S65))</f>
        <v/>
      </c>
      <c r="V65" s="22">
        <f>IF(OR(T65="",U65=""),"",U65-T65)</f>
        <v/>
      </c>
      <c r="W65" s="22">
        <f>IF(Q65&lt;&gt;"",Q65,IF(M65&lt;&gt;"",M65,IF(I65&lt;&gt;"",I65,IF(E65&lt;&gt;"",E65,""))))</f>
        <v/>
      </c>
      <c r="X65" s="18">
        <f>IF(U65="","",U65*N(Produits!$E$64))</f>
        <v/>
      </c>
    </row>
    <row r="66">
      <c r="A66" s="33">
        <f>IF(Produits!$A$65="","",Produits!$A$65)</f>
        <v/>
      </c>
      <c r="B66" s="34">
        <f>IF(Produits!$A$65="","",Produits!$C$65)</f>
        <v/>
      </c>
      <c r="C66" s="34">
        <f>IF(Produits!$A$65="","",Produits!$D$65)</f>
        <v/>
      </c>
      <c r="D66" s="32" t="n"/>
      <c r="E66" s="29" t="n"/>
      <c r="F66" s="29" t="n"/>
      <c r="G66" s="29" t="n"/>
      <c r="H66" s="32" t="n"/>
      <c r="I66" s="29" t="n"/>
      <c r="J66" s="29" t="n"/>
      <c r="K66" s="29" t="n"/>
      <c r="L66" s="32" t="n"/>
      <c r="M66" s="29" t="n"/>
      <c r="N66" s="29" t="n"/>
      <c r="O66" s="29" t="n"/>
      <c r="P66" s="32" t="n"/>
      <c r="Q66" s="29" t="n"/>
      <c r="R66" s="29" t="n"/>
      <c r="S66" s="29" t="n"/>
      <c r="T66" s="22">
        <f>IF(COUNT(F66,J66,N66,R66)=0,"",SUM(F66,J66,N66,R66))</f>
        <v/>
      </c>
      <c r="U66" s="22">
        <f>IF(COUNT(G66,K66,O66,S66)=0,"",SUM(G66,K66,O66,S66))</f>
        <v/>
      </c>
      <c r="V66" s="22">
        <f>IF(OR(T66="",U66=""),"",U66-T66)</f>
        <v/>
      </c>
      <c r="W66" s="22">
        <f>IF(Q66&lt;&gt;"",Q66,IF(M66&lt;&gt;"",M66,IF(I66&lt;&gt;"",I66,IF(E66&lt;&gt;"",E66,""))))</f>
        <v/>
      </c>
      <c r="X66" s="18">
        <f>IF(U66="","",U66*N(Produits!$E$65))</f>
        <v/>
      </c>
    </row>
    <row r="67">
      <c r="A67" s="33">
        <f>IF(Produits!$A$66="","",Produits!$A$66)</f>
        <v/>
      </c>
      <c r="B67" s="34">
        <f>IF(Produits!$A$66="","",Produits!$C$66)</f>
        <v/>
      </c>
      <c r="C67" s="34">
        <f>IF(Produits!$A$66="","",Produits!$D$66)</f>
        <v/>
      </c>
      <c r="D67" s="32" t="n"/>
      <c r="E67" s="29" t="n"/>
      <c r="F67" s="29" t="n"/>
      <c r="G67" s="29" t="n"/>
      <c r="H67" s="32" t="n"/>
      <c r="I67" s="29" t="n"/>
      <c r="J67" s="29" t="n"/>
      <c r="K67" s="29" t="n"/>
      <c r="L67" s="32" t="n"/>
      <c r="M67" s="29" t="n"/>
      <c r="N67" s="29" t="n"/>
      <c r="O67" s="29" t="n"/>
      <c r="P67" s="32" t="n"/>
      <c r="Q67" s="29" t="n"/>
      <c r="R67" s="29" t="n"/>
      <c r="S67" s="29" t="n"/>
      <c r="T67" s="22">
        <f>IF(COUNT(F67,J67,N67,R67)=0,"",SUM(F67,J67,N67,R67))</f>
        <v/>
      </c>
      <c r="U67" s="22">
        <f>IF(COUNT(G67,K67,O67,S67)=0,"",SUM(G67,K67,O67,S67))</f>
        <v/>
      </c>
      <c r="V67" s="22">
        <f>IF(OR(T67="",U67=""),"",U67-T67)</f>
        <v/>
      </c>
      <c r="W67" s="22">
        <f>IF(Q67&lt;&gt;"",Q67,IF(M67&lt;&gt;"",M67,IF(I67&lt;&gt;"",I67,IF(E67&lt;&gt;"",E67,""))))</f>
        <v/>
      </c>
      <c r="X67" s="18">
        <f>IF(U67="","",U67*N(Produits!$E$66))</f>
        <v/>
      </c>
    </row>
    <row r="68">
      <c r="A68" s="33">
        <f>IF(Produits!$A$67="","",Produits!$A$67)</f>
        <v/>
      </c>
      <c r="B68" s="34">
        <f>IF(Produits!$A$67="","",Produits!$C$67)</f>
        <v/>
      </c>
      <c r="C68" s="34">
        <f>IF(Produits!$A$67="","",Produits!$D$67)</f>
        <v/>
      </c>
      <c r="D68" s="32" t="n"/>
      <c r="E68" s="29" t="n"/>
      <c r="F68" s="29" t="n"/>
      <c r="G68" s="29" t="n"/>
      <c r="H68" s="32" t="n"/>
      <c r="I68" s="29" t="n"/>
      <c r="J68" s="29" t="n"/>
      <c r="K68" s="29" t="n"/>
      <c r="L68" s="32" t="n"/>
      <c r="M68" s="29" t="n"/>
      <c r="N68" s="29" t="n"/>
      <c r="O68" s="29" t="n"/>
      <c r="P68" s="32" t="n"/>
      <c r="Q68" s="29" t="n"/>
      <c r="R68" s="29" t="n"/>
      <c r="S68" s="29" t="n"/>
      <c r="T68" s="22">
        <f>IF(COUNT(F68,J68,N68,R68)=0,"",SUM(F68,J68,N68,R68))</f>
        <v/>
      </c>
      <c r="U68" s="22">
        <f>IF(COUNT(G68,K68,O68,S68)=0,"",SUM(G68,K68,O68,S68))</f>
        <v/>
      </c>
      <c r="V68" s="22">
        <f>IF(OR(T68="",U68=""),"",U68-T68)</f>
        <v/>
      </c>
      <c r="W68" s="22">
        <f>IF(Q68&lt;&gt;"",Q68,IF(M68&lt;&gt;"",M68,IF(I68&lt;&gt;"",I68,IF(E68&lt;&gt;"",E68,""))))</f>
        <v/>
      </c>
      <c r="X68" s="18">
        <f>IF(U68="","",U68*N(Produits!$E$67))</f>
        <v/>
      </c>
    </row>
    <row r="69">
      <c r="A69" s="33">
        <f>IF(Produits!$A$68="","",Produits!$A$68)</f>
        <v/>
      </c>
      <c r="B69" s="34">
        <f>IF(Produits!$A$68="","",Produits!$C$68)</f>
        <v/>
      </c>
      <c r="C69" s="34">
        <f>IF(Produits!$A$68="","",Produits!$D$68)</f>
        <v/>
      </c>
      <c r="D69" s="32" t="n"/>
      <c r="E69" s="29" t="n"/>
      <c r="F69" s="29" t="n"/>
      <c r="G69" s="29" t="n"/>
      <c r="H69" s="32" t="n"/>
      <c r="I69" s="29" t="n"/>
      <c r="J69" s="29" t="n"/>
      <c r="K69" s="29" t="n"/>
      <c r="L69" s="32" t="n"/>
      <c r="M69" s="29" t="n"/>
      <c r="N69" s="29" t="n"/>
      <c r="O69" s="29" t="n"/>
      <c r="P69" s="32" t="n"/>
      <c r="Q69" s="29" t="n"/>
      <c r="R69" s="29" t="n"/>
      <c r="S69" s="29" t="n"/>
      <c r="T69" s="22">
        <f>IF(COUNT(F69,J69,N69,R69)=0,"",SUM(F69,J69,N69,R69))</f>
        <v/>
      </c>
      <c r="U69" s="22">
        <f>IF(COUNT(G69,K69,O69,S69)=0,"",SUM(G69,K69,O69,S69))</f>
        <v/>
      </c>
      <c r="V69" s="22">
        <f>IF(OR(T69="",U69=""),"",U69-T69)</f>
        <v/>
      </c>
      <c r="W69" s="22">
        <f>IF(Q69&lt;&gt;"",Q69,IF(M69&lt;&gt;"",M69,IF(I69&lt;&gt;"",I69,IF(E69&lt;&gt;"",E69,""))))</f>
        <v/>
      </c>
      <c r="X69" s="18">
        <f>IF(U69="","",U69*N(Produits!$E$68))</f>
        <v/>
      </c>
    </row>
    <row r="71">
      <c r="A71" s="15" t="inlineStr">
        <is>
          <t>Total des dépenses du mois</t>
        </is>
      </c>
      <c r="B71" s="19" t="n"/>
      <c r="C71" s="19" t="n"/>
      <c r="X71" s="35">
        <f>SUM(X7:X69)</f>
        <v/>
      </c>
    </row>
  </sheetData>
  <mergeCells count="14">
    <mergeCell ref="H4:K4"/>
    <mergeCell ref="A71:C71"/>
    <mergeCell ref="B4:B5"/>
    <mergeCell ref="C4:C5"/>
    <mergeCell ref="A4:A5"/>
    <mergeCell ref="T4:W4"/>
    <mergeCell ref="X4:X5"/>
    <mergeCell ref="A38:X38"/>
    <mergeCell ref="A54:X54"/>
    <mergeCell ref="L4:O4"/>
    <mergeCell ref="P4:S4"/>
    <mergeCell ref="A6:X6"/>
    <mergeCell ref="A22:X22"/>
    <mergeCell ref="D4:G4"/>
  </mergeCells>
  <conditionalFormatting sqref="V7:V69">
    <cfRule type="expression" priority="1" dxfId="0">
      <formula>AND(ISNUMBER(V7),V7&lt;0)</formula>
    </cfRule>
  </conditionalFormatting>
  <conditionalFormatting sqref="E7:E69">
    <cfRule type="expression" priority="2" dxfId="1">
      <formula>AND(ISNUMBER(E7),ISNUMBER($C7),E7&lt;=$C7)</formula>
    </cfRule>
  </conditionalFormatting>
  <conditionalFormatting sqref="G7:G69">
    <cfRule type="expression" priority="3" dxfId="0">
      <formula>AND(ISNUMBER(G7),ISNUMBER(F7),G7&lt;F7)</formula>
    </cfRule>
  </conditionalFormatting>
  <conditionalFormatting sqref="I7:I69">
    <cfRule type="expression" priority="4" dxfId="1">
      <formula>AND(ISNUMBER(I7),ISNUMBER($C7),I7&lt;=$C7)</formula>
    </cfRule>
  </conditionalFormatting>
  <conditionalFormatting sqref="K7:K69">
    <cfRule type="expression" priority="5" dxfId="0">
      <formula>AND(ISNUMBER(K7),ISNUMBER(J7),K7&lt;J7)</formula>
    </cfRule>
  </conditionalFormatting>
  <conditionalFormatting sqref="M7:M69">
    <cfRule type="expression" priority="6" dxfId="1">
      <formula>AND(ISNUMBER(M7),ISNUMBER($C7),M7&lt;=$C7)</formula>
    </cfRule>
  </conditionalFormatting>
  <conditionalFormatting sqref="O7:O69">
    <cfRule type="expression" priority="7" dxfId="0">
      <formula>AND(ISNUMBER(O7),ISNUMBER(N7),O7&lt;N7)</formula>
    </cfRule>
  </conditionalFormatting>
  <conditionalFormatting sqref="Q7:Q69">
    <cfRule type="expression" priority="8" dxfId="1">
      <formula>AND(ISNUMBER(Q7),ISNUMBER($C7),Q7&lt;=$C7)</formula>
    </cfRule>
  </conditionalFormatting>
  <conditionalFormatting sqref="S7:S69">
    <cfRule type="expression" priority="9" dxfId="0">
      <formula>AND(ISNUMBER(S7),ISNUMBER(R7),S7&lt;R7)</formula>
    </cfRule>
  </conditionalFormatting>
  <dataValidations count="4">
    <dataValidation sqref="E7:G69" showDropDown="0" showInputMessage="0" showErrorMessage="1" allowBlank="1" errorTitle="Valeur invalide" error="Entre un nombre positif (ou laisse vide)." type="decimal" operator="greaterThanOrEqual">
      <formula1>0</formula1>
    </dataValidation>
    <dataValidation sqref="I7:K69" showDropDown="0" showInputMessage="0" showErrorMessage="1" allowBlank="1" errorTitle="Valeur invalide" error="Entre un nombre positif (ou laisse vide)." type="decimal" operator="greaterThanOrEqual">
      <formula1>0</formula1>
    </dataValidation>
    <dataValidation sqref="M7:O69" showDropDown="0" showInputMessage="0" showErrorMessage="1" allowBlank="1" errorTitle="Valeur invalide" error="Entre un nombre positif (ou laisse vide)." type="decimal" operator="greaterThanOrEqual">
      <formula1>0</formula1>
    </dataValidation>
    <dataValidation sqref="Q7:S69"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X71"/>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24" customWidth="1" min="1" max="1"/>
    <col width="7" customWidth="1" min="2" max="2"/>
    <col width="7" customWidth="1" min="3" max="3"/>
    <col width="11" customWidth="1" min="4" max="4"/>
    <col width="10.5" customWidth="1" min="5" max="5"/>
    <col width="10.5" customWidth="1" min="6" max="6"/>
    <col width="10.5" customWidth="1" min="7" max="7"/>
    <col width="11" customWidth="1" min="8" max="8"/>
    <col width="10.5" customWidth="1" min="9" max="9"/>
    <col width="10.5" customWidth="1" min="10" max="10"/>
    <col width="10.5" customWidth="1" min="11" max="11"/>
    <col width="11" customWidth="1" min="12" max="12"/>
    <col width="10.5" customWidth="1" min="13" max="13"/>
    <col width="10.5" customWidth="1" min="14" max="14"/>
    <col width="10.5" customWidth="1" min="15" max="15"/>
    <col width="11" customWidth="1" min="16" max="16"/>
    <col width="10.5" customWidth="1" min="17" max="17"/>
    <col width="10.5" customWidth="1" min="18" max="18"/>
    <col width="10.5" customWidth="1" min="19" max="19"/>
    <col width="11" customWidth="1" min="20" max="20"/>
    <col width="11" customWidth="1" min="21" max="21"/>
    <col width="11" customWidth="1" min="22" max="22"/>
    <col width="11" customWidth="1" min="23" max="23"/>
    <col width="12" customWidth="1" min="24" max="24"/>
  </cols>
  <sheetData>
    <row r="1" ht="26" customHeight="1">
      <c r="A1" s="1" t="inlineStr">
        <is>
          <t>Juillet 2026</t>
        </is>
      </c>
    </row>
    <row r="2">
      <c r="A2" s="2" t="inlineStr">
        <is>
          <t>Date cmd = jour où tu passes la commande · Stock = ce qu'il reste · Commandé · Reçu = ce qui est arrivé</t>
        </is>
      </c>
    </row>
    <row r="4">
      <c r="A4" s="15" t="inlineStr">
        <is>
          <t>Produit</t>
        </is>
      </c>
      <c r="B4" s="15" t="inlineStr">
        <is>
          <t>Unité</t>
        </is>
      </c>
      <c r="C4" s="15" t="inlineStr">
        <is>
          <t>Mini</t>
        </is>
      </c>
      <c r="D4" s="15" t="inlineStr">
        <is>
          <t>Semaine 1</t>
        </is>
      </c>
      <c r="E4" s="19" t="n"/>
      <c r="F4" s="19" t="n"/>
      <c r="G4" s="19" t="n"/>
      <c r="H4" s="15" t="inlineStr">
        <is>
          <t>Semaine 2</t>
        </is>
      </c>
      <c r="I4" s="19" t="n"/>
      <c r="J4" s="19" t="n"/>
      <c r="K4" s="19" t="n"/>
      <c r="L4" s="15" t="inlineStr">
        <is>
          <t>Semaine 3</t>
        </is>
      </c>
      <c r="M4" s="19" t="n"/>
      <c r="N4" s="19" t="n"/>
      <c r="O4" s="19" t="n"/>
      <c r="P4" s="15" t="inlineStr">
        <is>
          <t>Semaine 4</t>
        </is>
      </c>
      <c r="Q4" s="19" t="n"/>
      <c r="R4" s="19" t="n"/>
      <c r="S4" s="19" t="n"/>
      <c r="T4" s="15" t="inlineStr">
        <is>
          <t>Total du mois</t>
        </is>
      </c>
      <c r="U4" s="19" t="n"/>
      <c r="V4" s="19" t="n"/>
      <c r="W4" s="19" t="n"/>
      <c r="X4" s="15" t="inlineStr">
        <is>
          <t>Dépense (€)</t>
        </is>
      </c>
    </row>
    <row r="5">
      <c r="A5" s="19" t="n"/>
      <c r="B5" s="19" t="n"/>
      <c r="C5" s="19" t="n"/>
      <c r="D5" s="8" t="inlineStr">
        <is>
          <t>Date cmd</t>
        </is>
      </c>
      <c r="E5" s="8" t="inlineStr">
        <is>
          <t>Stock</t>
        </is>
      </c>
      <c r="F5" s="8" t="inlineStr">
        <is>
          <t>Commandé</t>
        </is>
      </c>
      <c r="G5" s="8" t="inlineStr">
        <is>
          <t>Reçu</t>
        </is>
      </c>
      <c r="H5" s="8" t="inlineStr">
        <is>
          <t>Date cmd</t>
        </is>
      </c>
      <c r="I5" s="8" t="inlineStr">
        <is>
          <t>Stock</t>
        </is>
      </c>
      <c r="J5" s="8" t="inlineStr">
        <is>
          <t>Commandé</t>
        </is>
      </c>
      <c r="K5" s="8" t="inlineStr">
        <is>
          <t>Reçu</t>
        </is>
      </c>
      <c r="L5" s="8" t="inlineStr">
        <is>
          <t>Date cmd</t>
        </is>
      </c>
      <c r="M5" s="8" t="inlineStr">
        <is>
          <t>Stock</t>
        </is>
      </c>
      <c r="N5" s="8" t="inlineStr">
        <is>
          <t>Commandé</t>
        </is>
      </c>
      <c r="O5" s="8" t="inlineStr">
        <is>
          <t>Reçu</t>
        </is>
      </c>
      <c r="P5" s="8" t="inlineStr">
        <is>
          <t>Date cmd</t>
        </is>
      </c>
      <c r="Q5" s="8" t="inlineStr">
        <is>
          <t>Stock</t>
        </is>
      </c>
      <c r="R5" s="8" t="inlineStr">
        <is>
          <t>Commandé</t>
        </is>
      </c>
      <c r="S5" s="8" t="inlineStr">
        <is>
          <t>Reçu</t>
        </is>
      </c>
      <c r="T5" s="8" t="inlineStr">
        <is>
          <t>Commandé</t>
        </is>
      </c>
      <c r="U5" s="8" t="inlineStr">
        <is>
          <t>Reçu</t>
        </is>
      </c>
      <c r="V5" s="8" t="inlineStr">
        <is>
          <t>Écart</t>
        </is>
      </c>
      <c r="W5" s="8" t="inlineStr">
        <is>
          <t>Dernier stock</t>
        </is>
      </c>
      <c r="X5" s="19" t="n"/>
    </row>
    <row r="6" ht="20" customHeight="1">
      <c r="A6" s="23" t="inlineStr">
        <is>
          <t>RÉSERVE SÈCHE</t>
        </is>
      </c>
      <c r="B6" s="10" t="n"/>
      <c r="C6" s="10" t="n"/>
      <c r="D6" s="10" t="n"/>
      <c r="E6" s="10" t="n"/>
      <c r="F6" s="10" t="n"/>
      <c r="G6" s="10" t="n"/>
      <c r="H6" s="10" t="n"/>
      <c r="I6" s="10" t="n"/>
      <c r="J6" s="10" t="n"/>
      <c r="K6" s="10" t="n"/>
      <c r="L6" s="10" t="n"/>
      <c r="M6" s="10" t="n"/>
      <c r="N6" s="10" t="n"/>
      <c r="O6" s="10" t="n"/>
      <c r="P6" s="10" t="n"/>
      <c r="Q6" s="10" t="n"/>
      <c r="R6" s="10" t="n"/>
      <c r="S6" s="10" t="n"/>
      <c r="T6" s="10" t="n"/>
      <c r="U6" s="10" t="n"/>
      <c r="V6" s="10" t="n"/>
      <c r="W6" s="10" t="n"/>
      <c r="X6" s="10" t="n"/>
    </row>
    <row r="7">
      <c r="A7" s="33">
        <f>IF(Produits!$A$6="","",Produits!$A$6)</f>
        <v/>
      </c>
      <c r="B7" s="34">
        <f>IF(Produits!$A$6="","",Produits!$C$6)</f>
        <v/>
      </c>
      <c r="C7" s="34">
        <f>IF(Produits!$A$6="","",Produits!$D$6)</f>
        <v/>
      </c>
      <c r="D7" s="32" t="n"/>
      <c r="E7" s="29" t="n"/>
      <c r="F7" s="29" t="n"/>
      <c r="G7" s="29" t="n"/>
      <c r="H7" s="32" t="n"/>
      <c r="I7" s="29" t="n"/>
      <c r="J7" s="29" t="n"/>
      <c r="K7" s="29" t="n"/>
      <c r="L7" s="32" t="n"/>
      <c r="M7" s="29" t="n"/>
      <c r="N7" s="29" t="n"/>
      <c r="O7" s="29" t="n"/>
      <c r="P7" s="32" t="n"/>
      <c r="Q7" s="29" t="n"/>
      <c r="R7" s="29" t="n"/>
      <c r="S7" s="29" t="n"/>
      <c r="T7" s="22">
        <f>IF(COUNT(F7,J7,N7,R7)=0,"",SUM(F7,J7,N7,R7))</f>
        <v/>
      </c>
      <c r="U7" s="22">
        <f>IF(COUNT(G7,K7,O7,S7)=0,"",SUM(G7,K7,O7,S7))</f>
        <v/>
      </c>
      <c r="V7" s="22">
        <f>IF(OR(T7="",U7=""),"",U7-T7)</f>
        <v/>
      </c>
      <c r="W7" s="22">
        <f>IF(Q7&lt;&gt;"",Q7,IF(M7&lt;&gt;"",M7,IF(I7&lt;&gt;"",I7,IF(E7&lt;&gt;"",E7,""))))</f>
        <v/>
      </c>
      <c r="X7" s="18">
        <f>IF(U7="","",U7*N(Produits!$E$6))</f>
        <v/>
      </c>
    </row>
    <row r="8">
      <c r="A8" s="33">
        <f>IF(Produits!$A$7="","",Produits!$A$7)</f>
        <v/>
      </c>
      <c r="B8" s="34">
        <f>IF(Produits!$A$7="","",Produits!$C$7)</f>
        <v/>
      </c>
      <c r="C8" s="34">
        <f>IF(Produits!$A$7="","",Produits!$D$7)</f>
        <v/>
      </c>
      <c r="D8" s="32" t="n"/>
      <c r="E8" s="29" t="n"/>
      <c r="F8" s="29" t="n"/>
      <c r="G8" s="29" t="n"/>
      <c r="H8" s="32" t="n"/>
      <c r="I8" s="29" t="n"/>
      <c r="J8" s="29" t="n"/>
      <c r="K8" s="29" t="n"/>
      <c r="L8" s="32" t="n"/>
      <c r="M8" s="29" t="n"/>
      <c r="N8" s="29" t="n"/>
      <c r="O8" s="29" t="n"/>
      <c r="P8" s="32" t="n"/>
      <c r="Q8" s="29" t="n"/>
      <c r="R8" s="29" t="n"/>
      <c r="S8" s="29" t="n"/>
      <c r="T8" s="22">
        <f>IF(COUNT(F8,J8,N8,R8)=0,"",SUM(F8,J8,N8,R8))</f>
        <v/>
      </c>
      <c r="U8" s="22">
        <f>IF(COUNT(G8,K8,O8,S8)=0,"",SUM(G8,K8,O8,S8))</f>
        <v/>
      </c>
      <c r="V8" s="22">
        <f>IF(OR(T8="",U8=""),"",U8-T8)</f>
        <v/>
      </c>
      <c r="W8" s="22">
        <f>IF(Q8&lt;&gt;"",Q8,IF(M8&lt;&gt;"",M8,IF(I8&lt;&gt;"",I8,IF(E8&lt;&gt;"",E8,""))))</f>
        <v/>
      </c>
      <c r="X8" s="18">
        <f>IF(U8="","",U8*N(Produits!$E$7))</f>
        <v/>
      </c>
    </row>
    <row r="9">
      <c r="A9" s="33">
        <f>IF(Produits!$A$8="","",Produits!$A$8)</f>
        <v/>
      </c>
      <c r="B9" s="34">
        <f>IF(Produits!$A$8="","",Produits!$C$8)</f>
        <v/>
      </c>
      <c r="C9" s="34">
        <f>IF(Produits!$A$8="","",Produits!$D$8)</f>
        <v/>
      </c>
      <c r="D9" s="32" t="n"/>
      <c r="E9" s="29" t="n"/>
      <c r="F9" s="29" t="n"/>
      <c r="G9" s="29" t="n"/>
      <c r="H9" s="32" t="n"/>
      <c r="I9" s="29" t="n"/>
      <c r="J9" s="29" t="n"/>
      <c r="K9" s="29" t="n"/>
      <c r="L9" s="32" t="n"/>
      <c r="M9" s="29" t="n"/>
      <c r="N9" s="29" t="n"/>
      <c r="O9" s="29" t="n"/>
      <c r="P9" s="32" t="n"/>
      <c r="Q9" s="29" t="n"/>
      <c r="R9" s="29" t="n"/>
      <c r="S9" s="29" t="n"/>
      <c r="T9" s="22">
        <f>IF(COUNT(F9,J9,N9,R9)=0,"",SUM(F9,J9,N9,R9))</f>
        <v/>
      </c>
      <c r="U9" s="22">
        <f>IF(COUNT(G9,K9,O9,S9)=0,"",SUM(G9,K9,O9,S9))</f>
        <v/>
      </c>
      <c r="V9" s="22">
        <f>IF(OR(T9="",U9=""),"",U9-T9)</f>
        <v/>
      </c>
      <c r="W9" s="22">
        <f>IF(Q9&lt;&gt;"",Q9,IF(M9&lt;&gt;"",M9,IF(I9&lt;&gt;"",I9,IF(E9&lt;&gt;"",E9,""))))</f>
        <v/>
      </c>
      <c r="X9" s="18">
        <f>IF(U9="","",U9*N(Produits!$E$8))</f>
        <v/>
      </c>
    </row>
    <row r="10">
      <c r="A10" s="33">
        <f>IF(Produits!$A$9="","",Produits!$A$9)</f>
        <v/>
      </c>
      <c r="B10" s="34">
        <f>IF(Produits!$A$9="","",Produits!$C$9)</f>
        <v/>
      </c>
      <c r="C10" s="34">
        <f>IF(Produits!$A$9="","",Produits!$D$9)</f>
        <v/>
      </c>
      <c r="D10" s="32" t="n"/>
      <c r="E10" s="29" t="n"/>
      <c r="F10" s="29" t="n"/>
      <c r="G10" s="29" t="n"/>
      <c r="H10" s="32" t="n"/>
      <c r="I10" s="29" t="n"/>
      <c r="J10" s="29" t="n"/>
      <c r="K10" s="29" t="n"/>
      <c r="L10" s="32" t="n"/>
      <c r="M10" s="29" t="n"/>
      <c r="N10" s="29" t="n"/>
      <c r="O10" s="29" t="n"/>
      <c r="P10" s="32" t="n"/>
      <c r="Q10" s="29" t="n"/>
      <c r="R10" s="29" t="n"/>
      <c r="S10" s="29" t="n"/>
      <c r="T10" s="22">
        <f>IF(COUNT(F10,J10,N10,R10)=0,"",SUM(F10,J10,N10,R10))</f>
        <v/>
      </c>
      <c r="U10" s="22">
        <f>IF(COUNT(G10,K10,O10,S10)=0,"",SUM(G10,K10,O10,S10))</f>
        <v/>
      </c>
      <c r="V10" s="22">
        <f>IF(OR(T10="",U10=""),"",U10-T10)</f>
        <v/>
      </c>
      <c r="W10" s="22">
        <f>IF(Q10&lt;&gt;"",Q10,IF(M10&lt;&gt;"",M10,IF(I10&lt;&gt;"",I10,IF(E10&lt;&gt;"",E10,""))))</f>
        <v/>
      </c>
      <c r="X10" s="18">
        <f>IF(U10="","",U10*N(Produits!$E$9))</f>
        <v/>
      </c>
    </row>
    <row r="11">
      <c r="A11" s="33">
        <f>IF(Produits!$A$10="","",Produits!$A$10)</f>
        <v/>
      </c>
      <c r="B11" s="34">
        <f>IF(Produits!$A$10="","",Produits!$C$10)</f>
        <v/>
      </c>
      <c r="C11" s="34">
        <f>IF(Produits!$A$10="","",Produits!$D$10)</f>
        <v/>
      </c>
      <c r="D11" s="32" t="n"/>
      <c r="E11" s="29" t="n"/>
      <c r="F11" s="29" t="n"/>
      <c r="G11" s="29" t="n"/>
      <c r="H11" s="32" t="n"/>
      <c r="I11" s="29" t="n"/>
      <c r="J11" s="29" t="n"/>
      <c r="K11" s="29" t="n"/>
      <c r="L11" s="32" t="n"/>
      <c r="M11" s="29" t="n"/>
      <c r="N11" s="29" t="n"/>
      <c r="O11" s="29" t="n"/>
      <c r="P11" s="32" t="n"/>
      <c r="Q11" s="29" t="n"/>
      <c r="R11" s="29" t="n"/>
      <c r="S11" s="29" t="n"/>
      <c r="T11" s="22">
        <f>IF(COUNT(F11,J11,N11,R11)=0,"",SUM(F11,J11,N11,R11))</f>
        <v/>
      </c>
      <c r="U11" s="22">
        <f>IF(COUNT(G11,K11,O11,S11)=0,"",SUM(G11,K11,O11,S11))</f>
        <v/>
      </c>
      <c r="V11" s="22">
        <f>IF(OR(T11="",U11=""),"",U11-T11)</f>
        <v/>
      </c>
      <c r="W11" s="22">
        <f>IF(Q11&lt;&gt;"",Q11,IF(M11&lt;&gt;"",M11,IF(I11&lt;&gt;"",I11,IF(E11&lt;&gt;"",E11,""))))</f>
        <v/>
      </c>
      <c r="X11" s="18">
        <f>IF(U11="","",U11*N(Produits!$E$10))</f>
        <v/>
      </c>
    </row>
    <row r="12">
      <c r="A12" s="33">
        <f>IF(Produits!$A$11="","",Produits!$A$11)</f>
        <v/>
      </c>
      <c r="B12" s="34">
        <f>IF(Produits!$A$11="","",Produits!$C$11)</f>
        <v/>
      </c>
      <c r="C12" s="34">
        <f>IF(Produits!$A$11="","",Produits!$D$11)</f>
        <v/>
      </c>
      <c r="D12" s="32" t="n"/>
      <c r="E12" s="29" t="n"/>
      <c r="F12" s="29" t="n"/>
      <c r="G12" s="29" t="n"/>
      <c r="H12" s="32" t="n"/>
      <c r="I12" s="29" t="n"/>
      <c r="J12" s="29" t="n"/>
      <c r="K12" s="29" t="n"/>
      <c r="L12" s="32" t="n"/>
      <c r="M12" s="29" t="n"/>
      <c r="N12" s="29" t="n"/>
      <c r="O12" s="29" t="n"/>
      <c r="P12" s="32" t="n"/>
      <c r="Q12" s="29" t="n"/>
      <c r="R12" s="29" t="n"/>
      <c r="S12" s="29" t="n"/>
      <c r="T12" s="22">
        <f>IF(COUNT(F12,J12,N12,R12)=0,"",SUM(F12,J12,N12,R12))</f>
        <v/>
      </c>
      <c r="U12" s="22">
        <f>IF(COUNT(G12,K12,O12,S12)=0,"",SUM(G12,K12,O12,S12))</f>
        <v/>
      </c>
      <c r="V12" s="22">
        <f>IF(OR(T12="",U12=""),"",U12-T12)</f>
        <v/>
      </c>
      <c r="W12" s="22">
        <f>IF(Q12&lt;&gt;"",Q12,IF(M12&lt;&gt;"",M12,IF(I12&lt;&gt;"",I12,IF(E12&lt;&gt;"",E12,""))))</f>
        <v/>
      </c>
      <c r="X12" s="18">
        <f>IF(U12="","",U12*N(Produits!$E$11))</f>
        <v/>
      </c>
    </row>
    <row r="13">
      <c r="A13" s="33">
        <f>IF(Produits!$A$12="","",Produits!$A$12)</f>
        <v/>
      </c>
      <c r="B13" s="34">
        <f>IF(Produits!$A$12="","",Produits!$C$12)</f>
        <v/>
      </c>
      <c r="C13" s="34">
        <f>IF(Produits!$A$12="","",Produits!$D$12)</f>
        <v/>
      </c>
      <c r="D13" s="32" t="n"/>
      <c r="E13" s="29" t="n"/>
      <c r="F13" s="29" t="n"/>
      <c r="G13" s="29" t="n"/>
      <c r="H13" s="32" t="n"/>
      <c r="I13" s="29" t="n"/>
      <c r="J13" s="29" t="n"/>
      <c r="K13" s="29" t="n"/>
      <c r="L13" s="32" t="n"/>
      <c r="M13" s="29" t="n"/>
      <c r="N13" s="29" t="n"/>
      <c r="O13" s="29" t="n"/>
      <c r="P13" s="32" t="n"/>
      <c r="Q13" s="29" t="n"/>
      <c r="R13" s="29" t="n"/>
      <c r="S13" s="29" t="n"/>
      <c r="T13" s="22">
        <f>IF(COUNT(F13,J13,N13,R13)=0,"",SUM(F13,J13,N13,R13))</f>
        <v/>
      </c>
      <c r="U13" s="22">
        <f>IF(COUNT(G13,K13,O13,S13)=0,"",SUM(G13,K13,O13,S13))</f>
        <v/>
      </c>
      <c r="V13" s="22">
        <f>IF(OR(T13="",U13=""),"",U13-T13)</f>
        <v/>
      </c>
      <c r="W13" s="22">
        <f>IF(Q13&lt;&gt;"",Q13,IF(M13&lt;&gt;"",M13,IF(I13&lt;&gt;"",I13,IF(E13&lt;&gt;"",E13,""))))</f>
        <v/>
      </c>
      <c r="X13" s="18">
        <f>IF(U13="","",U13*N(Produits!$E$12))</f>
        <v/>
      </c>
    </row>
    <row r="14">
      <c r="A14" s="33">
        <f>IF(Produits!$A$13="","",Produits!$A$13)</f>
        <v/>
      </c>
      <c r="B14" s="34">
        <f>IF(Produits!$A$13="","",Produits!$C$13)</f>
        <v/>
      </c>
      <c r="C14" s="34">
        <f>IF(Produits!$A$13="","",Produits!$D$13)</f>
        <v/>
      </c>
      <c r="D14" s="32" t="n"/>
      <c r="E14" s="29" t="n"/>
      <c r="F14" s="29" t="n"/>
      <c r="G14" s="29" t="n"/>
      <c r="H14" s="32" t="n"/>
      <c r="I14" s="29" t="n"/>
      <c r="J14" s="29" t="n"/>
      <c r="K14" s="29" t="n"/>
      <c r="L14" s="32" t="n"/>
      <c r="M14" s="29" t="n"/>
      <c r="N14" s="29" t="n"/>
      <c r="O14" s="29" t="n"/>
      <c r="P14" s="32" t="n"/>
      <c r="Q14" s="29" t="n"/>
      <c r="R14" s="29" t="n"/>
      <c r="S14" s="29" t="n"/>
      <c r="T14" s="22">
        <f>IF(COUNT(F14,J14,N14,R14)=0,"",SUM(F14,J14,N14,R14))</f>
        <v/>
      </c>
      <c r="U14" s="22">
        <f>IF(COUNT(G14,K14,O14,S14)=0,"",SUM(G14,K14,O14,S14))</f>
        <v/>
      </c>
      <c r="V14" s="22">
        <f>IF(OR(T14="",U14=""),"",U14-T14)</f>
        <v/>
      </c>
      <c r="W14" s="22">
        <f>IF(Q14&lt;&gt;"",Q14,IF(M14&lt;&gt;"",M14,IF(I14&lt;&gt;"",I14,IF(E14&lt;&gt;"",E14,""))))</f>
        <v/>
      </c>
      <c r="X14" s="18">
        <f>IF(U14="","",U14*N(Produits!$E$13))</f>
        <v/>
      </c>
    </row>
    <row r="15">
      <c r="A15" s="33">
        <f>IF(Produits!$A$14="","",Produits!$A$14)</f>
        <v/>
      </c>
      <c r="B15" s="34">
        <f>IF(Produits!$A$14="","",Produits!$C$14)</f>
        <v/>
      </c>
      <c r="C15" s="34">
        <f>IF(Produits!$A$14="","",Produits!$D$14)</f>
        <v/>
      </c>
      <c r="D15" s="32" t="n"/>
      <c r="E15" s="29" t="n"/>
      <c r="F15" s="29" t="n"/>
      <c r="G15" s="29" t="n"/>
      <c r="H15" s="32" t="n"/>
      <c r="I15" s="29" t="n"/>
      <c r="J15" s="29" t="n"/>
      <c r="K15" s="29" t="n"/>
      <c r="L15" s="32" t="n"/>
      <c r="M15" s="29" t="n"/>
      <c r="N15" s="29" t="n"/>
      <c r="O15" s="29" t="n"/>
      <c r="P15" s="32" t="n"/>
      <c r="Q15" s="29" t="n"/>
      <c r="R15" s="29" t="n"/>
      <c r="S15" s="29" t="n"/>
      <c r="T15" s="22">
        <f>IF(COUNT(F15,J15,N15,R15)=0,"",SUM(F15,J15,N15,R15))</f>
        <v/>
      </c>
      <c r="U15" s="22">
        <f>IF(COUNT(G15,K15,O15,S15)=0,"",SUM(G15,K15,O15,S15))</f>
        <v/>
      </c>
      <c r="V15" s="22">
        <f>IF(OR(T15="",U15=""),"",U15-T15)</f>
        <v/>
      </c>
      <c r="W15" s="22">
        <f>IF(Q15&lt;&gt;"",Q15,IF(M15&lt;&gt;"",M15,IF(I15&lt;&gt;"",I15,IF(E15&lt;&gt;"",E15,""))))</f>
        <v/>
      </c>
      <c r="X15" s="18">
        <f>IF(U15="","",U15*N(Produits!$E$14))</f>
        <v/>
      </c>
    </row>
    <row r="16">
      <c r="A16" s="33">
        <f>IF(Produits!$A$15="","",Produits!$A$15)</f>
        <v/>
      </c>
      <c r="B16" s="34">
        <f>IF(Produits!$A$15="","",Produits!$C$15)</f>
        <v/>
      </c>
      <c r="C16" s="34">
        <f>IF(Produits!$A$15="","",Produits!$D$15)</f>
        <v/>
      </c>
      <c r="D16" s="32" t="n"/>
      <c r="E16" s="29" t="n"/>
      <c r="F16" s="29" t="n"/>
      <c r="G16" s="29" t="n"/>
      <c r="H16" s="32" t="n"/>
      <c r="I16" s="29" t="n"/>
      <c r="J16" s="29" t="n"/>
      <c r="K16" s="29" t="n"/>
      <c r="L16" s="32" t="n"/>
      <c r="M16" s="29" t="n"/>
      <c r="N16" s="29" t="n"/>
      <c r="O16" s="29" t="n"/>
      <c r="P16" s="32" t="n"/>
      <c r="Q16" s="29" t="n"/>
      <c r="R16" s="29" t="n"/>
      <c r="S16" s="29" t="n"/>
      <c r="T16" s="22">
        <f>IF(COUNT(F16,J16,N16,R16)=0,"",SUM(F16,J16,N16,R16))</f>
        <v/>
      </c>
      <c r="U16" s="22">
        <f>IF(COUNT(G16,K16,O16,S16)=0,"",SUM(G16,K16,O16,S16))</f>
        <v/>
      </c>
      <c r="V16" s="22">
        <f>IF(OR(T16="",U16=""),"",U16-T16)</f>
        <v/>
      </c>
      <c r="W16" s="22">
        <f>IF(Q16&lt;&gt;"",Q16,IF(M16&lt;&gt;"",M16,IF(I16&lt;&gt;"",I16,IF(E16&lt;&gt;"",E16,""))))</f>
        <v/>
      </c>
      <c r="X16" s="18">
        <f>IF(U16="","",U16*N(Produits!$E$15))</f>
        <v/>
      </c>
    </row>
    <row r="17">
      <c r="A17" s="33">
        <f>IF(Produits!$A$16="","",Produits!$A$16)</f>
        <v/>
      </c>
      <c r="B17" s="34">
        <f>IF(Produits!$A$16="","",Produits!$C$16)</f>
        <v/>
      </c>
      <c r="C17" s="34">
        <f>IF(Produits!$A$16="","",Produits!$D$16)</f>
        <v/>
      </c>
      <c r="D17" s="32" t="n"/>
      <c r="E17" s="29" t="n"/>
      <c r="F17" s="29" t="n"/>
      <c r="G17" s="29" t="n"/>
      <c r="H17" s="32" t="n"/>
      <c r="I17" s="29" t="n"/>
      <c r="J17" s="29" t="n"/>
      <c r="K17" s="29" t="n"/>
      <c r="L17" s="32" t="n"/>
      <c r="M17" s="29" t="n"/>
      <c r="N17" s="29" t="n"/>
      <c r="O17" s="29" t="n"/>
      <c r="P17" s="32" t="n"/>
      <c r="Q17" s="29" t="n"/>
      <c r="R17" s="29" t="n"/>
      <c r="S17" s="29" t="n"/>
      <c r="T17" s="22">
        <f>IF(COUNT(F17,J17,N17,R17)=0,"",SUM(F17,J17,N17,R17))</f>
        <v/>
      </c>
      <c r="U17" s="22">
        <f>IF(COUNT(G17,K17,O17,S17)=0,"",SUM(G17,K17,O17,S17))</f>
        <v/>
      </c>
      <c r="V17" s="22">
        <f>IF(OR(T17="",U17=""),"",U17-T17)</f>
        <v/>
      </c>
      <c r="W17" s="22">
        <f>IF(Q17&lt;&gt;"",Q17,IF(M17&lt;&gt;"",M17,IF(I17&lt;&gt;"",I17,IF(E17&lt;&gt;"",E17,""))))</f>
        <v/>
      </c>
      <c r="X17" s="18">
        <f>IF(U17="","",U17*N(Produits!$E$16))</f>
        <v/>
      </c>
    </row>
    <row r="18">
      <c r="A18" s="33">
        <f>IF(Produits!$A$17="","",Produits!$A$17)</f>
        <v/>
      </c>
      <c r="B18" s="34">
        <f>IF(Produits!$A$17="","",Produits!$C$17)</f>
        <v/>
      </c>
      <c r="C18" s="34">
        <f>IF(Produits!$A$17="","",Produits!$D$17)</f>
        <v/>
      </c>
      <c r="D18" s="32" t="n"/>
      <c r="E18" s="29" t="n"/>
      <c r="F18" s="29" t="n"/>
      <c r="G18" s="29" t="n"/>
      <c r="H18" s="32" t="n"/>
      <c r="I18" s="29" t="n"/>
      <c r="J18" s="29" t="n"/>
      <c r="K18" s="29" t="n"/>
      <c r="L18" s="32" t="n"/>
      <c r="M18" s="29" t="n"/>
      <c r="N18" s="29" t="n"/>
      <c r="O18" s="29" t="n"/>
      <c r="P18" s="32" t="n"/>
      <c r="Q18" s="29" t="n"/>
      <c r="R18" s="29" t="n"/>
      <c r="S18" s="29" t="n"/>
      <c r="T18" s="22">
        <f>IF(COUNT(F18,J18,N18,R18)=0,"",SUM(F18,J18,N18,R18))</f>
        <v/>
      </c>
      <c r="U18" s="22">
        <f>IF(COUNT(G18,K18,O18,S18)=0,"",SUM(G18,K18,O18,S18))</f>
        <v/>
      </c>
      <c r="V18" s="22">
        <f>IF(OR(T18="",U18=""),"",U18-T18)</f>
        <v/>
      </c>
      <c r="W18" s="22">
        <f>IF(Q18&lt;&gt;"",Q18,IF(M18&lt;&gt;"",M18,IF(I18&lt;&gt;"",I18,IF(E18&lt;&gt;"",E18,""))))</f>
        <v/>
      </c>
      <c r="X18" s="18">
        <f>IF(U18="","",U18*N(Produits!$E$17))</f>
        <v/>
      </c>
    </row>
    <row r="19">
      <c r="A19" s="33">
        <f>IF(Produits!$A$18="","",Produits!$A$18)</f>
        <v/>
      </c>
      <c r="B19" s="34">
        <f>IF(Produits!$A$18="","",Produits!$C$18)</f>
        <v/>
      </c>
      <c r="C19" s="34">
        <f>IF(Produits!$A$18="","",Produits!$D$18)</f>
        <v/>
      </c>
      <c r="D19" s="32" t="n"/>
      <c r="E19" s="29" t="n"/>
      <c r="F19" s="29" t="n"/>
      <c r="G19" s="29" t="n"/>
      <c r="H19" s="32" t="n"/>
      <c r="I19" s="29" t="n"/>
      <c r="J19" s="29" t="n"/>
      <c r="K19" s="29" t="n"/>
      <c r="L19" s="32" t="n"/>
      <c r="M19" s="29" t="n"/>
      <c r="N19" s="29" t="n"/>
      <c r="O19" s="29" t="n"/>
      <c r="P19" s="32" t="n"/>
      <c r="Q19" s="29" t="n"/>
      <c r="R19" s="29" t="n"/>
      <c r="S19" s="29" t="n"/>
      <c r="T19" s="22">
        <f>IF(COUNT(F19,J19,N19,R19)=0,"",SUM(F19,J19,N19,R19))</f>
        <v/>
      </c>
      <c r="U19" s="22">
        <f>IF(COUNT(G19,K19,O19,S19)=0,"",SUM(G19,K19,O19,S19))</f>
        <v/>
      </c>
      <c r="V19" s="22">
        <f>IF(OR(T19="",U19=""),"",U19-T19)</f>
        <v/>
      </c>
      <c r="W19" s="22">
        <f>IF(Q19&lt;&gt;"",Q19,IF(M19&lt;&gt;"",M19,IF(I19&lt;&gt;"",I19,IF(E19&lt;&gt;"",E19,""))))</f>
        <v/>
      </c>
      <c r="X19" s="18">
        <f>IF(U19="","",U19*N(Produits!$E$18))</f>
        <v/>
      </c>
    </row>
    <row r="20">
      <c r="A20" s="33">
        <f>IF(Produits!$A$19="","",Produits!$A$19)</f>
        <v/>
      </c>
      <c r="B20" s="34">
        <f>IF(Produits!$A$19="","",Produits!$C$19)</f>
        <v/>
      </c>
      <c r="C20" s="34">
        <f>IF(Produits!$A$19="","",Produits!$D$19)</f>
        <v/>
      </c>
      <c r="D20" s="32" t="n"/>
      <c r="E20" s="29" t="n"/>
      <c r="F20" s="29" t="n"/>
      <c r="G20" s="29" t="n"/>
      <c r="H20" s="32" t="n"/>
      <c r="I20" s="29" t="n"/>
      <c r="J20" s="29" t="n"/>
      <c r="K20" s="29" t="n"/>
      <c r="L20" s="32" t="n"/>
      <c r="M20" s="29" t="n"/>
      <c r="N20" s="29" t="n"/>
      <c r="O20" s="29" t="n"/>
      <c r="P20" s="32" t="n"/>
      <c r="Q20" s="29" t="n"/>
      <c r="R20" s="29" t="n"/>
      <c r="S20" s="29" t="n"/>
      <c r="T20" s="22">
        <f>IF(COUNT(F20,J20,N20,R20)=0,"",SUM(F20,J20,N20,R20))</f>
        <v/>
      </c>
      <c r="U20" s="22">
        <f>IF(COUNT(G20,K20,O20,S20)=0,"",SUM(G20,K20,O20,S20))</f>
        <v/>
      </c>
      <c r="V20" s="22">
        <f>IF(OR(T20="",U20=""),"",U20-T20)</f>
        <v/>
      </c>
      <c r="W20" s="22">
        <f>IF(Q20&lt;&gt;"",Q20,IF(M20&lt;&gt;"",M20,IF(I20&lt;&gt;"",I20,IF(E20&lt;&gt;"",E20,""))))</f>
        <v/>
      </c>
      <c r="X20" s="18">
        <f>IF(U20="","",U20*N(Produits!$E$19))</f>
        <v/>
      </c>
    </row>
    <row r="21">
      <c r="A21" s="33">
        <f>IF(Produits!$A$20="","",Produits!$A$20)</f>
        <v/>
      </c>
      <c r="B21" s="34">
        <f>IF(Produits!$A$20="","",Produits!$C$20)</f>
        <v/>
      </c>
      <c r="C21" s="34">
        <f>IF(Produits!$A$20="","",Produits!$D$20)</f>
        <v/>
      </c>
      <c r="D21" s="32" t="n"/>
      <c r="E21" s="29" t="n"/>
      <c r="F21" s="29" t="n"/>
      <c r="G21" s="29" t="n"/>
      <c r="H21" s="32" t="n"/>
      <c r="I21" s="29" t="n"/>
      <c r="J21" s="29" t="n"/>
      <c r="K21" s="29" t="n"/>
      <c r="L21" s="32" t="n"/>
      <c r="M21" s="29" t="n"/>
      <c r="N21" s="29" t="n"/>
      <c r="O21" s="29" t="n"/>
      <c r="P21" s="32" t="n"/>
      <c r="Q21" s="29" t="n"/>
      <c r="R21" s="29" t="n"/>
      <c r="S21" s="29" t="n"/>
      <c r="T21" s="22">
        <f>IF(COUNT(F21,J21,N21,R21)=0,"",SUM(F21,J21,N21,R21))</f>
        <v/>
      </c>
      <c r="U21" s="22">
        <f>IF(COUNT(G21,K21,O21,S21)=0,"",SUM(G21,K21,O21,S21))</f>
        <v/>
      </c>
      <c r="V21" s="22">
        <f>IF(OR(T21="",U21=""),"",U21-T21)</f>
        <v/>
      </c>
      <c r="W21" s="22">
        <f>IF(Q21&lt;&gt;"",Q21,IF(M21&lt;&gt;"",M21,IF(I21&lt;&gt;"",I21,IF(E21&lt;&gt;"",E21,""))))</f>
        <v/>
      </c>
      <c r="X21" s="18">
        <f>IF(U21="","",U21*N(Produits!$E$20))</f>
        <v/>
      </c>
    </row>
    <row r="22" ht="20" customHeight="1">
      <c r="A22" s="23" t="inlineStr">
        <is>
          <t>CHAMBRE FROIDE POSITIVE</t>
        </is>
      </c>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row>
    <row r="23">
      <c r="A23" s="33">
        <f>IF(Produits!$A$22="","",Produits!$A$22)</f>
        <v/>
      </c>
      <c r="B23" s="34">
        <f>IF(Produits!$A$22="","",Produits!$C$22)</f>
        <v/>
      </c>
      <c r="C23" s="34">
        <f>IF(Produits!$A$22="","",Produits!$D$22)</f>
        <v/>
      </c>
      <c r="D23" s="32" t="n"/>
      <c r="E23" s="29" t="n"/>
      <c r="F23" s="29" t="n"/>
      <c r="G23" s="29" t="n"/>
      <c r="H23" s="32" t="n"/>
      <c r="I23" s="29" t="n"/>
      <c r="J23" s="29" t="n"/>
      <c r="K23" s="29" t="n"/>
      <c r="L23" s="32" t="n"/>
      <c r="M23" s="29" t="n"/>
      <c r="N23" s="29" t="n"/>
      <c r="O23" s="29" t="n"/>
      <c r="P23" s="32" t="n"/>
      <c r="Q23" s="29" t="n"/>
      <c r="R23" s="29" t="n"/>
      <c r="S23" s="29" t="n"/>
      <c r="T23" s="22">
        <f>IF(COUNT(F23,J23,N23,R23)=0,"",SUM(F23,J23,N23,R23))</f>
        <v/>
      </c>
      <c r="U23" s="22">
        <f>IF(COUNT(G23,K23,O23,S23)=0,"",SUM(G23,K23,O23,S23))</f>
        <v/>
      </c>
      <c r="V23" s="22">
        <f>IF(OR(T23="",U23=""),"",U23-T23)</f>
        <v/>
      </c>
      <c r="W23" s="22">
        <f>IF(Q23&lt;&gt;"",Q23,IF(M23&lt;&gt;"",M23,IF(I23&lt;&gt;"",I23,IF(E23&lt;&gt;"",E23,""))))</f>
        <v/>
      </c>
      <c r="X23" s="18">
        <f>IF(U23="","",U23*N(Produits!$E$22))</f>
        <v/>
      </c>
    </row>
    <row r="24">
      <c r="A24" s="33">
        <f>IF(Produits!$A$23="","",Produits!$A$23)</f>
        <v/>
      </c>
      <c r="B24" s="34">
        <f>IF(Produits!$A$23="","",Produits!$C$23)</f>
        <v/>
      </c>
      <c r="C24" s="34">
        <f>IF(Produits!$A$23="","",Produits!$D$23)</f>
        <v/>
      </c>
      <c r="D24" s="32" t="n"/>
      <c r="E24" s="29" t="n"/>
      <c r="F24" s="29" t="n"/>
      <c r="G24" s="29" t="n"/>
      <c r="H24" s="32" t="n"/>
      <c r="I24" s="29" t="n"/>
      <c r="J24" s="29" t="n"/>
      <c r="K24" s="29" t="n"/>
      <c r="L24" s="32" t="n"/>
      <c r="M24" s="29" t="n"/>
      <c r="N24" s="29" t="n"/>
      <c r="O24" s="29" t="n"/>
      <c r="P24" s="32" t="n"/>
      <c r="Q24" s="29" t="n"/>
      <c r="R24" s="29" t="n"/>
      <c r="S24" s="29" t="n"/>
      <c r="T24" s="22">
        <f>IF(COUNT(F24,J24,N24,R24)=0,"",SUM(F24,J24,N24,R24))</f>
        <v/>
      </c>
      <c r="U24" s="22">
        <f>IF(COUNT(G24,K24,O24,S24)=0,"",SUM(G24,K24,O24,S24))</f>
        <v/>
      </c>
      <c r="V24" s="22">
        <f>IF(OR(T24="",U24=""),"",U24-T24)</f>
        <v/>
      </c>
      <c r="W24" s="22">
        <f>IF(Q24&lt;&gt;"",Q24,IF(M24&lt;&gt;"",M24,IF(I24&lt;&gt;"",I24,IF(E24&lt;&gt;"",E24,""))))</f>
        <v/>
      </c>
      <c r="X24" s="18">
        <f>IF(U24="","",U24*N(Produits!$E$23))</f>
        <v/>
      </c>
    </row>
    <row r="25">
      <c r="A25" s="33">
        <f>IF(Produits!$A$24="","",Produits!$A$24)</f>
        <v/>
      </c>
      <c r="B25" s="34">
        <f>IF(Produits!$A$24="","",Produits!$C$24)</f>
        <v/>
      </c>
      <c r="C25" s="34">
        <f>IF(Produits!$A$24="","",Produits!$D$24)</f>
        <v/>
      </c>
      <c r="D25" s="32" t="n"/>
      <c r="E25" s="29" t="n"/>
      <c r="F25" s="29" t="n"/>
      <c r="G25" s="29" t="n"/>
      <c r="H25" s="32" t="n"/>
      <c r="I25" s="29" t="n"/>
      <c r="J25" s="29" t="n"/>
      <c r="K25" s="29" t="n"/>
      <c r="L25" s="32" t="n"/>
      <c r="M25" s="29" t="n"/>
      <c r="N25" s="29" t="n"/>
      <c r="O25" s="29" t="n"/>
      <c r="P25" s="32" t="n"/>
      <c r="Q25" s="29" t="n"/>
      <c r="R25" s="29" t="n"/>
      <c r="S25" s="29" t="n"/>
      <c r="T25" s="22">
        <f>IF(COUNT(F25,J25,N25,R25)=0,"",SUM(F25,J25,N25,R25))</f>
        <v/>
      </c>
      <c r="U25" s="22">
        <f>IF(COUNT(G25,K25,O25,S25)=0,"",SUM(G25,K25,O25,S25))</f>
        <v/>
      </c>
      <c r="V25" s="22">
        <f>IF(OR(T25="",U25=""),"",U25-T25)</f>
        <v/>
      </c>
      <c r="W25" s="22">
        <f>IF(Q25&lt;&gt;"",Q25,IF(M25&lt;&gt;"",M25,IF(I25&lt;&gt;"",I25,IF(E25&lt;&gt;"",E25,""))))</f>
        <v/>
      </c>
      <c r="X25" s="18">
        <f>IF(U25="","",U25*N(Produits!$E$24))</f>
        <v/>
      </c>
    </row>
    <row r="26">
      <c r="A26" s="33">
        <f>IF(Produits!$A$25="","",Produits!$A$25)</f>
        <v/>
      </c>
      <c r="B26" s="34">
        <f>IF(Produits!$A$25="","",Produits!$C$25)</f>
        <v/>
      </c>
      <c r="C26" s="34">
        <f>IF(Produits!$A$25="","",Produits!$D$25)</f>
        <v/>
      </c>
      <c r="D26" s="32" t="n"/>
      <c r="E26" s="29" t="n"/>
      <c r="F26" s="29" t="n"/>
      <c r="G26" s="29" t="n"/>
      <c r="H26" s="32" t="n"/>
      <c r="I26" s="29" t="n"/>
      <c r="J26" s="29" t="n"/>
      <c r="K26" s="29" t="n"/>
      <c r="L26" s="32" t="n"/>
      <c r="M26" s="29" t="n"/>
      <c r="N26" s="29" t="n"/>
      <c r="O26" s="29" t="n"/>
      <c r="P26" s="32" t="n"/>
      <c r="Q26" s="29" t="n"/>
      <c r="R26" s="29" t="n"/>
      <c r="S26" s="29" t="n"/>
      <c r="T26" s="22">
        <f>IF(COUNT(F26,J26,N26,R26)=0,"",SUM(F26,J26,N26,R26))</f>
        <v/>
      </c>
      <c r="U26" s="22">
        <f>IF(COUNT(G26,K26,O26,S26)=0,"",SUM(G26,K26,O26,S26))</f>
        <v/>
      </c>
      <c r="V26" s="22">
        <f>IF(OR(T26="",U26=""),"",U26-T26)</f>
        <v/>
      </c>
      <c r="W26" s="22">
        <f>IF(Q26&lt;&gt;"",Q26,IF(M26&lt;&gt;"",M26,IF(I26&lt;&gt;"",I26,IF(E26&lt;&gt;"",E26,""))))</f>
        <v/>
      </c>
      <c r="X26" s="18">
        <f>IF(U26="","",U26*N(Produits!$E$25))</f>
        <v/>
      </c>
    </row>
    <row r="27">
      <c r="A27" s="33">
        <f>IF(Produits!$A$26="","",Produits!$A$26)</f>
        <v/>
      </c>
      <c r="B27" s="34">
        <f>IF(Produits!$A$26="","",Produits!$C$26)</f>
        <v/>
      </c>
      <c r="C27" s="34">
        <f>IF(Produits!$A$26="","",Produits!$D$26)</f>
        <v/>
      </c>
      <c r="D27" s="32" t="n"/>
      <c r="E27" s="29" t="n"/>
      <c r="F27" s="29" t="n"/>
      <c r="G27" s="29" t="n"/>
      <c r="H27" s="32" t="n"/>
      <c r="I27" s="29" t="n"/>
      <c r="J27" s="29" t="n"/>
      <c r="K27" s="29" t="n"/>
      <c r="L27" s="32" t="n"/>
      <c r="M27" s="29" t="n"/>
      <c r="N27" s="29" t="n"/>
      <c r="O27" s="29" t="n"/>
      <c r="P27" s="32" t="n"/>
      <c r="Q27" s="29" t="n"/>
      <c r="R27" s="29" t="n"/>
      <c r="S27" s="29" t="n"/>
      <c r="T27" s="22">
        <f>IF(COUNT(F27,J27,N27,R27)=0,"",SUM(F27,J27,N27,R27))</f>
        <v/>
      </c>
      <c r="U27" s="22">
        <f>IF(COUNT(G27,K27,O27,S27)=0,"",SUM(G27,K27,O27,S27))</f>
        <v/>
      </c>
      <c r="V27" s="22">
        <f>IF(OR(T27="",U27=""),"",U27-T27)</f>
        <v/>
      </c>
      <c r="W27" s="22">
        <f>IF(Q27&lt;&gt;"",Q27,IF(M27&lt;&gt;"",M27,IF(I27&lt;&gt;"",I27,IF(E27&lt;&gt;"",E27,""))))</f>
        <v/>
      </c>
      <c r="X27" s="18">
        <f>IF(U27="","",U27*N(Produits!$E$26))</f>
        <v/>
      </c>
    </row>
    <row r="28">
      <c r="A28" s="33">
        <f>IF(Produits!$A$27="","",Produits!$A$27)</f>
        <v/>
      </c>
      <c r="B28" s="34">
        <f>IF(Produits!$A$27="","",Produits!$C$27)</f>
        <v/>
      </c>
      <c r="C28" s="34">
        <f>IF(Produits!$A$27="","",Produits!$D$27)</f>
        <v/>
      </c>
      <c r="D28" s="32" t="n"/>
      <c r="E28" s="29" t="n"/>
      <c r="F28" s="29" t="n"/>
      <c r="G28" s="29" t="n"/>
      <c r="H28" s="32" t="n"/>
      <c r="I28" s="29" t="n"/>
      <c r="J28" s="29" t="n"/>
      <c r="K28" s="29" t="n"/>
      <c r="L28" s="32" t="n"/>
      <c r="M28" s="29" t="n"/>
      <c r="N28" s="29" t="n"/>
      <c r="O28" s="29" t="n"/>
      <c r="P28" s="32" t="n"/>
      <c r="Q28" s="29" t="n"/>
      <c r="R28" s="29" t="n"/>
      <c r="S28" s="29" t="n"/>
      <c r="T28" s="22">
        <f>IF(COUNT(F28,J28,N28,R28)=0,"",SUM(F28,J28,N28,R28))</f>
        <v/>
      </c>
      <c r="U28" s="22">
        <f>IF(COUNT(G28,K28,O28,S28)=0,"",SUM(G28,K28,O28,S28))</f>
        <v/>
      </c>
      <c r="V28" s="22">
        <f>IF(OR(T28="",U28=""),"",U28-T28)</f>
        <v/>
      </c>
      <c r="W28" s="22">
        <f>IF(Q28&lt;&gt;"",Q28,IF(M28&lt;&gt;"",M28,IF(I28&lt;&gt;"",I28,IF(E28&lt;&gt;"",E28,""))))</f>
        <v/>
      </c>
      <c r="X28" s="18">
        <f>IF(U28="","",U28*N(Produits!$E$27))</f>
        <v/>
      </c>
    </row>
    <row r="29">
      <c r="A29" s="33">
        <f>IF(Produits!$A$28="","",Produits!$A$28)</f>
        <v/>
      </c>
      <c r="B29" s="34">
        <f>IF(Produits!$A$28="","",Produits!$C$28)</f>
        <v/>
      </c>
      <c r="C29" s="34">
        <f>IF(Produits!$A$28="","",Produits!$D$28)</f>
        <v/>
      </c>
      <c r="D29" s="32" t="n"/>
      <c r="E29" s="29" t="n"/>
      <c r="F29" s="29" t="n"/>
      <c r="G29" s="29" t="n"/>
      <c r="H29" s="32" t="n"/>
      <c r="I29" s="29" t="n"/>
      <c r="J29" s="29" t="n"/>
      <c r="K29" s="29" t="n"/>
      <c r="L29" s="32" t="n"/>
      <c r="M29" s="29" t="n"/>
      <c r="N29" s="29" t="n"/>
      <c r="O29" s="29" t="n"/>
      <c r="P29" s="32" t="n"/>
      <c r="Q29" s="29" t="n"/>
      <c r="R29" s="29" t="n"/>
      <c r="S29" s="29" t="n"/>
      <c r="T29" s="22">
        <f>IF(COUNT(F29,J29,N29,R29)=0,"",SUM(F29,J29,N29,R29))</f>
        <v/>
      </c>
      <c r="U29" s="22">
        <f>IF(COUNT(G29,K29,O29,S29)=0,"",SUM(G29,K29,O29,S29))</f>
        <v/>
      </c>
      <c r="V29" s="22">
        <f>IF(OR(T29="",U29=""),"",U29-T29)</f>
        <v/>
      </c>
      <c r="W29" s="22">
        <f>IF(Q29&lt;&gt;"",Q29,IF(M29&lt;&gt;"",M29,IF(I29&lt;&gt;"",I29,IF(E29&lt;&gt;"",E29,""))))</f>
        <v/>
      </c>
      <c r="X29" s="18">
        <f>IF(U29="","",U29*N(Produits!$E$28))</f>
        <v/>
      </c>
    </row>
    <row r="30">
      <c r="A30" s="33">
        <f>IF(Produits!$A$29="","",Produits!$A$29)</f>
        <v/>
      </c>
      <c r="B30" s="34">
        <f>IF(Produits!$A$29="","",Produits!$C$29)</f>
        <v/>
      </c>
      <c r="C30" s="34">
        <f>IF(Produits!$A$29="","",Produits!$D$29)</f>
        <v/>
      </c>
      <c r="D30" s="32" t="n"/>
      <c r="E30" s="29" t="n"/>
      <c r="F30" s="29" t="n"/>
      <c r="G30" s="29" t="n"/>
      <c r="H30" s="32" t="n"/>
      <c r="I30" s="29" t="n"/>
      <c r="J30" s="29" t="n"/>
      <c r="K30" s="29" t="n"/>
      <c r="L30" s="32" t="n"/>
      <c r="M30" s="29" t="n"/>
      <c r="N30" s="29" t="n"/>
      <c r="O30" s="29" t="n"/>
      <c r="P30" s="32" t="n"/>
      <c r="Q30" s="29" t="n"/>
      <c r="R30" s="29" t="n"/>
      <c r="S30" s="29" t="n"/>
      <c r="T30" s="22">
        <f>IF(COUNT(F30,J30,N30,R30)=0,"",SUM(F30,J30,N30,R30))</f>
        <v/>
      </c>
      <c r="U30" s="22">
        <f>IF(COUNT(G30,K30,O30,S30)=0,"",SUM(G30,K30,O30,S30))</f>
        <v/>
      </c>
      <c r="V30" s="22">
        <f>IF(OR(T30="",U30=""),"",U30-T30)</f>
        <v/>
      </c>
      <c r="W30" s="22">
        <f>IF(Q30&lt;&gt;"",Q30,IF(M30&lt;&gt;"",M30,IF(I30&lt;&gt;"",I30,IF(E30&lt;&gt;"",E30,""))))</f>
        <v/>
      </c>
      <c r="X30" s="18">
        <f>IF(U30="","",U30*N(Produits!$E$29))</f>
        <v/>
      </c>
    </row>
    <row r="31">
      <c r="A31" s="33">
        <f>IF(Produits!$A$30="","",Produits!$A$30)</f>
        <v/>
      </c>
      <c r="B31" s="34">
        <f>IF(Produits!$A$30="","",Produits!$C$30)</f>
        <v/>
      </c>
      <c r="C31" s="34">
        <f>IF(Produits!$A$30="","",Produits!$D$30)</f>
        <v/>
      </c>
      <c r="D31" s="32" t="n"/>
      <c r="E31" s="29" t="n"/>
      <c r="F31" s="29" t="n"/>
      <c r="G31" s="29" t="n"/>
      <c r="H31" s="32" t="n"/>
      <c r="I31" s="29" t="n"/>
      <c r="J31" s="29" t="n"/>
      <c r="K31" s="29" t="n"/>
      <c r="L31" s="32" t="n"/>
      <c r="M31" s="29" t="n"/>
      <c r="N31" s="29" t="n"/>
      <c r="O31" s="29" t="n"/>
      <c r="P31" s="32" t="n"/>
      <c r="Q31" s="29" t="n"/>
      <c r="R31" s="29" t="n"/>
      <c r="S31" s="29" t="n"/>
      <c r="T31" s="22">
        <f>IF(COUNT(F31,J31,N31,R31)=0,"",SUM(F31,J31,N31,R31))</f>
        <v/>
      </c>
      <c r="U31" s="22">
        <f>IF(COUNT(G31,K31,O31,S31)=0,"",SUM(G31,K31,O31,S31))</f>
        <v/>
      </c>
      <c r="V31" s="22">
        <f>IF(OR(T31="",U31=""),"",U31-T31)</f>
        <v/>
      </c>
      <c r="W31" s="22">
        <f>IF(Q31&lt;&gt;"",Q31,IF(M31&lt;&gt;"",M31,IF(I31&lt;&gt;"",I31,IF(E31&lt;&gt;"",E31,""))))</f>
        <v/>
      </c>
      <c r="X31" s="18">
        <f>IF(U31="","",U31*N(Produits!$E$30))</f>
        <v/>
      </c>
    </row>
    <row r="32">
      <c r="A32" s="33">
        <f>IF(Produits!$A$31="","",Produits!$A$31)</f>
        <v/>
      </c>
      <c r="B32" s="34">
        <f>IF(Produits!$A$31="","",Produits!$C$31)</f>
        <v/>
      </c>
      <c r="C32" s="34">
        <f>IF(Produits!$A$31="","",Produits!$D$31)</f>
        <v/>
      </c>
      <c r="D32" s="32" t="n"/>
      <c r="E32" s="29" t="n"/>
      <c r="F32" s="29" t="n"/>
      <c r="G32" s="29" t="n"/>
      <c r="H32" s="32" t="n"/>
      <c r="I32" s="29" t="n"/>
      <c r="J32" s="29" t="n"/>
      <c r="K32" s="29" t="n"/>
      <c r="L32" s="32" t="n"/>
      <c r="M32" s="29" t="n"/>
      <c r="N32" s="29" t="n"/>
      <c r="O32" s="29" t="n"/>
      <c r="P32" s="32" t="n"/>
      <c r="Q32" s="29" t="n"/>
      <c r="R32" s="29" t="n"/>
      <c r="S32" s="29" t="n"/>
      <c r="T32" s="22">
        <f>IF(COUNT(F32,J32,N32,R32)=0,"",SUM(F32,J32,N32,R32))</f>
        <v/>
      </c>
      <c r="U32" s="22">
        <f>IF(COUNT(G32,K32,O32,S32)=0,"",SUM(G32,K32,O32,S32))</f>
        <v/>
      </c>
      <c r="V32" s="22">
        <f>IF(OR(T32="",U32=""),"",U32-T32)</f>
        <v/>
      </c>
      <c r="W32" s="22">
        <f>IF(Q32&lt;&gt;"",Q32,IF(M32&lt;&gt;"",M32,IF(I32&lt;&gt;"",I32,IF(E32&lt;&gt;"",E32,""))))</f>
        <v/>
      </c>
      <c r="X32" s="18">
        <f>IF(U32="","",U32*N(Produits!$E$31))</f>
        <v/>
      </c>
    </row>
    <row r="33">
      <c r="A33" s="33">
        <f>IF(Produits!$A$32="","",Produits!$A$32)</f>
        <v/>
      </c>
      <c r="B33" s="34">
        <f>IF(Produits!$A$32="","",Produits!$C$32)</f>
        <v/>
      </c>
      <c r="C33" s="34">
        <f>IF(Produits!$A$32="","",Produits!$D$32)</f>
        <v/>
      </c>
      <c r="D33" s="32" t="n"/>
      <c r="E33" s="29" t="n"/>
      <c r="F33" s="29" t="n"/>
      <c r="G33" s="29" t="n"/>
      <c r="H33" s="32" t="n"/>
      <c r="I33" s="29" t="n"/>
      <c r="J33" s="29" t="n"/>
      <c r="K33" s="29" t="n"/>
      <c r="L33" s="32" t="n"/>
      <c r="M33" s="29" t="n"/>
      <c r="N33" s="29" t="n"/>
      <c r="O33" s="29" t="n"/>
      <c r="P33" s="32" t="n"/>
      <c r="Q33" s="29" t="n"/>
      <c r="R33" s="29" t="n"/>
      <c r="S33" s="29" t="n"/>
      <c r="T33" s="22">
        <f>IF(COUNT(F33,J33,N33,R33)=0,"",SUM(F33,J33,N33,R33))</f>
        <v/>
      </c>
      <c r="U33" s="22">
        <f>IF(COUNT(G33,K33,O33,S33)=0,"",SUM(G33,K33,O33,S33))</f>
        <v/>
      </c>
      <c r="V33" s="22">
        <f>IF(OR(T33="",U33=""),"",U33-T33)</f>
        <v/>
      </c>
      <c r="W33" s="22">
        <f>IF(Q33&lt;&gt;"",Q33,IF(M33&lt;&gt;"",M33,IF(I33&lt;&gt;"",I33,IF(E33&lt;&gt;"",E33,""))))</f>
        <v/>
      </c>
      <c r="X33" s="18">
        <f>IF(U33="","",U33*N(Produits!$E$32))</f>
        <v/>
      </c>
    </row>
    <row r="34">
      <c r="A34" s="33">
        <f>IF(Produits!$A$33="","",Produits!$A$33)</f>
        <v/>
      </c>
      <c r="B34" s="34">
        <f>IF(Produits!$A$33="","",Produits!$C$33)</f>
        <v/>
      </c>
      <c r="C34" s="34">
        <f>IF(Produits!$A$33="","",Produits!$D$33)</f>
        <v/>
      </c>
      <c r="D34" s="32" t="n"/>
      <c r="E34" s="29" t="n"/>
      <c r="F34" s="29" t="n"/>
      <c r="G34" s="29" t="n"/>
      <c r="H34" s="32" t="n"/>
      <c r="I34" s="29" t="n"/>
      <c r="J34" s="29" t="n"/>
      <c r="K34" s="29" t="n"/>
      <c r="L34" s="32" t="n"/>
      <c r="M34" s="29" t="n"/>
      <c r="N34" s="29" t="n"/>
      <c r="O34" s="29" t="n"/>
      <c r="P34" s="32" t="n"/>
      <c r="Q34" s="29" t="n"/>
      <c r="R34" s="29" t="n"/>
      <c r="S34" s="29" t="n"/>
      <c r="T34" s="22">
        <f>IF(COUNT(F34,J34,N34,R34)=0,"",SUM(F34,J34,N34,R34))</f>
        <v/>
      </c>
      <c r="U34" s="22">
        <f>IF(COUNT(G34,K34,O34,S34)=0,"",SUM(G34,K34,O34,S34))</f>
        <v/>
      </c>
      <c r="V34" s="22">
        <f>IF(OR(T34="",U34=""),"",U34-T34)</f>
        <v/>
      </c>
      <c r="W34" s="22">
        <f>IF(Q34&lt;&gt;"",Q34,IF(M34&lt;&gt;"",M34,IF(I34&lt;&gt;"",I34,IF(E34&lt;&gt;"",E34,""))))</f>
        <v/>
      </c>
      <c r="X34" s="18">
        <f>IF(U34="","",U34*N(Produits!$E$33))</f>
        <v/>
      </c>
    </row>
    <row r="35">
      <c r="A35" s="33">
        <f>IF(Produits!$A$34="","",Produits!$A$34)</f>
        <v/>
      </c>
      <c r="B35" s="34">
        <f>IF(Produits!$A$34="","",Produits!$C$34)</f>
        <v/>
      </c>
      <c r="C35" s="34">
        <f>IF(Produits!$A$34="","",Produits!$D$34)</f>
        <v/>
      </c>
      <c r="D35" s="32" t="n"/>
      <c r="E35" s="29" t="n"/>
      <c r="F35" s="29" t="n"/>
      <c r="G35" s="29" t="n"/>
      <c r="H35" s="32" t="n"/>
      <c r="I35" s="29" t="n"/>
      <c r="J35" s="29" t="n"/>
      <c r="K35" s="29" t="n"/>
      <c r="L35" s="32" t="n"/>
      <c r="M35" s="29" t="n"/>
      <c r="N35" s="29" t="n"/>
      <c r="O35" s="29" t="n"/>
      <c r="P35" s="32" t="n"/>
      <c r="Q35" s="29" t="n"/>
      <c r="R35" s="29" t="n"/>
      <c r="S35" s="29" t="n"/>
      <c r="T35" s="22">
        <f>IF(COUNT(F35,J35,N35,R35)=0,"",SUM(F35,J35,N35,R35))</f>
        <v/>
      </c>
      <c r="U35" s="22">
        <f>IF(COUNT(G35,K35,O35,S35)=0,"",SUM(G35,K35,O35,S35))</f>
        <v/>
      </c>
      <c r="V35" s="22">
        <f>IF(OR(T35="",U35=""),"",U35-T35)</f>
        <v/>
      </c>
      <c r="W35" s="22">
        <f>IF(Q35&lt;&gt;"",Q35,IF(M35&lt;&gt;"",M35,IF(I35&lt;&gt;"",I35,IF(E35&lt;&gt;"",E35,""))))</f>
        <v/>
      </c>
      <c r="X35" s="18">
        <f>IF(U35="","",U35*N(Produits!$E$34))</f>
        <v/>
      </c>
    </row>
    <row r="36">
      <c r="A36" s="33">
        <f>IF(Produits!$A$35="","",Produits!$A$35)</f>
        <v/>
      </c>
      <c r="B36" s="34">
        <f>IF(Produits!$A$35="","",Produits!$C$35)</f>
        <v/>
      </c>
      <c r="C36" s="34">
        <f>IF(Produits!$A$35="","",Produits!$D$35)</f>
        <v/>
      </c>
      <c r="D36" s="32" t="n"/>
      <c r="E36" s="29" t="n"/>
      <c r="F36" s="29" t="n"/>
      <c r="G36" s="29" t="n"/>
      <c r="H36" s="32" t="n"/>
      <c r="I36" s="29" t="n"/>
      <c r="J36" s="29" t="n"/>
      <c r="K36" s="29" t="n"/>
      <c r="L36" s="32" t="n"/>
      <c r="M36" s="29" t="n"/>
      <c r="N36" s="29" t="n"/>
      <c r="O36" s="29" t="n"/>
      <c r="P36" s="32" t="n"/>
      <c r="Q36" s="29" t="n"/>
      <c r="R36" s="29" t="n"/>
      <c r="S36" s="29" t="n"/>
      <c r="T36" s="22">
        <f>IF(COUNT(F36,J36,N36,R36)=0,"",SUM(F36,J36,N36,R36))</f>
        <v/>
      </c>
      <c r="U36" s="22">
        <f>IF(COUNT(G36,K36,O36,S36)=0,"",SUM(G36,K36,O36,S36))</f>
        <v/>
      </c>
      <c r="V36" s="22">
        <f>IF(OR(T36="",U36=""),"",U36-T36)</f>
        <v/>
      </c>
      <c r="W36" s="22">
        <f>IF(Q36&lt;&gt;"",Q36,IF(M36&lt;&gt;"",M36,IF(I36&lt;&gt;"",I36,IF(E36&lt;&gt;"",E36,""))))</f>
        <v/>
      </c>
      <c r="X36" s="18">
        <f>IF(U36="","",U36*N(Produits!$E$35))</f>
        <v/>
      </c>
    </row>
    <row r="37">
      <c r="A37" s="33">
        <f>IF(Produits!$A$36="","",Produits!$A$36)</f>
        <v/>
      </c>
      <c r="B37" s="34">
        <f>IF(Produits!$A$36="","",Produits!$C$36)</f>
        <v/>
      </c>
      <c r="C37" s="34">
        <f>IF(Produits!$A$36="","",Produits!$D$36)</f>
        <v/>
      </c>
      <c r="D37" s="32" t="n"/>
      <c r="E37" s="29" t="n"/>
      <c r="F37" s="29" t="n"/>
      <c r="G37" s="29" t="n"/>
      <c r="H37" s="32" t="n"/>
      <c r="I37" s="29" t="n"/>
      <c r="J37" s="29" t="n"/>
      <c r="K37" s="29" t="n"/>
      <c r="L37" s="32" t="n"/>
      <c r="M37" s="29" t="n"/>
      <c r="N37" s="29" t="n"/>
      <c r="O37" s="29" t="n"/>
      <c r="P37" s="32" t="n"/>
      <c r="Q37" s="29" t="n"/>
      <c r="R37" s="29" t="n"/>
      <c r="S37" s="29" t="n"/>
      <c r="T37" s="22">
        <f>IF(COUNT(F37,J37,N37,R37)=0,"",SUM(F37,J37,N37,R37))</f>
        <v/>
      </c>
      <c r="U37" s="22">
        <f>IF(COUNT(G37,K37,O37,S37)=0,"",SUM(G37,K37,O37,S37))</f>
        <v/>
      </c>
      <c r="V37" s="22">
        <f>IF(OR(T37="",U37=""),"",U37-T37)</f>
        <v/>
      </c>
      <c r="W37" s="22">
        <f>IF(Q37&lt;&gt;"",Q37,IF(M37&lt;&gt;"",M37,IF(I37&lt;&gt;"",I37,IF(E37&lt;&gt;"",E37,""))))</f>
        <v/>
      </c>
      <c r="X37" s="18">
        <f>IF(U37="","",U37*N(Produits!$E$36))</f>
        <v/>
      </c>
    </row>
    <row r="38" ht="20" customHeight="1">
      <c r="A38" s="23" t="inlineStr">
        <is>
          <t>CHAMBRE FROIDE NÉGATIVE</t>
        </is>
      </c>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row>
    <row r="39">
      <c r="A39" s="33">
        <f>IF(Produits!$A$38="","",Produits!$A$38)</f>
        <v/>
      </c>
      <c r="B39" s="34">
        <f>IF(Produits!$A$38="","",Produits!$C$38)</f>
        <v/>
      </c>
      <c r="C39" s="34">
        <f>IF(Produits!$A$38="","",Produits!$D$38)</f>
        <v/>
      </c>
      <c r="D39" s="32" t="n"/>
      <c r="E39" s="29" t="n"/>
      <c r="F39" s="29" t="n"/>
      <c r="G39" s="29" t="n"/>
      <c r="H39" s="32" t="n"/>
      <c r="I39" s="29" t="n"/>
      <c r="J39" s="29" t="n"/>
      <c r="K39" s="29" t="n"/>
      <c r="L39" s="32" t="n"/>
      <c r="M39" s="29" t="n"/>
      <c r="N39" s="29" t="n"/>
      <c r="O39" s="29" t="n"/>
      <c r="P39" s="32" t="n"/>
      <c r="Q39" s="29" t="n"/>
      <c r="R39" s="29" t="n"/>
      <c r="S39" s="29" t="n"/>
      <c r="T39" s="22">
        <f>IF(COUNT(F39,J39,N39,R39)=0,"",SUM(F39,J39,N39,R39))</f>
        <v/>
      </c>
      <c r="U39" s="22">
        <f>IF(COUNT(G39,K39,O39,S39)=0,"",SUM(G39,K39,O39,S39))</f>
        <v/>
      </c>
      <c r="V39" s="22">
        <f>IF(OR(T39="",U39=""),"",U39-T39)</f>
        <v/>
      </c>
      <c r="W39" s="22">
        <f>IF(Q39&lt;&gt;"",Q39,IF(M39&lt;&gt;"",M39,IF(I39&lt;&gt;"",I39,IF(E39&lt;&gt;"",E39,""))))</f>
        <v/>
      </c>
      <c r="X39" s="18">
        <f>IF(U39="","",U39*N(Produits!$E$38))</f>
        <v/>
      </c>
    </row>
    <row r="40">
      <c r="A40" s="33">
        <f>IF(Produits!$A$39="","",Produits!$A$39)</f>
        <v/>
      </c>
      <c r="B40" s="34">
        <f>IF(Produits!$A$39="","",Produits!$C$39)</f>
        <v/>
      </c>
      <c r="C40" s="34">
        <f>IF(Produits!$A$39="","",Produits!$D$39)</f>
        <v/>
      </c>
      <c r="D40" s="32" t="n"/>
      <c r="E40" s="29" t="n"/>
      <c r="F40" s="29" t="n"/>
      <c r="G40" s="29" t="n"/>
      <c r="H40" s="32" t="n"/>
      <c r="I40" s="29" t="n"/>
      <c r="J40" s="29" t="n"/>
      <c r="K40" s="29" t="n"/>
      <c r="L40" s="32" t="n"/>
      <c r="M40" s="29" t="n"/>
      <c r="N40" s="29" t="n"/>
      <c r="O40" s="29" t="n"/>
      <c r="P40" s="32" t="n"/>
      <c r="Q40" s="29" t="n"/>
      <c r="R40" s="29" t="n"/>
      <c r="S40" s="29" t="n"/>
      <c r="T40" s="22">
        <f>IF(COUNT(F40,J40,N40,R40)=0,"",SUM(F40,J40,N40,R40))</f>
        <v/>
      </c>
      <c r="U40" s="22">
        <f>IF(COUNT(G40,K40,O40,S40)=0,"",SUM(G40,K40,O40,S40))</f>
        <v/>
      </c>
      <c r="V40" s="22">
        <f>IF(OR(T40="",U40=""),"",U40-T40)</f>
        <v/>
      </c>
      <c r="W40" s="22">
        <f>IF(Q40&lt;&gt;"",Q40,IF(M40&lt;&gt;"",M40,IF(I40&lt;&gt;"",I40,IF(E40&lt;&gt;"",E40,""))))</f>
        <v/>
      </c>
      <c r="X40" s="18">
        <f>IF(U40="","",U40*N(Produits!$E$39))</f>
        <v/>
      </c>
    </row>
    <row r="41">
      <c r="A41" s="33">
        <f>IF(Produits!$A$40="","",Produits!$A$40)</f>
        <v/>
      </c>
      <c r="B41" s="34">
        <f>IF(Produits!$A$40="","",Produits!$C$40)</f>
        <v/>
      </c>
      <c r="C41" s="34">
        <f>IF(Produits!$A$40="","",Produits!$D$40)</f>
        <v/>
      </c>
      <c r="D41" s="32" t="n"/>
      <c r="E41" s="29" t="n"/>
      <c r="F41" s="29" t="n"/>
      <c r="G41" s="29" t="n"/>
      <c r="H41" s="32" t="n"/>
      <c r="I41" s="29" t="n"/>
      <c r="J41" s="29" t="n"/>
      <c r="K41" s="29" t="n"/>
      <c r="L41" s="32" t="n"/>
      <c r="M41" s="29" t="n"/>
      <c r="N41" s="29" t="n"/>
      <c r="O41" s="29" t="n"/>
      <c r="P41" s="32" t="n"/>
      <c r="Q41" s="29" t="n"/>
      <c r="R41" s="29" t="n"/>
      <c r="S41" s="29" t="n"/>
      <c r="T41" s="22">
        <f>IF(COUNT(F41,J41,N41,R41)=0,"",SUM(F41,J41,N41,R41))</f>
        <v/>
      </c>
      <c r="U41" s="22">
        <f>IF(COUNT(G41,K41,O41,S41)=0,"",SUM(G41,K41,O41,S41))</f>
        <v/>
      </c>
      <c r="V41" s="22">
        <f>IF(OR(T41="",U41=""),"",U41-T41)</f>
        <v/>
      </c>
      <c r="W41" s="22">
        <f>IF(Q41&lt;&gt;"",Q41,IF(M41&lt;&gt;"",M41,IF(I41&lt;&gt;"",I41,IF(E41&lt;&gt;"",E41,""))))</f>
        <v/>
      </c>
      <c r="X41" s="18">
        <f>IF(U41="","",U41*N(Produits!$E$40))</f>
        <v/>
      </c>
    </row>
    <row r="42">
      <c r="A42" s="33">
        <f>IF(Produits!$A$41="","",Produits!$A$41)</f>
        <v/>
      </c>
      <c r="B42" s="34">
        <f>IF(Produits!$A$41="","",Produits!$C$41)</f>
        <v/>
      </c>
      <c r="C42" s="34">
        <f>IF(Produits!$A$41="","",Produits!$D$41)</f>
        <v/>
      </c>
      <c r="D42" s="32" t="n"/>
      <c r="E42" s="29" t="n"/>
      <c r="F42" s="29" t="n"/>
      <c r="G42" s="29" t="n"/>
      <c r="H42" s="32" t="n"/>
      <c r="I42" s="29" t="n"/>
      <c r="J42" s="29" t="n"/>
      <c r="K42" s="29" t="n"/>
      <c r="L42" s="32" t="n"/>
      <c r="M42" s="29" t="n"/>
      <c r="N42" s="29" t="n"/>
      <c r="O42" s="29" t="n"/>
      <c r="P42" s="32" t="n"/>
      <c r="Q42" s="29" t="n"/>
      <c r="R42" s="29" t="n"/>
      <c r="S42" s="29" t="n"/>
      <c r="T42" s="22">
        <f>IF(COUNT(F42,J42,N42,R42)=0,"",SUM(F42,J42,N42,R42))</f>
        <v/>
      </c>
      <c r="U42" s="22">
        <f>IF(COUNT(G42,K42,O42,S42)=0,"",SUM(G42,K42,O42,S42))</f>
        <v/>
      </c>
      <c r="V42" s="22">
        <f>IF(OR(T42="",U42=""),"",U42-T42)</f>
        <v/>
      </c>
      <c r="W42" s="22">
        <f>IF(Q42&lt;&gt;"",Q42,IF(M42&lt;&gt;"",M42,IF(I42&lt;&gt;"",I42,IF(E42&lt;&gt;"",E42,""))))</f>
        <v/>
      </c>
      <c r="X42" s="18">
        <f>IF(U42="","",U42*N(Produits!$E$41))</f>
        <v/>
      </c>
    </row>
    <row r="43">
      <c r="A43" s="33">
        <f>IF(Produits!$A$42="","",Produits!$A$42)</f>
        <v/>
      </c>
      <c r="B43" s="34">
        <f>IF(Produits!$A$42="","",Produits!$C$42)</f>
        <v/>
      </c>
      <c r="C43" s="34">
        <f>IF(Produits!$A$42="","",Produits!$D$42)</f>
        <v/>
      </c>
      <c r="D43" s="32" t="n"/>
      <c r="E43" s="29" t="n"/>
      <c r="F43" s="29" t="n"/>
      <c r="G43" s="29" t="n"/>
      <c r="H43" s="32" t="n"/>
      <c r="I43" s="29" t="n"/>
      <c r="J43" s="29" t="n"/>
      <c r="K43" s="29" t="n"/>
      <c r="L43" s="32" t="n"/>
      <c r="M43" s="29" t="n"/>
      <c r="N43" s="29" t="n"/>
      <c r="O43" s="29" t="n"/>
      <c r="P43" s="32" t="n"/>
      <c r="Q43" s="29" t="n"/>
      <c r="R43" s="29" t="n"/>
      <c r="S43" s="29" t="n"/>
      <c r="T43" s="22">
        <f>IF(COUNT(F43,J43,N43,R43)=0,"",SUM(F43,J43,N43,R43))</f>
        <v/>
      </c>
      <c r="U43" s="22">
        <f>IF(COUNT(G43,K43,O43,S43)=0,"",SUM(G43,K43,O43,S43))</f>
        <v/>
      </c>
      <c r="V43" s="22">
        <f>IF(OR(T43="",U43=""),"",U43-T43)</f>
        <v/>
      </c>
      <c r="W43" s="22">
        <f>IF(Q43&lt;&gt;"",Q43,IF(M43&lt;&gt;"",M43,IF(I43&lt;&gt;"",I43,IF(E43&lt;&gt;"",E43,""))))</f>
        <v/>
      </c>
      <c r="X43" s="18">
        <f>IF(U43="","",U43*N(Produits!$E$42))</f>
        <v/>
      </c>
    </row>
    <row r="44">
      <c r="A44" s="33">
        <f>IF(Produits!$A$43="","",Produits!$A$43)</f>
        <v/>
      </c>
      <c r="B44" s="34">
        <f>IF(Produits!$A$43="","",Produits!$C$43)</f>
        <v/>
      </c>
      <c r="C44" s="34">
        <f>IF(Produits!$A$43="","",Produits!$D$43)</f>
        <v/>
      </c>
      <c r="D44" s="32" t="n"/>
      <c r="E44" s="29" t="n"/>
      <c r="F44" s="29" t="n"/>
      <c r="G44" s="29" t="n"/>
      <c r="H44" s="32" t="n"/>
      <c r="I44" s="29" t="n"/>
      <c r="J44" s="29" t="n"/>
      <c r="K44" s="29" t="n"/>
      <c r="L44" s="32" t="n"/>
      <c r="M44" s="29" t="n"/>
      <c r="N44" s="29" t="n"/>
      <c r="O44" s="29" t="n"/>
      <c r="P44" s="32" t="n"/>
      <c r="Q44" s="29" t="n"/>
      <c r="R44" s="29" t="n"/>
      <c r="S44" s="29" t="n"/>
      <c r="T44" s="22">
        <f>IF(COUNT(F44,J44,N44,R44)=0,"",SUM(F44,J44,N44,R44))</f>
        <v/>
      </c>
      <c r="U44" s="22">
        <f>IF(COUNT(G44,K44,O44,S44)=0,"",SUM(G44,K44,O44,S44))</f>
        <v/>
      </c>
      <c r="V44" s="22">
        <f>IF(OR(T44="",U44=""),"",U44-T44)</f>
        <v/>
      </c>
      <c r="W44" s="22">
        <f>IF(Q44&lt;&gt;"",Q44,IF(M44&lt;&gt;"",M44,IF(I44&lt;&gt;"",I44,IF(E44&lt;&gt;"",E44,""))))</f>
        <v/>
      </c>
      <c r="X44" s="18">
        <f>IF(U44="","",U44*N(Produits!$E$43))</f>
        <v/>
      </c>
    </row>
    <row r="45">
      <c r="A45" s="33">
        <f>IF(Produits!$A$44="","",Produits!$A$44)</f>
        <v/>
      </c>
      <c r="B45" s="34">
        <f>IF(Produits!$A$44="","",Produits!$C$44)</f>
        <v/>
      </c>
      <c r="C45" s="34">
        <f>IF(Produits!$A$44="","",Produits!$D$44)</f>
        <v/>
      </c>
      <c r="D45" s="32" t="n"/>
      <c r="E45" s="29" t="n"/>
      <c r="F45" s="29" t="n"/>
      <c r="G45" s="29" t="n"/>
      <c r="H45" s="32" t="n"/>
      <c r="I45" s="29" t="n"/>
      <c r="J45" s="29" t="n"/>
      <c r="K45" s="29" t="n"/>
      <c r="L45" s="32" t="n"/>
      <c r="M45" s="29" t="n"/>
      <c r="N45" s="29" t="n"/>
      <c r="O45" s="29" t="n"/>
      <c r="P45" s="32" t="n"/>
      <c r="Q45" s="29" t="n"/>
      <c r="R45" s="29" t="n"/>
      <c r="S45" s="29" t="n"/>
      <c r="T45" s="22">
        <f>IF(COUNT(F45,J45,N45,R45)=0,"",SUM(F45,J45,N45,R45))</f>
        <v/>
      </c>
      <c r="U45" s="22">
        <f>IF(COUNT(G45,K45,O45,S45)=0,"",SUM(G45,K45,O45,S45))</f>
        <v/>
      </c>
      <c r="V45" s="22">
        <f>IF(OR(T45="",U45=""),"",U45-T45)</f>
        <v/>
      </c>
      <c r="W45" s="22">
        <f>IF(Q45&lt;&gt;"",Q45,IF(M45&lt;&gt;"",M45,IF(I45&lt;&gt;"",I45,IF(E45&lt;&gt;"",E45,""))))</f>
        <v/>
      </c>
      <c r="X45" s="18">
        <f>IF(U45="","",U45*N(Produits!$E$44))</f>
        <v/>
      </c>
    </row>
    <row r="46">
      <c r="A46" s="33">
        <f>IF(Produits!$A$45="","",Produits!$A$45)</f>
        <v/>
      </c>
      <c r="B46" s="34">
        <f>IF(Produits!$A$45="","",Produits!$C$45)</f>
        <v/>
      </c>
      <c r="C46" s="34">
        <f>IF(Produits!$A$45="","",Produits!$D$45)</f>
        <v/>
      </c>
      <c r="D46" s="32" t="n"/>
      <c r="E46" s="29" t="n"/>
      <c r="F46" s="29" t="n"/>
      <c r="G46" s="29" t="n"/>
      <c r="H46" s="32" t="n"/>
      <c r="I46" s="29" t="n"/>
      <c r="J46" s="29" t="n"/>
      <c r="K46" s="29" t="n"/>
      <c r="L46" s="32" t="n"/>
      <c r="M46" s="29" t="n"/>
      <c r="N46" s="29" t="n"/>
      <c r="O46" s="29" t="n"/>
      <c r="P46" s="32" t="n"/>
      <c r="Q46" s="29" t="n"/>
      <c r="R46" s="29" t="n"/>
      <c r="S46" s="29" t="n"/>
      <c r="T46" s="22">
        <f>IF(COUNT(F46,J46,N46,R46)=0,"",SUM(F46,J46,N46,R46))</f>
        <v/>
      </c>
      <c r="U46" s="22">
        <f>IF(COUNT(G46,K46,O46,S46)=0,"",SUM(G46,K46,O46,S46))</f>
        <v/>
      </c>
      <c r="V46" s="22">
        <f>IF(OR(T46="",U46=""),"",U46-T46)</f>
        <v/>
      </c>
      <c r="W46" s="22">
        <f>IF(Q46&lt;&gt;"",Q46,IF(M46&lt;&gt;"",M46,IF(I46&lt;&gt;"",I46,IF(E46&lt;&gt;"",E46,""))))</f>
        <v/>
      </c>
      <c r="X46" s="18">
        <f>IF(U46="","",U46*N(Produits!$E$45))</f>
        <v/>
      </c>
    </row>
    <row r="47">
      <c r="A47" s="33">
        <f>IF(Produits!$A$46="","",Produits!$A$46)</f>
        <v/>
      </c>
      <c r="B47" s="34">
        <f>IF(Produits!$A$46="","",Produits!$C$46)</f>
        <v/>
      </c>
      <c r="C47" s="34">
        <f>IF(Produits!$A$46="","",Produits!$D$46)</f>
        <v/>
      </c>
      <c r="D47" s="32" t="n"/>
      <c r="E47" s="29" t="n"/>
      <c r="F47" s="29" t="n"/>
      <c r="G47" s="29" t="n"/>
      <c r="H47" s="32" t="n"/>
      <c r="I47" s="29" t="n"/>
      <c r="J47" s="29" t="n"/>
      <c r="K47" s="29" t="n"/>
      <c r="L47" s="32" t="n"/>
      <c r="M47" s="29" t="n"/>
      <c r="N47" s="29" t="n"/>
      <c r="O47" s="29" t="n"/>
      <c r="P47" s="32" t="n"/>
      <c r="Q47" s="29" t="n"/>
      <c r="R47" s="29" t="n"/>
      <c r="S47" s="29" t="n"/>
      <c r="T47" s="22">
        <f>IF(COUNT(F47,J47,N47,R47)=0,"",SUM(F47,J47,N47,R47))</f>
        <v/>
      </c>
      <c r="U47" s="22">
        <f>IF(COUNT(G47,K47,O47,S47)=0,"",SUM(G47,K47,O47,S47))</f>
        <v/>
      </c>
      <c r="V47" s="22">
        <f>IF(OR(T47="",U47=""),"",U47-T47)</f>
        <v/>
      </c>
      <c r="W47" s="22">
        <f>IF(Q47&lt;&gt;"",Q47,IF(M47&lt;&gt;"",M47,IF(I47&lt;&gt;"",I47,IF(E47&lt;&gt;"",E47,""))))</f>
        <v/>
      </c>
      <c r="X47" s="18">
        <f>IF(U47="","",U47*N(Produits!$E$46))</f>
        <v/>
      </c>
    </row>
    <row r="48">
      <c r="A48" s="33">
        <f>IF(Produits!$A$47="","",Produits!$A$47)</f>
        <v/>
      </c>
      <c r="B48" s="34">
        <f>IF(Produits!$A$47="","",Produits!$C$47)</f>
        <v/>
      </c>
      <c r="C48" s="34">
        <f>IF(Produits!$A$47="","",Produits!$D$47)</f>
        <v/>
      </c>
      <c r="D48" s="32" t="n"/>
      <c r="E48" s="29" t="n"/>
      <c r="F48" s="29" t="n"/>
      <c r="G48" s="29" t="n"/>
      <c r="H48" s="32" t="n"/>
      <c r="I48" s="29" t="n"/>
      <c r="J48" s="29" t="n"/>
      <c r="K48" s="29" t="n"/>
      <c r="L48" s="32" t="n"/>
      <c r="M48" s="29" t="n"/>
      <c r="N48" s="29" t="n"/>
      <c r="O48" s="29" t="n"/>
      <c r="P48" s="32" t="n"/>
      <c r="Q48" s="29" t="n"/>
      <c r="R48" s="29" t="n"/>
      <c r="S48" s="29" t="n"/>
      <c r="T48" s="22">
        <f>IF(COUNT(F48,J48,N48,R48)=0,"",SUM(F48,J48,N48,R48))</f>
        <v/>
      </c>
      <c r="U48" s="22">
        <f>IF(COUNT(G48,K48,O48,S48)=0,"",SUM(G48,K48,O48,S48))</f>
        <v/>
      </c>
      <c r="V48" s="22">
        <f>IF(OR(T48="",U48=""),"",U48-T48)</f>
        <v/>
      </c>
      <c r="W48" s="22">
        <f>IF(Q48&lt;&gt;"",Q48,IF(M48&lt;&gt;"",M48,IF(I48&lt;&gt;"",I48,IF(E48&lt;&gt;"",E48,""))))</f>
        <v/>
      </c>
      <c r="X48" s="18">
        <f>IF(U48="","",U48*N(Produits!$E$47))</f>
        <v/>
      </c>
    </row>
    <row r="49">
      <c r="A49" s="33">
        <f>IF(Produits!$A$48="","",Produits!$A$48)</f>
        <v/>
      </c>
      <c r="B49" s="34">
        <f>IF(Produits!$A$48="","",Produits!$C$48)</f>
        <v/>
      </c>
      <c r="C49" s="34">
        <f>IF(Produits!$A$48="","",Produits!$D$48)</f>
        <v/>
      </c>
      <c r="D49" s="32" t="n"/>
      <c r="E49" s="29" t="n"/>
      <c r="F49" s="29" t="n"/>
      <c r="G49" s="29" t="n"/>
      <c r="H49" s="32" t="n"/>
      <c r="I49" s="29" t="n"/>
      <c r="J49" s="29" t="n"/>
      <c r="K49" s="29" t="n"/>
      <c r="L49" s="32" t="n"/>
      <c r="M49" s="29" t="n"/>
      <c r="N49" s="29" t="n"/>
      <c r="O49" s="29" t="n"/>
      <c r="P49" s="32" t="n"/>
      <c r="Q49" s="29" t="n"/>
      <c r="R49" s="29" t="n"/>
      <c r="S49" s="29" t="n"/>
      <c r="T49" s="22">
        <f>IF(COUNT(F49,J49,N49,R49)=0,"",SUM(F49,J49,N49,R49))</f>
        <v/>
      </c>
      <c r="U49" s="22">
        <f>IF(COUNT(G49,K49,O49,S49)=0,"",SUM(G49,K49,O49,S49))</f>
        <v/>
      </c>
      <c r="V49" s="22">
        <f>IF(OR(T49="",U49=""),"",U49-T49)</f>
        <v/>
      </c>
      <c r="W49" s="22">
        <f>IF(Q49&lt;&gt;"",Q49,IF(M49&lt;&gt;"",M49,IF(I49&lt;&gt;"",I49,IF(E49&lt;&gt;"",E49,""))))</f>
        <v/>
      </c>
      <c r="X49" s="18">
        <f>IF(U49="","",U49*N(Produits!$E$48))</f>
        <v/>
      </c>
    </row>
    <row r="50">
      <c r="A50" s="33">
        <f>IF(Produits!$A$49="","",Produits!$A$49)</f>
        <v/>
      </c>
      <c r="B50" s="34">
        <f>IF(Produits!$A$49="","",Produits!$C$49)</f>
        <v/>
      </c>
      <c r="C50" s="34">
        <f>IF(Produits!$A$49="","",Produits!$D$49)</f>
        <v/>
      </c>
      <c r="D50" s="32" t="n"/>
      <c r="E50" s="29" t="n"/>
      <c r="F50" s="29" t="n"/>
      <c r="G50" s="29" t="n"/>
      <c r="H50" s="32" t="n"/>
      <c r="I50" s="29" t="n"/>
      <c r="J50" s="29" t="n"/>
      <c r="K50" s="29" t="n"/>
      <c r="L50" s="32" t="n"/>
      <c r="M50" s="29" t="n"/>
      <c r="N50" s="29" t="n"/>
      <c r="O50" s="29" t="n"/>
      <c r="P50" s="32" t="n"/>
      <c r="Q50" s="29" t="n"/>
      <c r="R50" s="29" t="n"/>
      <c r="S50" s="29" t="n"/>
      <c r="T50" s="22">
        <f>IF(COUNT(F50,J50,N50,R50)=0,"",SUM(F50,J50,N50,R50))</f>
        <v/>
      </c>
      <c r="U50" s="22">
        <f>IF(COUNT(G50,K50,O50,S50)=0,"",SUM(G50,K50,O50,S50))</f>
        <v/>
      </c>
      <c r="V50" s="22">
        <f>IF(OR(T50="",U50=""),"",U50-T50)</f>
        <v/>
      </c>
      <c r="W50" s="22">
        <f>IF(Q50&lt;&gt;"",Q50,IF(M50&lt;&gt;"",M50,IF(I50&lt;&gt;"",I50,IF(E50&lt;&gt;"",E50,""))))</f>
        <v/>
      </c>
      <c r="X50" s="18">
        <f>IF(U50="","",U50*N(Produits!$E$49))</f>
        <v/>
      </c>
    </row>
    <row r="51">
      <c r="A51" s="33">
        <f>IF(Produits!$A$50="","",Produits!$A$50)</f>
        <v/>
      </c>
      <c r="B51" s="34">
        <f>IF(Produits!$A$50="","",Produits!$C$50)</f>
        <v/>
      </c>
      <c r="C51" s="34">
        <f>IF(Produits!$A$50="","",Produits!$D$50)</f>
        <v/>
      </c>
      <c r="D51" s="32" t="n"/>
      <c r="E51" s="29" t="n"/>
      <c r="F51" s="29" t="n"/>
      <c r="G51" s="29" t="n"/>
      <c r="H51" s="32" t="n"/>
      <c r="I51" s="29" t="n"/>
      <c r="J51" s="29" t="n"/>
      <c r="K51" s="29" t="n"/>
      <c r="L51" s="32" t="n"/>
      <c r="M51" s="29" t="n"/>
      <c r="N51" s="29" t="n"/>
      <c r="O51" s="29" t="n"/>
      <c r="P51" s="32" t="n"/>
      <c r="Q51" s="29" t="n"/>
      <c r="R51" s="29" t="n"/>
      <c r="S51" s="29" t="n"/>
      <c r="T51" s="22">
        <f>IF(COUNT(F51,J51,N51,R51)=0,"",SUM(F51,J51,N51,R51))</f>
        <v/>
      </c>
      <c r="U51" s="22">
        <f>IF(COUNT(G51,K51,O51,S51)=0,"",SUM(G51,K51,O51,S51))</f>
        <v/>
      </c>
      <c r="V51" s="22">
        <f>IF(OR(T51="",U51=""),"",U51-T51)</f>
        <v/>
      </c>
      <c r="W51" s="22">
        <f>IF(Q51&lt;&gt;"",Q51,IF(M51&lt;&gt;"",M51,IF(I51&lt;&gt;"",I51,IF(E51&lt;&gt;"",E51,""))))</f>
        <v/>
      </c>
      <c r="X51" s="18">
        <f>IF(U51="","",U51*N(Produits!$E$50))</f>
        <v/>
      </c>
    </row>
    <row r="52">
      <c r="A52" s="33">
        <f>IF(Produits!$A$51="","",Produits!$A$51)</f>
        <v/>
      </c>
      <c r="B52" s="34">
        <f>IF(Produits!$A$51="","",Produits!$C$51)</f>
        <v/>
      </c>
      <c r="C52" s="34">
        <f>IF(Produits!$A$51="","",Produits!$D$51)</f>
        <v/>
      </c>
      <c r="D52" s="32" t="n"/>
      <c r="E52" s="29" t="n"/>
      <c r="F52" s="29" t="n"/>
      <c r="G52" s="29" t="n"/>
      <c r="H52" s="32" t="n"/>
      <c r="I52" s="29" t="n"/>
      <c r="J52" s="29" t="n"/>
      <c r="K52" s="29" t="n"/>
      <c r="L52" s="32" t="n"/>
      <c r="M52" s="29" t="n"/>
      <c r="N52" s="29" t="n"/>
      <c r="O52" s="29" t="n"/>
      <c r="P52" s="32" t="n"/>
      <c r="Q52" s="29" t="n"/>
      <c r="R52" s="29" t="n"/>
      <c r="S52" s="29" t="n"/>
      <c r="T52" s="22">
        <f>IF(COUNT(F52,J52,N52,R52)=0,"",SUM(F52,J52,N52,R52))</f>
        <v/>
      </c>
      <c r="U52" s="22">
        <f>IF(COUNT(G52,K52,O52,S52)=0,"",SUM(G52,K52,O52,S52))</f>
        <v/>
      </c>
      <c r="V52" s="22">
        <f>IF(OR(T52="",U52=""),"",U52-T52)</f>
        <v/>
      </c>
      <c r="W52" s="22">
        <f>IF(Q52&lt;&gt;"",Q52,IF(M52&lt;&gt;"",M52,IF(I52&lt;&gt;"",I52,IF(E52&lt;&gt;"",E52,""))))</f>
        <v/>
      </c>
      <c r="X52" s="18">
        <f>IF(U52="","",U52*N(Produits!$E$51))</f>
        <v/>
      </c>
    </row>
    <row r="53">
      <c r="A53" s="33">
        <f>IF(Produits!$A$52="","",Produits!$A$52)</f>
        <v/>
      </c>
      <c r="B53" s="34">
        <f>IF(Produits!$A$52="","",Produits!$C$52)</f>
        <v/>
      </c>
      <c r="C53" s="34">
        <f>IF(Produits!$A$52="","",Produits!$D$52)</f>
        <v/>
      </c>
      <c r="D53" s="32" t="n"/>
      <c r="E53" s="29" t="n"/>
      <c r="F53" s="29" t="n"/>
      <c r="G53" s="29" t="n"/>
      <c r="H53" s="32" t="n"/>
      <c r="I53" s="29" t="n"/>
      <c r="J53" s="29" t="n"/>
      <c r="K53" s="29" t="n"/>
      <c r="L53" s="32" t="n"/>
      <c r="M53" s="29" t="n"/>
      <c r="N53" s="29" t="n"/>
      <c r="O53" s="29" t="n"/>
      <c r="P53" s="32" t="n"/>
      <c r="Q53" s="29" t="n"/>
      <c r="R53" s="29" t="n"/>
      <c r="S53" s="29" t="n"/>
      <c r="T53" s="22">
        <f>IF(COUNT(F53,J53,N53,R53)=0,"",SUM(F53,J53,N53,R53))</f>
        <v/>
      </c>
      <c r="U53" s="22">
        <f>IF(COUNT(G53,K53,O53,S53)=0,"",SUM(G53,K53,O53,S53))</f>
        <v/>
      </c>
      <c r="V53" s="22">
        <f>IF(OR(T53="",U53=""),"",U53-T53)</f>
        <v/>
      </c>
      <c r="W53" s="22">
        <f>IF(Q53&lt;&gt;"",Q53,IF(M53&lt;&gt;"",M53,IF(I53&lt;&gt;"",I53,IF(E53&lt;&gt;"",E53,""))))</f>
        <v/>
      </c>
      <c r="X53" s="18">
        <f>IF(U53="","",U53*N(Produits!$E$52))</f>
        <v/>
      </c>
    </row>
    <row r="54" ht="20" customHeight="1">
      <c r="A54" s="23" t="inlineStr">
        <is>
          <t>MÉNAGER</t>
        </is>
      </c>
      <c r="B54" s="10" t="n"/>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row>
    <row r="55">
      <c r="A55" s="33">
        <f>IF(Produits!$A$54="","",Produits!$A$54)</f>
        <v/>
      </c>
      <c r="B55" s="34">
        <f>IF(Produits!$A$54="","",Produits!$C$54)</f>
        <v/>
      </c>
      <c r="C55" s="34">
        <f>IF(Produits!$A$54="","",Produits!$D$54)</f>
        <v/>
      </c>
      <c r="D55" s="32" t="n"/>
      <c r="E55" s="29" t="n"/>
      <c r="F55" s="29" t="n"/>
      <c r="G55" s="29" t="n"/>
      <c r="H55" s="32" t="n"/>
      <c r="I55" s="29" t="n"/>
      <c r="J55" s="29" t="n"/>
      <c r="K55" s="29" t="n"/>
      <c r="L55" s="32" t="n"/>
      <c r="M55" s="29" t="n"/>
      <c r="N55" s="29" t="n"/>
      <c r="O55" s="29" t="n"/>
      <c r="P55" s="32" t="n"/>
      <c r="Q55" s="29" t="n"/>
      <c r="R55" s="29" t="n"/>
      <c r="S55" s="29" t="n"/>
      <c r="T55" s="22">
        <f>IF(COUNT(F55,J55,N55,R55)=0,"",SUM(F55,J55,N55,R55))</f>
        <v/>
      </c>
      <c r="U55" s="22">
        <f>IF(COUNT(G55,K55,O55,S55)=0,"",SUM(G55,K55,O55,S55))</f>
        <v/>
      </c>
      <c r="V55" s="22">
        <f>IF(OR(T55="",U55=""),"",U55-T55)</f>
        <v/>
      </c>
      <c r="W55" s="22">
        <f>IF(Q55&lt;&gt;"",Q55,IF(M55&lt;&gt;"",M55,IF(I55&lt;&gt;"",I55,IF(E55&lt;&gt;"",E55,""))))</f>
        <v/>
      </c>
      <c r="X55" s="18">
        <f>IF(U55="","",U55*N(Produits!$E$54))</f>
        <v/>
      </c>
    </row>
    <row r="56">
      <c r="A56" s="33">
        <f>IF(Produits!$A$55="","",Produits!$A$55)</f>
        <v/>
      </c>
      <c r="B56" s="34">
        <f>IF(Produits!$A$55="","",Produits!$C$55)</f>
        <v/>
      </c>
      <c r="C56" s="34">
        <f>IF(Produits!$A$55="","",Produits!$D$55)</f>
        <v/>
      </c>
      <c r="D56" s="32" t="n"/>
      <c r="E56" s="29" t="n"/>
      <c r="F56" s="29" t="n"/>
      <c r="G56" s="29" t="n"/>
      <c r="H56" s="32" t="n"/>
      <c r="I56" s="29" t="n"/>
      <c r="J56" s="29" t="n"/>
      <c r="K56" s="29" t="n"/>
      <c r="L56" s="32" t="n"/>
      <c r="M56" s="29" t="n"/>
      <c r="N56" s="29" t="n"/>
      <c r="O56" s="29" t="n"/>
      <c r="P56" s="32" t="n"/>
      <c r="Q56" s="29" t="n"/>
      <c r="R56" s="29" t="n"/>
      <c r="S56" s="29" t="n"/>
      <c r="T56" s="22">
        <f>IF(COUNT(F56,J56,N56,R56)=0,"",SUM(F56,J56,N56,R56))</f>
        <v/>
      </c>
      <c r="U56" s="22">
        <f>IF(COUNT(G56,K56,O56,S56)=0,"",SUM(G56,K56,O56,S56))</f>
        <v/>
      </c>
      <c r="V56" s="22">
        <f>IF(OR(T56="",U56=""),"",U56-T56)</f>
        <v/>
      </c>
      <c r="W56" s="22">
        <f>IF(Q56&lt;&gt;"",Q56,IF(M56&lt;&gt;"",M56,IF(I56&lt;&gt;"",I56,IF(E56&lt;&gt;"",E56,""))))</f>
        <v/>
      </c>
      <c r="X56" s="18">
        <f>IF(U56="","",U56*N(Produits!$E$55))</f>
        <v/>
      </c>
    </row>
    <row r="57">
      <c r="A57" s="33">
        <f>IF(Produits!$A$56="","",Produits!$A$56)</f>
        <v/>
      </c>
      <c r="B57" s="34">
        <f>IF(Produits!$A$56="","",Produits!$C$56)</f>
        <v/>
      </c>
      <c r="C57" s="34">
        <f>IF(Produits!$A$56="","",Produits!$D$56)</f>
        <v/>
      </c>
      <c r="D57" s="32" t="n"/>
      <c r="E57" s="29" t="n"/>
      <c r="F57" s="29" t="n"/>
      <c r="G57" s="29" t="n"/>
      <c r="H57" s="32" t="n"/>
      <c r="I57" s="29" t="n"/>
      <c r="J57" s="29" t="n"/>
      <c r="K57" s="29" t="n"/>
      <c r="L57" s="32" t="n"/>
      <c r="M57" s="29" t="n"/>
      <c r="N57" s="29" t="n"/>
      <c r="O57" s="29" t="n"/>
      <c r="P57" s="32" t="n"/>
      <c r="Q57" s="29" t="n"/>
      <c r="R57" s="29" t="n"/>
      <c r="S57" s="29" t="n"/>
      <c r="T57" s="22">
        <f>IF(COUNT(F57,J57,N57,R57)=0,"",SUM(F57,J57,N57,R57))</f>
        <v/>
      </c>
      <c r="U57" s="22">
        <f>IF(COUNT(G57,K57,O57,S57)=0,"",SUM(G57,K57,O57,S57))</f>
        <v/>
      </c>
      <c r="V57" s="22">
        <f>IF(OR(T57="",U57=""),"",U57-T57)</f>
        <v/>
      </c>
      <c r="W57" s="22">
        <f>IF(Q57&lt;&gt;"",Q57,IF(M57&lt;&gt;"",M57,IF(I57&lt;&gt;"",I57,IF(E57&lt;&gt;"",E57,""))))</f>
        <v/>
      </c>
      <c r="X57" s="18">
        <f>IF(U57="","",U57*N(Produits!$E$56))</f>
        <v/>
      </c>
    </row>
    <row r="58">
      <c r="A58" s="33">
        <f>IF(Produits!$A$57="","",Produits!$A$57)</f>
        <v/>
      </c>
      <c r="B58" s="34">
        <f>IF(Produits!$A$57="","",Produits!$C$57)</f>
        <v/>
      </c>
      <c r="C58" s="34">
        <f>IF(Produits!$A$57="","",Produits!$D$57)</f>
        <v/>
      </c>
      <c r="D58" s="32" t="n"/>
      <c r="E58" s="29" t="n"/>
      <c r="F58" s="29" t="n"/>
      <c r="G58" s="29" t="n"/>
      <c r="H58" s="32" t="n"/>
      <c r="I58" s="29" t="n"/>
      <c r="J58" s="29" t="n"/>
      <c r="K58" s="29" t="n"/>
      <c r="L58" s="32" t="n"/>
      <c r="M58" s="29" t="n"/>
      <c r="N58" s="29" t="n"/>
      <c r="O58" s="29" t="n"/>
      <c r="P58" s="32" t="n"/>
      <c r="Q58" s="29" t="n"/>
      <c r="R58" s="29" t="n"/>
      <c r="S58" s="29" t="n"/>
      <c r="T58" s="22">
        <f>IF(COUNT(F58,J58,N58,R58)=0,"",SUM(F58,J58,N58,R58))</f>
        <v/>
      </c>
      <c r="U58" s="22">
        <f>IF(COUNT(G58,K58,O58,S58)=0,"",SUM(G58,K58,O58,S58))</f>
        <v/>
      </c>
      <c r="V58" s="22">
        <f>IF(OR(T58="",U58=""),"",U58-T58)</f>
        <v/>
      </c>
      <c r="W58" s="22">
        <f>IF(Q58&lt;&gt;"",Q58,IF(M58&lt;&gt;"",M58,IF(I58&lt;&gt;"",I58,IF(E58&lt;&gt;"",E58,""))))</f>
        <v/>
      </c>
      <c r="X58" s="18">
        <f>IF(U58="","",U58*N(Produits!$E$57))</f>
        <v/>
      </c>
    </row>
    <row r="59">
      <c r="A59" s="33">
        <f>IF(Produits!$A$58="","",Produits!$A$58)</f>
        <v/>
      </c>
      <c r="B59" s="34">
        <f>IF(Produits!$A$58="","",Produits!$C$58)</f>
        <v/>
      </c>
      <c r="C59" s="34">
        <f>IF(Produits!$A$58="","",Produits!$D$58)</f>
        <v/>
      </c>
      <c r="D59" s="32" t="n"/>
      <c r="E59" s="29" t="n"/>
      <c r="F59" s="29" t="n"/>
      <c r="G59" s="29" t="n"/>
      <c r="H59" s="32" t="n"/>
      <c r="I59" s="29" t="n"/>
      <c r="J59" s="29" t="n"/>
      <c r="K59" s="29" t="n"/>
      <c r="L59" s="32" t="n"/>
      <c r="M59" s="29" t="n"/>
      <c r="N59" s="29" t="n"/>
      <c r="O59" s="29" t="n"/>
      <c r="P59" s="32" t="n"/>
      <c r="Q59" s="29" t="n"/>
      <c r="R59" s="29" t="n"/>
      <c r="S59" s="29" t="n"/>
      <c r="T59" s="22">
        <f>IF(COUNT(F59,J59,N59,R59)=0,"",SUM(F59,J59,N59,R59))</f>
        <v/>
      </c>
      <c r="U59" s="22">
        <f>IF(COUNT(G59,K59,O59,S59)=0,"",SUM(G59,K59,O59,S59))</f>
        <v/>
      </c>
      <c r="V59" s="22">
        <f>IF(OR(T59="",U59=""),"",U59-T59)</f>
        <v/>
      </c>
      <c r="W59" s="22">
        <f>IF(Q59&lt;&gt;"",Q59,IF(M59&lt;&gt;"",M59,IF(I59&lt;&gt;"",I59,IF(E59&lt;&gt;"",E59,""))))</f>
        <v/>
      </c>
      <c r="X59" s="18">
        <f>IF(U59="","",U59*N(Produits!$E$58))</f>
        <v/>
      </c>
    </row>
    <row r="60">
      <c r="A60" s="33">
        <f>IF(Produits!$A$59="","",Produits!$A$59)</f>
        <v/>
      </c>
      <c r="B60" s="34">
        <f>IF(Produits!$A$59="","",Produits!$C$59)</f>
        <v/>
      </c>
      <c r="C60" s="34">
        <f>IF(Produits!$A$59="","",Produits!$D$59)</f>
        <v/>
      </c>
      <c r="D60" s="32" t="n"/>
      <c r="E60" s="29" t="n"/>
      <c r="F60" s="29" t="n"/>
      <c r="G60" s="29" t="n"/>
      <c r="H60" s="32" t="n"/>
      <c r="I60" s="29" t="n"/>
      <c r="J60" s="29" t="n"/>
      <c r="K60" s="29" t="n"/>
      <c r="L60" s="32" t="n"/>
      <c r="M60" s="29" t="n"/>
      <c r="N60" s="29" t="n"/>
      <c r="O60" s="29" t="n"/>
      <c r="P60" s="32" t="n"/>
      <c r="Q60" s="29" t="n"/>
      <c r="R60" s="29" t="n"/>
      <c r="S60" s="29" t="n"/>
      <c r="T60" s="22">
        <f>IF(COUNT(F60,J60,N60,R60)=0,"",SUM(F60,J60,N60,R60))</f>
        <v/>
      </c>
      <c r="U60" s="22">
        <f>IF(COUNT(G60,K60,O60,S60)=0,"",SUM(G60,K60,O60,S60))</f>
        <v/>
      </c>
      <c r="V60" s="22">
        <f>IF(OR(T60="",U60=""),"",U60-T60)</f>
        <v/>
      </c>
      <c r="W60" s="22">
        <f>IF(Q60&lt;&gt;"",Q60,IF(M60&lt;&gt;"",M60,IF(I60&lt;&gt;"",I60,IF(E60&lt;&gt;"",E60,""))))</f>
        <v/>
      </c>
      <c r="X60" s="18">
        <f>IF(U60="","",U60*N(Produits!$E$59))</f>
        <v/>
      </c>
    </row>
    <row r="61">
      <c r="A61" s="33">
        <f>IF(Produits!$A$60="","",Produits!$A$60)</f>
        <v/>
      </c>
      <c r="B61" s="34">
        <f>IF(Produits!$A$60="","",Produits!$C$60)</f>
        <v/>
      </c>
      <c r="C61" s="34">
        <f>IF(Produits!$A$60="","",Produits!$D$60)</f>
        <v/>
      </c>
      <c r="D61" s="32" t="n"/>
      <c r="E61" s="29" t="n"/>
      <c r="F61" s="29" t="n"/>
      <c r="G61" s="29" t="n"/>
      <c r="H61" s="32" t="n"/>
      <c r="I61" s="29" t="n"/>
      <c r="J61" s="29" t="n"/>
      <c r="K61" s="29" t="n"/>
      <c r="L61" s="32" t="n"/>
      <c r="M61" s="29" t="n"/>
      <c r="N61" s="29" t="n"/>
      <c r="O61" s="29" t="n"/>
      <c r="P61" s="32" t="n"/>
      <c r="Q61" s="29" t="n"/>
      <c r="R61" s="29" t="n"/>
      <c r="S61" s="29" t="n"/>
      <c r="T61" s="22">
        <f>IF(COUNT(F61,J61,N61,R61)=0,"",SUM(F61,J61,N61,R61))</f>
        <v/>
      </c>
      <c r="U61" s="22">
        <f>IF(COUNT(G61,K61,O61,S61)=0,"",SUM(G61,K61,O61,S61))</f>
        <v/>
      </c>
      <c r="V61" s="22">
        <f>IF(OR(T61="",U61=""),"",U61-T61)</f>
        <v/>
      </c>
      <c r="W61" s="22">
        <f>IF(Q61&lt;&gt;"",Q61,IF(M61&lt;&gt;"",M61,IF(I61&lt;&gt;"",I61,IF(E61&lt;&gt;"",E61,""))))</f>
        <v/>
      </c>
      <c r="X61" s="18">
        <f>IF(U61="","",U61*N(Produits!$E$60))</f>
        <v/>
      </c>
    </row>
    <row r="62">
      <c r="A62" s="33">
        <f>IF(Produits!$A$61="","",Produits!$A$61)</f>
        <v/>
      </c>
      <c r="B62" s="34">
        <f>IF(Produits!$A$61="","",Produits!$C$61)</f>
        <v/>
      </c>
      <c r="C62" s="34">
        <f>IF(Produits!$A$61="","",Produits!$D$61)</f>
        <v/>
      </c>
      <c r="D62" s="32" t="n"/>
      <c r="E62" s="29" t="n"/>
      <c r="F62" s="29" t="n"/>
      <c r="G62" s="29" t="n"/>
      <c r="H62" s="32" t="n"/>
      <c r="I62" s="29" t="n"/>
      <c r="J62" s="29" t="n"/>
      <c r="K62" s="29" t="n"/>
      <c r="L62" s="32" t="n"/>
      <c r="M62" s="29" t="n"/>
      <c r="N62" s="29" t="n"/>
      <c r="O62" s="29" t="n"/>
      <c r="P62" s="32" t="n"/>
      <c r="Q62" s="29" t="n"/>
      <c r="R62" s="29" t="n"/>
      <c r="S62" s="29" t="n"/>
      <c r="T62" s="22">
        <f>IF(COUNT(F62,J62,N62,R62)=0,"",SUM(F62,J62,N62,R62))</f>
        <v/>
      </c>
      <c r="U62" s="22">
        <f>IF(COUNT(G62,K62,O62,S62)=0,"",SUM(G62,K62,O62,S62))</f>
        <v/>
      </c>
      <c r="V62" s="22">
        <f>IF(OR(T62="",U62=""),"",U62-T62)</f>
        <v/>
      </c>
      <c r="W62" s="22">
        <f>IF(Q62&lt;&gt;"",Q62,IF(M62&lt;&gt;"",M62,IF(I62&lt;&gt;"",I62,IF(E62&lt;&gt;"",E62,""))))</f>
        <v/>
      </c>
      <c r="X62" s="18">
        <f>IF(U62="","",U62*N(Produits!$E$61))</f>
        <v/>
      </c>
    </row>
    <row r="63">
      <c r="A63" s="33">
        <f>IF(Produits!$A$62="","",Produits!$A$62)</f>
        <v/>
      </c>
      <c r="B63" s="34">
        <f>IF(Produits!$A$62="","",Produits!$C$62)</f>
        <v/>
      </c>
      <c r="C63" s="34">
        <f>IF(Produits!$A$62="","",Produits!$D$62)</f>
        <v/>
      </c>
      <c r="D63" s="32" t="n"/>
      <c r="E63" s="29" t="n"/>
      <c r="F63" s="29" t="n"/>
      <c r="G63" s="29" t="n"/>
      <c r="H63" s="32" t="n"/>
      <c r="I63" s="29" t="n"/>
      <c r="J63" s="29" t="n"/>
      <c r="K63" s="29" t="n"/>
      <c r="L63" s="32" t="n"/>
      <c r="M63" s="29" t="n"/>
      <c r="N63" s="29" t="n"/>
      <c r="O63" s="29" t="n"/>
      <c r="P63" s="32" t="n"/>
      <c r="Q63" s="29" t="n"/>
      <c r="R63" s="29" t="n"/>
      <c r="S63" s="29" t="n"/>
      <c r="T63" s="22">
        <f>IF(COUNT(F63,J63,N63,R63)=0,"",SUM(F63,J63,N63,R63))</f>
        <v/>
      </c>
      <c r="U63" s="22">
        <f>IF(COUNT(G63,K63,O63,S63)=0,"",SUM(G63,K63,O63,S63))</f>
        <v/>
      </c>
      <c r="V63" s="22">
        <f>IF(OR(T63="",U63=""),"",U63-T63)</f>
        <v/>
      </c>
      <c r="W63" s="22">
        <f>IF(Q63&lt;&gt;"",Q63,IF(M63&lt;&gt;"",M63,IF(I63&lt;&gt;"",I63,IF(E63&lt;&gt;"",E63,""))))</f>
        <v/>
      </c>
      <c r="X63" s="18">
        <f>IF(U63="","",U63*N(Produits!$E$62))</f>
        <v/>
      </c>
    </row>
    <row r="64">
      <c r="A64" s="33">
        <f>IF(Produits!$A$63="","",Produits!$A$63)</f>
        <v/>
      </c>
      <c r="B64" s="34">
        <f>IF(Produits!$A$63="","",Produits!$C$63)</f>
        <v/>
      </c>
      <c r="C64" s="34">
        <f>IF(Produits!$A$63="","",Produits!$D$63)</f>
        <v/>
      </c>
      <c r="D64" s="32" t="n"/>
      <c r="E64" s="29" t="n"/>
      <c r="F64" s="29" t="n"/>
      <c r="G64" s="29" t="n"/>
      <c r="H64" s="32" t="n"/>
      <c r="I64" s="29" t="n"/>
      <c r="J64" s="29" t="n"/>
      <c r="K64" s="29" t="n"/>
      <c r="L64" s="32" t="n"/>
      <c r="M64" s="29" t="n"/>
      <c r="N64" s="29" t="n"/>
      <c r="O64" s="29" t="n"/>
      <c r="P64" s="32" t="n"/>
      <c r="Q64" s="29" t="n"/>
      <c r="R64" s="29" t="n"/>
      <c r="S64" s="29" t="n"/>
      <c r="T64" s="22">
        <f>IF(COUNT(F64,J64,N64,R64)=0,"",SUM(F64,J64,N64,R64))</f>
        <v/>
      </c>
      <c r="U64" s="22">
        <f>IF(COUNT(G64,K64,O64,S64)=0,"",SUM(G64,K64,O64,S64))</f>
        <v/>
      </c>
      <c r="V64" s="22">
        <f>IF(OR(T64="",U64=""),"",U64-T64)</f>
        <v/>
      </c>
      <c r="W64" s="22">
        <f>IF(Q64&lt;&gt;"",Q64,IF(M64&lt;&gt;"",M64,IF(I64&lt;&gt;"",I64,IF(E64&lt;&gt;"",E64,""))))</f>
        <v/>
      </c>
      <c r="X64" s="18">
        <f>IF(U64="","",U64*N(Produits!$E$63))</f>
        <v/>
      </c>
    </row>
    <row r="65">
      <c r="A65" s="33">
        <f>IF(Produits!$A$64="","",Produits!$A$64)</f>
        <v/>
      </c>
      <c r="B65" s="34">
        <f>IF(Produits!$A$64="","",Produits!$C$64)</f>
        <v/>
      </c>
      <c r="C65" s="34">
        <f>IF(Produits!$A$64="","",Produits!$D$64)</f>
        <v/>
      </c>
      <c r="D65" s="32" t="n"/>
      <c r="E65" s="29" t="n"/>
      <c r="F65" s="29" t="n"/>
      <c r="G65" s="29" t="n"/>
      <c r="H65" s="32" t="n"/>
      <c r="I65" s="29" t="n"/>
      <c r="J65" s="29" t="n"/>
      <c r="K65" s="29" t="n"/>
      <c r="L65" s="32" t="n"/>
      <c r="M65" s="29" t="n"/>
      <c r="N65" s="29" t="n"/>
      <c r="O65" s="29" t="n"/>
      <c r="P65" s="32" t="n"/>
      <c r="Q65" s="29" t="n"/>
      <c r="R65" s="29" t="n"/>
      <c r="S65" s="29" t="n"/>
      <c r="T65" s="22">
        <f>IF(COUNT(F65,J65,N65,R65)=0,"",SUM(F65,J65,N65,R65))</f>
        <v/>
      </c>
      <c r="U65" s="22">
        <f>IF(COUNT(G65,K65,O65,S65)=0,"",SUM(G65,K65,O65,S65))</f>
        <v/>
      </c>
      <c r="V65" s="22">
        <f>IF(OR(T65="",U65=""),"",U65-T65)</f>
        <v/>
      </c>
      <c r="W65" s="22">
        <f>IF(Q65&lt;&gt;"",Q65,IF(M65&lt;&gt;"",M65,IF(I65&lt;&gt;"",I65,IF(E65&lt;&gt;"",E65,""))))</f>
        <v/>
      </c>
      <c r="X65" s="18">
        <f>IF(U65="","",U65*N(Produits!$E$64))</f>
        <v/>
      </c>
    </row>
    <row r="66">
      <c r="A66" s="33">
        <f>IF(Produits!$A$65="","",Produits!$A$65)</f>
        <v/>
      </c>
      <c r="B66" s="34">
        <f>IF(Produits!$A$65="","",Produits!$C$65)</f>
        <v/>
      </c>
      <c r="C66" s="34">
        <f>IF(Produits!$A$65="","",Produits!$D$65)</f>
        <v/>
      </c>
      <c r="D66" s="32" t="n"/>
      <c r="E66" s="29" t="n"/>
      <c r="F66" s="29" t="n"/>
      <c r="G66" s="29" t="n"/>
      <c r="H66" s="32" t="n"/>
      <c r="I66" s="29" t="n"/>
      <c r="J66" s="29" t="n"/>
      <c r="K66" s="29" t="n"/>
      <c r="L66" s="32" t="n"/>
      <c r="M66" s="29" t="n"/>
      <c r="N66" s="29" t="n"/>
      <c r="O66" s="29" t="n"/>
      <c r="P66" s="32" t="n"/>
      <c r="Q66" s="29" t="n"/>
      <c r="R66" s="29" t="n"/>
      <c r="S66" s="29" t="n"/>
      <c r="T66" s="22">
        <f>IF(COUNT(F66,J66,N66,R66)=0,"",SUM(F66,J66,N66,R66))</f>
        <v/>
      </c>
      <c r="U66" s="22">
        <f>IF(COUNT(G66,K66,O66,S66)=0,"",SUM(G66,K66,O66,S66))</f>
        <v/>
      </c>
      <c r="V66" s="22">
        <f>IF(OR(T66="",U66=""),"",U66-T66)</f>
        <v/>
      </c>
      <c r="W66" s="22">
        <f>IF(Q66&lt;&gt;"",Q66,IF(M66&lt;&gt;"",M66,IF(I66&lt;&gt;"",I66,IF(E66&lt;&gt;"",E66,""))))</f>
        <v/>
      </c>
      <c r="X66" s="18">
        <f>IF(U66="","",U66*N(Produits!$E$65))</f>
        <v/>
      </c>
    </row>
    <row r="67">
      <c r="A67" s="33">
        <f>IF(Produits!$A$66="","",Produits!$A$66)</f>
        <v/>
      </c>
      <c r="B67" s="34">
        <f>IF(Produits!$A$66="","",Produits!$C$66)</f>
        <v/>
      </c>
      <c r="C67" s="34">
        <f>IF(Produits!$A$66="","",Produits!$D$66)</f>
        <v/>
      </c>
      <c r="D67" s="32" t="n"/>
      <c r="E67" s="29" t="n"/>
      <c r="F67" s="29" t="n"/>
      <c r="G67" s="29" t="n"/>
      <c r="H67" s="32" t="n"/>
      <c r="I67" s="29" t="n"/>
      <c r="J67" s="29" t="n"/>
      <c r="K67" s="29" t="n"/>
      <c r="L67" s="32" t="n"/>
      <c r="M67" s="29" t="n"/>
      <c r="N67" s="29" t="n"/>
      <c r="O67" s="29" t="n"/>
      <c r="P67" s="32" t="n"/>
      <c r="Q67" s="29" t="n"/>
      <c r="R67" s="29" t="n"/>
      <c r="S67" s="29" t="n"/>
      <c r="T67" s="22">
        <f>IF(COUNT(F67,J67,N67,R67)=0,"",SUM(F67,J67,N67,R67))</f>
        <v/>
      </c>
      <c r="U67" s="22">
        <f>IF(COUNT(G67,K67,O67,S67)=0,"",SUM(G67,K67,O67,S67))</f>
        <v/>
      </c>
      <c r="V67" s="22">
        <f>IF(OR(T67="",U67=""),"",U67-T67)</f>
        <v/>
      </c>
      <c r="W67" s="22">
        <f>IF(Q67&lt;&gt;"",Q67,IF(M67&lt;&gt;"",M67,IF(I67&lt;&gt;"",I67,IF(E67&lt;&gt;"",E67,""))))</f>
        <v/>
      </c>
      <c r="X67" s="18">
        <f>IF(U67="","",U67*N(Produits!$E$66))</f>
        <v/>
      </c>
    </row>
    <row r="68">
      <c r="A68" s="33">
        <f>IF(Produits!$A$67="","",Produits!$A$67)</f>
        <v/>
      </c>
      <c r="B68" s="34">
        <f>IF(Produits!$A$67="","",Produits!$C$67)</f>
        <v/>
      </c>
      <c r="C68" s="34">
        <f>IF(Produits!$A$67="","",Produits!$D$67)</f>
        <v/>
      </c>
      <c r="D68" s="32" t="n"/>
      <c r="E68" s="29" t="n"/>
      <c r="F68" s="29" t="n"/>
      <c r="G68" s="29" t="n"/>
      <c r="H68" s="32" t="n"/>
      <c r="I68" s="29" t="n"/>
      <c r="J68" s="29" t="n"/>
      <c r="K68" s="29" t="n"/>
      <c r="L68" s="32" t="n"/>
      <c r="M68" s="29" t="n"/>
      <c r="N68" s="29" t="n"/>
      <c r="O68" s="29" t="n"/>
      <c r="P68" s="32" t="n"/>
      <c r="Q68" s="29" t="n"/>
      <c r="R68" s="29" t="n"/>
      <c r="S68" s="29" t="n"/>
      <c r="T68" s="22">
        <f>IF(COUNT(F68,J68,N68,R68)=0,"",SUM(F68,J68,N68,R68))</f>
        <v/>
      </c>
      <c r="U68" s="22">
        <f>IF(COUNT(G68,K68,O68,S68)=0,"",SUM(G68,K68,O68,S68))</f>
        <v/>
      </c>
      <c r="V68" s="22">
        <f>IF(OR(T68="",U68=""),"",U68-T68)</f>
        <v/>
      </c>
      <c r="W68" s="22">
        <f>IF(Q68&lt;&gt;"",Q68,IF(M68&lt;&gt;"",M68,IF(I68&lt;&gt;"",I68,IF(E68&lt;&gt;"",E68,""))))</f>
        <v/>
      </c>
      <c r="X68" s="18">
        <f>IF(U68="","",U68*N(Produits!$E$67))</f>
        <v/>
      </c>
    </row>
    <row r="69">
      <c r="A69" s="33">
        <f>IF(Produits!$A$68="","",Produits!$A$68)</f>
        <v/>
      </c>
      <c r="B69" s="34">
        <f>IF(Produits!$A$68="","",Produits!$C$68)</f>
        <v/>
      </c>
      <c r="C69" s="34">
        <f>IF(Produits!$A$68="","",Produits!$D$68)</f>
        <v/>
      </c>
      <c r="D69" s="32" t="n"/>
      <c r="E69" s="29" t="n"/>
      <c r="F69" s="29" t="n"/>
      <c r="G69" s="29" t="n"/>
      <c r="H69" s="32" t="n"/>
      <c r="I69" s="29" t="n"/>
      <c r="J69" s="29" t="n"/>
      <c r="K69" s="29" t="n"/>
      <c r="L69" s="32" t="n"/>
      <c r="M69" s="29" t="n"/>
      <c r="N69" s="29" t="n"/>
      <c r="O69" s="29" t="n"/>
      <c r="P69" s="32" t="n"/>
      <c r="Q69" s="29" t="n"/>
      <c r="R69" s="29" t="n"/>
      <c r="S69" s="29" t="n"/>
      <c r="T69" s="22">
        <f>IF(COUNT(F69,J69,N69,R69)=0,"",SUM(F69,J69,N69,R69))</f>
        <v/>
      </c>
      <c r="U69" s="22">
        <f>IF(COUNT(G69,K69,O69,S69)=0,"",SUM(G69,K69,O69,S69))</f>
        <v/>
      </c>
      <c r="V69" s="22">
        <f>IF(OR(T69="",U69=""),"",U69-T69)</f>
        <v/>
      </c>
      <c r="W69" s="22">
        <f>IF(Q69&lt;&gt;"",Q69,IF(M69&lt;&gt;"",M69,IF(I69&lt;&gt;"",I69,IF(E69&lt;&gt;"",E69,""))))</f>
        <v/>
      </c>
      <c r="X69" s="18">
        <f>IF(U69="","",U69*N(Produits!$E$68))</f>
        <v/>
      </c>
    </row>
    <row r="71">
      <c r="A71" s="15" t="inlineStr">
        <is>
          <t>Total des dépenses du mois</t>
        </is>
      </c>
      <c r="B71" s="19" t="n"/>
      <c r="C71" s="19" t="n"/>
      <c r="X71" s="35">
        <f>SUM(X7:X69)</f>
        <v/>
      </c>
    </row>
  </sheetData>
  <mergeCells count="14">
    <mergeCell ref="H4:K4"/>
    <mergeCell ref="A71:C71"/>
    <mergeCell ref="B4:B5"/>
    <mergeCell ref="C4:C5"/>
    <mergeCell ref="A4:A5"/>
    <mergeCell ref="T4:W4"/>
    <mergeCell ref="X4:X5"/>
    <mergeCell ref="A38:X38"/>
    <mergeCell ref="A54:X54"/>
    <mergeCell ref="L4:O4"/>
    <mergeCell ref="P4:S4"/>
    <mergeCell ref="A6:X6"/>
    <mergeCell ref="A22:X22"/>
    <mergeCell ref="D4:G4"/>
  </mergeCells>
  <conditionalFormatting sqref="V7:V69">
    <cfRule type="expression" priority="1" dxfId="0">
      <formula>AND(ISNUMBER(V7),V7&lt;0)</formula>
    </cfRule>
  </conditionalFormatting>
  <conditionalFormatting sqref="E7:E69">
    <cfRule type="expression" priority="2" dxfId="1">
      <formula>AND(ISNUMBER(E7),ISNUMBER($C7),E7&lt;=$C7)</formula>
    </cfRule>
  </conditionalFormatting>
  <conditionalFormatting sqref="G7:G69">
    <cfRule type="expression" priority="3" dxfId="0">
      <formula>AND(ISNUMBER(G7),ISNUMBER(F7),G7&lt;F7)</formula>
    </cfRule>
  </conditionalFormatting>
  <conditionalFormatting sqref="I7:I69">
    <cfRule type="expression" priority="4" dxfId="1">
      <formula>AND(ISNUMBER(I7),ISNUMBER($C7),I7&lt;=$C7)</formula>
    </cfRule>
  </conditionalFormatting>
  <conditionalFormatting sqref="K7:K69">
    <cfRule type="expression" priority="5" dxfId="0">
      <formula>AND(ISNUMBER(K7),ISNUMBER(J7),K7&lt;J7)</formula>
    </cfRule>
  </conditionalFormatting>
  <conditionalFormatting sqref="M7:M69">
    <cfRule type="expression" priority="6" dxfId="1">
      <formula>AND(ISNUMBER(M7),ISNUMBER($C7),M7&lt;=$C7)</formula>
    </cfRule>
  </conditionalFormatting>
  <conditionalFormatting sqref="O7:O69">
    <cfRule type="expression" priority="7" dxfId="0">
      <formula>AND(ISNUMBER(O7),ISNUMBER(N7),O7&lt;N7)</formula>
    </cfRule>
  </conditionalFormatting>
  <conditionalFormatting sqref="Q7:Q69">
    <cfRule type="expression" priority="8" dxfId="1">
      <formula>AND(ISNUMBER(Q7),ISNUMBER($C7),Q7&lt;=$C7)</formula>
    </cfRule>
  </conditionalFormatting>
  <conditionalFormatting sqref="S7:S69">
    <cfRule type="expression" priority="9" dxfId="0">
      <formula>AND(ISNUMBER(S7),ISNUMBER(R7),S7&lt;R7)</formula>
    </cfRule>
  </conditionalFormatting>
  <dataValidations count="4">
    <dataValidation sqref="E7:G69" showDropDown="0" showInputMessage="0" showErrorMessage="1" allowBlank="1" errorTitle="Valeur invalide" error="Entre un nombre positif (ou laisse vide)." type="decimal" operator="greaterThanOrEqual">
      <formula1>0</formula1>
    </dataValidation>
    <dataValidation sqref="I7:K69" showDropDown="0" showInputMessage="0" showErrorMessage="1" allowBlank="1" errorTitle="Valeur invalide" error="Entre un nombre positif (ou laisse vide)." type="decimal" operator="greaterThanOrEqual">
      <formula1>0</formula1>
    </dataValidation>
    <dataValidation sqref="M7:O69" showDropDown="0" showInputMessage="0" showErrorMessage="1" allowBlank="1" errorTitle="Valeur invalide" error="Entre un nombre positif (ou laisse vide)." type="decimal" operator="greaterThanOrEqual">
      <formula1>0</formula1>
    </dataValidation>
    <dataValidation sqref="Q7:S69"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X71"/>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24" customWidth="1" min="1" max="1"/>
    <col width="7" customWidth="1" min="2" max="2"/>
    <col width="7" customWidth="1" min="3" max="3"/>
    <col width="11" customWidth="1" min="4" max="4"/>
    <col width="10.5" customWidth="1" min="5" max="5"/>
    <col width="10.5" customWidth="1" min="6" max="6"/>
    <col width="10.5" customWidth="1" min="7" max="7"/>
    <col width="11" customWidth="1" min="8" max="8"/>
    <col width="10.5" customWidth="1" min="9" max="9"/>
    <col width="10.5" customWidth="1" min="10" max="10"/>
    <col width="10.5" customWidth="1" min="11" max="11"/>
    <col width="11" customWidth="1" min="12" max="12"/>
    <col width="10.5" customWidth="1" min="13" max="13"/>
    <col width="10.5" customWidth="1" min="14" max="14"/>
    <col width="10.5" customWidth="1" min="15" max="15"/>
    <col width="11" customWidth="1" min="16" max="16"/>
    <col width="10.5" customWidth="1" min="17" max="17"/>
    <col width="10.5" customWidth="1" min="18" max="18"/>
    <col width="10.5" customWidth="1" min="19" max="19"/>
    <col width="11" customWidth="1" min="20" max="20"/>
    <col width="11" customWidth="1" min="21" max="21"/>
    <col width="11" customWidth="1" min="22" max="22"/>
    <col width="11" customWidth="1" min="23" max="23"/>
    <col width="12" customWidth="1" min="24" max="24"/>
  </cols>
  <sheetData>
    <row r="1" ht="26" customHeight="1">
      <c r="A1" s="1" t="inlineStr">
        <is>
          <t>Août 2026</t>
        </is>
      </c>
    </row>
    <row r="2">
      <c r="A2" s="2" t="inlineStr">
        <is>
          <t>Date cmd = jour où tu passes la commande · Stock = ce qu'il reste · Commandé · Reçu = ce qui est arrivé</t>
        </is>
      </c>
    </row>
    <row r="4">
      <c r="A4" s="15" t="inlineStr">
        <is>
          <t>Produit</t>
        </is>
      </c>
      <c r="B4" s="15" t="inlineStr">
        <is>
          <t>Unité</t>
        </is>
      </c>
      <c r="C4" s="15" t="inlineStr">
        <is>
          <t>Mini</t>
        </is>
      </c>
      <c r="D4" s="15" t="inlineStr">
        <is>
          <t>Semaine 1</t>
        </is>
      </c>
      <c r="E4" s="19" t="n"/>
      <c r="F4" s="19" t="n"/>
      <c r="G4" s="19" t="n"/>
      <c r="H4" s="15" t="inlineStr">
        <is>
          <t>Semaine 2</t>
        </is>
      </c>
      <c r="I4" s="19" t="n"/>
      <c r="J4" s="19" t="n"/>
      <c r="K4" s="19" t="n"/>
      <c r="L4" s="15" t="inlineStr">
        <is>
          <t>Semaine 3</t>
        </is>
      </c>
      <c r="M4" s="19" t="n"/>
      <c r="N4" s="19" t="n"/>
      <c r="O4" s="19" t="n"/>
      <c r="P4" s="15" t="inlineStr">
        <is>
          <t>Semaine 4</t>
        </is>
      </c>
      <c r="Q4" s="19" t="n"/>
      <c r="R4" s="19" t="n"/>
      <c r="S4" s="19" t="n"/>
      <c r="T4" s="15" t="inlineStr">
        <is>
          <t>Total du mois</t>
        </is>
      </c>
      <c r="U4" s="19" t="n"/>
      <c r="V4" s="19" t="n"/>
      <c r="W4" s="19" t="n"/>
      <c r="X4" s="15" t="inlineStr">
        <is>
          <t>Dépense (€)</t>
        </is>
      </c>
    </row>
    <row r="5">
      <c r="A5" s="19" t="n"/>
      <c r="B5" s="19" t="n"/>
      <c r="C5" s="19" t="n"/>
      <c r="D5" s="8" t="inlineStr">
        <is>
          <t>Date cmd</t>
        </is>
      </c>
      <c r="E5" s="8" t="inlineStr">
        <is>
          <t>Stock</t>
        </is>
      </c>
      <c r="F5" s="8" t="inlineStr">
        <is>
          <t>Commandé</t>
        </is>
      </c>
      <c r="G5" s="8" t="inlineStr">
        <is>
          <t>Reçu</t>
        </is>
      </c>
      <c r="H5" s="8" t="inlineStr">
        <is>
          <t>Date cmd</t>
        </is>
      </c>
      <c r="I5" s="8" t="inlineStr">
        <is>
          <t>Stock</t>
        </is>
      </c>
      <c r="J5" s="8" t="inlineStr">
        <is>
          <t>Commandé</t>
        </is>
      </c>
      <c r="K5" s="8" t="inlineStr">
        <is>
          <t>Reçu</t>
        </is>
      </c>
      <c r="L5" s="8" t="inlineStr">
        <is>
          <t>Date cmd</t>
        </is>
      </c>
      <c r="M5" s="8" t="inlineStr">
        <is>
          <t>Stock</t>
        </is>
      </c>
      <c r="N5" s="8" t="inlineStr">
        <is>
          <t>Commandé</t>
        </is>
      </c>
      <c r="O5" s="8" t="inlineStr">
        <is>
          <t>Reçu</t>
        </is>
      </c>
      <c r="P5" s="8" t="inlineStr">
        <is>
          <t>Date cmd</t>
        </is>
      </c>
      <c r="Q5" s="8" t="inlineStr">
        <is>
          <t>Stock</t>
        </is>
      </c>
      <c r="R5" s="8" t="inlineStr">
        <is>
          <t>Commandé</t>
        </is>
      </c>
      <c r="S5" s="8" t="inlineStr">
        <is>
          <t>Reçu</t>
        </is>
      </c>
      <c r="T5" s="8" t="inlineStr">
        <is>
          <t>Commandé</t>
        </is>
      </c>
      <c r="U5" s="8" t="inlineStr">
        <is>
          <t>Reçu</t>
        </is>
      </c>
      <c r="V5" s="8" t="inlineStr">
        <is>
          <t>Écart</t>
        </is>
      </c>
      <c r="W5" s="8" t="inlineStr">
        <is>
          <t>Dernier stock</t>
        </is>
      </c>
      <c r="X5" s="19" t="n"/>
    </row>
    <row r="6" ht="20" customHeight="1">
      <c r="A6" s="23" t="inlineStr">
        <is>
          <t>RÉSERVE SÈCHE</t>
        </is>
      </c>
      <c r="B6" s="10" t="n"/>
      <c r="C6" s="10" t="n"/>
      <c r="D6" s="10" t="n"/>
      <c r="E6" s="10" t="n"/>
      <c r="F6" s="10" t="n"/>
      <c r="G6" s="10" t="n"/>
      <c r="H6" s="10" t="n"/>
      <c r="I6" s="10" t="n"/>
      <c r="J6" s="10" t="n"/>
      <c r="K6" s="10" t="n"/>
      <c r="L6" s="10" t="n"/>
      <c r="M6" s="10" t="n"/>
      <c r="N6" s="10" t="n"/>
      <c r="O6" s="10" t="n"/>
      <c r="P6" s="10" t="n"/>
      <c r="Q6" s="10" t="n"/>
      <c r="R6" s="10" t="n"/>
      <c r="S6" s="10" t="n"/>
      <c r="T6" s="10" t="n"/>
      <c r="U6" s="10" t="n"/>
      <c r="V6" s="10" t="n"/>
      <c r="W6" s="10" t="n"/>
      <c r="X6" s="10" t="n"/>
    </row>
    <row r="7">
      <c r="A7" s="33">
        <f>IF(Produits!$A$6="","",Produits!$A$6)</f>
        <v/>
      </c>
      <c r="B7" s="34">
        <f>IF(Produits!$A$6="","",Produits!$C$6)</f>
        <v/>
      </c>
      <c r="C7" s="34">
        <f>IF(Produits!$A$6="","",Produits!$D$6)</f>
        <v/>
      </c>
      <c r="D7" s="32" t="n"/>
      <c r="E7" s="29" t="n"/>
      <c r="F7" s="29" t="n"/>
      <c r="G7" s="29" t="n"/>
      <c r="H7" s="32" t="n"/>
      <c r="I7" s="29" t="n"/>
      <c r="J7" s="29" t="n"/>
      <c r="K7" s="29" t="n"/>
      <c r="L7" s="32" t="n"/>
      <c r="M7" s="29" t="n"/>
      <c r="N7" s="29" t="n"/>
      <c r="O7" s="29" t="n"/>
      <c r="P7" s="32" t="n"/>
      <c r="Q7" s="29" t="n"/>
      <c r="R7" s="29" t="n"/>
      <c r="S7" s="29" t="n"/>
      <c r="T7" s="22">
        <f>IF(COUNT(F7,J7,N7,R7)=0,"",SUM(F7,J7,N7,R7))</f>
        <v/>
      </c>
      <c r="U7" s="22">
        <f>IF(COUNT(G7,K7,O7,S7)=0,"",SUM(G7,K7,O7,S7))</f>
        <v/>
      </c>
      <c r="V7" s="22">
        <f>IF(OR(T7="",U7=""),"",U7-T7)</f>
        <v/>
      </c>
      <c r="W7" s="22">
        <f>IF(Q7&lt;&gt;"",Q7,IF(M7&lt;&gt;"",M7,IF(I7&lt;&gt;"",I7,IF(E7&lt;&gt;"",E7,""))))</f>
        <v/>
      </c>
      <c r="X7" s="18">
        <f>IF(U7="","",U7*N(Produits!$E$6))</f>
        <v/>
      </c>
    </row>
    <row r="8">
      <c r="A8" s="33">
        <f>IF(Produits!$A$7="","",Produits!$A$7)</f>
        <v/>
      </c>
      <c r="B8" s="34">
        <f>IF(Produits!$A$7="","",Produits!$C$7)</f>
        <v/>
      </c>
      <c r="C8" s="34">
        <f>IF(Produits!$A$7="","",Produits!$D$7)</f>
        <v/>
      </c>
      <c r="D8" s="32" t="n"/>
      <c r="E8" s="29" t="n"/>
      <c r="F8" s="29" t="n"/>
      <c r="G8" s="29" t="n"/>
      <c r="H8" s="32" t="n"/>
      <c r="I8" s="29" t="n"/>
      <c r="J8" s="29" t="n"/>
      <c r="K8" s="29" t="n"/>
      <c r="L8" s="32" t="n"/>
      <c r="M8" s="29" t="n"/>
      <c r="N8" s="29" t="n"/>
      <c r="O8" s="29" t="n"/>
      <c r="P8" s="32" t="n"/>
      <c r="Q8" s="29" t="n"/>
      <c r="R8" s="29" t="n"/>
      <c r="S8" s="29" t="n"/>
      <c r="T8" s="22">
        <f>IF(COUNT(F8,J8,N8,R8)=0,"",SUM(F8,J8,N8,R8))</f>
        <v/>
      </c>
      <c r="U8" s="22">
        <f>IF(COUNT(G8,K8,O8,S8)=0,"",SUM(G8,K8,O8,S8))</f>
        <v/>
      </c>
      <c r="V8" s="22">
        <f>IF(OR(T8="",U8=""),"",U8-T8)</f>
        <v/>
      </c>
      <c r="W8" s="22">
        <f>IF(Q8&lt;&gt;"",Q8,IF(M8&lt;&gt;"",M8,IF(I8&lt;&gt;"",I8,IF(E8&lt;&gt;"",E8,""))))</f>
        <v/>
      </c>
      <c r="X8" s="18">
        <f>IF(U8="","",U8*N(Produits!$E$7))</f>
        <v/>
      </c>
    </row>
    <row r="9">
      <c r="A9" s="33">
        <f>IF(Produits!$A$8="","",Produits!$A$8)</f>
        <v/>
      </c>
      <c r="B9" s="34">
        <f>IF(Produits!$A$8="","",Produits!$C$8)</f>
        <v/>
      </c>
      <c r="C9" s="34">
        <f>IF(Produits!$A$8="","",Produits!$D$8)</f>
        <v/>
      </c>
      <c r="D9" s="32" t="n"/>
      <c r="E9" s="29" t="n"/>
      <c r="F9" s="29" t="n"/>
      <c r="G9" s="29" t="n"/>
      <c r="H9" s="32" t="n"/>
      <c r="I9" s="29" t="n"/>
      <c r="J9" s="29" t="n"/>
      <c r="K9" s="29" t="n"/>
      <c r="L9" s="32" t="n"/>
      <c r="M9" s="29" t="n"/>
      <c r="N9" s="29" t="n"/>
      <c r="O9" s="29" t="n"/>
      <c r="P9" s="32" t="n"/>
      <c r="Q9" s="29" t="n"/>
      <c r="R9" s="29" t="n"/>
      <c r="S9" s="29" t="n"/>
      <c r="T9" s="22">
        <f>IF(COUNT(F9,J9,N9,R9)=0,"",SUM(F9,J9,N9,R9))</f>
        <v/>
      </c>
      <c r="U9" s="22">
        <f>IF(COUNT(G9,K9,O9,S9)=0,"",SUM(G9,K9,O9,S9))</f>
        <v/>
      </c>
      <c r="V9" s="22">
        <f>IF(OR(T9="",U9=""),"",U9-T9)</f>
        <v/>
      </c>
      <c r="W9" s="22">
        <f>IF(Q9&lt;&gt;"",Q9,IF(M9&lt;&gt;"",M9,IF(I9&lt;&gt;"",I9,IF(E9&lt;&gt;"",E9,""))))</f>
        <v/>
      </c>
      <c r="X9" s="18">
        <f>IF(U9="","",U9*N(Produits!$E$8))</f>
        <v/>
      </c>
    </row>
    <row r="10">
      <c r="A10" s="33">
        <f>IF(Produits!$A$9="","",Produits!$A$9)</f>
        <v/>
      </c>
      <c r="B10" s="34">
        <f>IF(Produits!$A$9="","",Produits!$C$9)</f>
        <v/>
      </c>
      <c r="C10" s="34">
        <f>IF(Produits!$A$9="","",Produits!$D$9)</f>
        <v/>
      </c>
      <c r="D10" s="32" t="n"/>
      <c r="E10" s="29" t="n"/>
      <c r="F10" s="29" t="n"/>
      <c r="G10" s="29" t="n"/>
      <c r="H10" s="32" t="n"/>
      <c r="I10" s="29" t="n"/>
      <c r="J10" s="29" t="n"/>
      <c r="K10" s="29" t="n"/>
      <c r="L10" s="32" t="n"/>
      <c r="M10" s="29" t="n"/>
      <c r="N10" s="29" t="n"/>
      <c r="O10" s="29" t="n"/>
      <c r="P10" s="32" t="n"/>
      <c r="Q10" s="29" t="n"/>
      <c r="R10" s="29" t="n"/>
      <c r="S10" s="29" t="n"/>
      <c r="T10" s="22">
        <f>IF(COUNT(F10,J10,N10,R10)=0,"",SUM(F10,J10,N10,R10))</f>
        <v/>
      </c>
      <c r="U10" s="22">
        <f>IF(COUNT(G10,K10,O10,S10)=0,"",SUM(G10,K10,O10,S10))</f>
        <v/>
      </c>
      <c r="V10" s="22">
        <f>IF(OR(T10="",U10=""),"",U10-T10)</f>
        <v/>
      </c>
      <c r="W10" s="22">
        <f>IF(Q10&lt;&gt;"",Q10,IF(M10&lt;&gt;"",M10,IF(I10&lt;&gt;"",I10,IF(E10&lt;&gt;"",E10,""))))</f>
        <v/>
      </c>
      <c r="X10" s="18">
        <f>IF(U10="","",U10*N(Produits!$E$9))</f>
        <v/>
      </c>
    </row>
    <row r="11">
      <c r="A11" s="33">
        <f>IF(Produits!$A$10="","",Produits!$A$10)</f>
        <v/>
      </c>
      <c r="B11" s="34">
        <f>IF(Produits!$A$10="","",Produits!$C$10)</f>
        <v/>
      </c>
      <c r="C11" s="34">
        <f>IF(Produits!$A$10="","",Produits!$D$10)</f>
        <v/>
      </c>
      <c r="D11" s="32" t="n"/>
      <c r="E11" s="29" t="n"/>
      <c r="F11" s="29" t="n"/>
      <c r="G11" s="29" t="n"/>
      <c r="H11" s="32" t="n"/>
      <c r="I11" s="29" t="n"/>
      <c r="J11" s="29" t="n"/>
      <c r="K11" s="29" t="n"/>
      <c r="L11" s="32" t="n"/>
      <c r="M11" s="29" t="n"/>
      <c r="N11" s="29" t="n"/>
      <c r="O11" s="29" t="n"/>
      <c r="P11" s="32" t="n"/>
      <c r="Q11" s="29" t="n"/>
      <c r="R11" s="29" t="n"/>
      <c r="S11" s="29" t="n"/>
      <c r="T11" s="22">
        <f>IF(COUNT(F11,J11,N11,R11)=0,"",SUM(F11,J11,N11,R11))</f>
        <v/>
      </c>
      <c r="U11" s="22">
        <f>IF(COUNT(G11,K11,O11,S11)=0,"",SUM(G11,K11,O11,S11))</f>
        <v/>
      </c>
      <c r="V11" s="22">
        <f>IF(OR(T11="",U11=""),"",U11-T11)</f>
        <v/>
      </c>
      <c r="W11" s="22">
        <f>IF(Q11&lt;&gt;"",Q11,IF(M11&lt;&gt;"",M11,IF(I11&lt;&gt;"",I11,IF(E11&lt;&gt;"",E11,""))))</f>
        <v/>
      </c>
      <c r="X11" s="18">
        <f>IF(U11="","",U11*N(Produits!$E$10))</f>
        <v/>
      </c>
    </row>
    <row r="12">
      <c r="A12" s="33">
        <f>IF(Produits!$A$11="","",Produits!$A$11)</f>
        <v/>
      </c>
      <c r="B12" s="34">
        <f>IF(Produits!$A$11="","",Produits!$C$11)</f>
        <v/>
      </c>
      <c r="C12" s="34">
        <f>IF(Produits!$A$11="","",Produits!$D$11)</f>
        <v/>
      </c>
      <c r="D12" s="32" t="n"/>
      <c r="E12" s="29" t="n"/>
      <c r="F12" s="29" t="n"/>
      <c r="G12" s="29" t="n"/>
      <c r="H12" s="32" t="n"/>
      <c r="I12" s="29" t="n"/>
      <c r="J12" s="29" t="n"/>
      <c r="K12" s="29" t="n"/>
      <c r="L12" s="32" t="n"/>
      <c r="M12" s="29" t="n"/>
      <c r="N12" s="29" t="n"/>
      <c r="O12" s="29" t="n"/>
      <c r="P12" s="32" t="n"/>
      <c r="Q12" s="29" t="n"/>
      <c r="R12" s="29" t="n"/>
      <c r="S12" s="29" t="n"/>
      <c r="T12" s="22">
        <f>IF(COUNT(F12,J12,N12,R12)=0,"",SUM(F12,J12,N12,R12))</f>
        <v/>
      </c>
      <c r="U12" s="22">
        <f>IF(COUNT(G12,K12,O12,S12)=0,"",SUM(G12,K12,O12,S12))</f>
        <v/>
      </c>
      <c r="V12" s="22">
        <f>IF(OR(T12="",U12=""),"",U12-T12)</f>
        <v/>
      </c>
      <c r="W12" s="22">
        <f>IF(Q12&lt;&gt;"",Q12,IF(M12&lt;&gt;"",M12,IF(I12&lt;&gt;"",I12,IF(E12&lt;&gt;"",E12,""))))</f>
        <v/>
      </c>
      <c r="X12" s="18">
        <f>IF(U12="","",U12*N(Produits!$E$11))</f>
        <v/>
      </c>
    </row>
    <row r="13">
      <c r="A13" s="33">
        <f>IF(Produits!$A$12="","",Produits!$A$12)</f>
        <v/>
      </c>
      <c r="B13" s="34">
        <f>IF(Produits!$A$12="","",Produits!$C$12)</f>
        <v/>
      </c>
      <c r="C13" s="34">
        <f>IF(Produits!$A$12="","",Produits!$D$12)</f>
        <v/>
      </c>
      <c r="D13" s="32" t="n"/>
      <c r="E13" s="29" t="n"/>
      <c r="F13" s="29" t="n"/>
      <c r="G13" s="29" t="n"/>
      <c r="H13" s="32" t="n"/>
      <c r="I13" s="29" t="n"/>
      <c r="J13" s="29" t="n"/>
      <c r="K13" s="29" t="n"/>
      <c r="L13" s="32" t="n"/>
      <c r="M13" s="29" t="n"/>
      <c r="N13" s="29" t="n"/>
      <c r="O13" s="29" t="n"/>
      <c r="P13" s="32" t="n"/>
      <c r="Q13" s="29" t="n"/>
      <c r="R13" s="29" t="n"/>
      <c r="S13" s="29" t="n"/>
      <c r="T13" s="22">
        <f>IF(COUNT(F13,J13,N13,R13)=0,"",SUM(F13,J13,N13,R13))</f>
        <v/>
      </c>
      <c r="U13" s="22">
        <f>IF(COUNT(G13,K13,O13,S13)=0,"",SUM(G13,K13,O13,S13))</f>
        <v/>
      </c>
      <c r="V13" s="22">
        <f>IF(OR(T13="",U13=""),"",U13-T13)</f>
        <v/>
      </c>
      <c r="W13" s="22">
        <f>IF(Q13&lt;&gt;"",Q13,IF(M13&lt;&gt;"",M13,IF(I13&lt;&gt;"",I13,IF(E13&lt;&gt;"",E13,""))))</f>
        <v/>
      </c>
      <c r="X13" s="18">
        <f>IF(U13="","",U13*N(Produits!$E$12))</f>
        <v/>
      </c>
    </row>
    <row r="14">
      <c r="A14" s="33">
        <f>IF(Produits!$A$13="","",Produits!$A$13)</f>
        <v/>
      </c>
      <c r="B14" s="34">
        <f>IF(Produits!$A$13="","",Produits!$C$13)</f>
        <v/>
      </c>
      <c r="C14" s="34">
        <f>IF(Produits!$A$13="","",Produits!$D$13)</f>
        <v/>
      </c>
      <c r="D14" s="32" t="n"/>
      <c r="E14" s="29" t="n"/>
      <c r="F14" s="29" t="n"/>
      <c r="G14" s="29" t="n"/>
      <c r="H14" s="32" t="n"/>
      <c r="I14" s="29" t="n"/>
      <c r="J14" s="29" t="n"/>
      <c r="K14" s="29" t="n"/>
      <c r="L14" s="32" t="n"/>
      <c r="M14" s="29" t="n"/>
      <c r="N14" s="29" t="n"/>
      <c r="O14" s="29" t="n"/>
      <c r="P14" s="32" t="n"/>
      <c r="Q14" s="29" t="n"/>
      <c r="R14" s="29" t="n"/>
      <c r="S14" s="29" t="n"/>
      <c r="T14" s="22">
        <f>IF(COUNT(F14,J14,N14,R14)=0,"",SUM(F14,J14,N14,R14))</f>
        <v/>
      </c>
      <c r="U14" s="22">
        <f>IF(COUNT(G14,K14,O14,S14)=0,"",SUM(G14,K14,O14,S14))</f>
        <v/>
      </c>
      <c r="V14" s="22">
        <f>IF(OR(T14="",U14=""),"",U14-T14)</f>
        <v/>
      </c>
      <c r="W14" s="22">
        <f>IF(Q14&lt;&gt;"",Q14,IF(M14&lt;&gt;"",M14,IF(I14&lt;&gt;"",I14,IF(E14&lt;&gt;"",E14,""))))</f>
        <v/>
      </c>
      <c r="X14" s="18">
        <f>IF(U14="","",U14*N(Produits!$E$13))</f>
        <v/>
      </c>
    </row>
    <row r="15">
      <c r="A15" s="33">
        <f>IF(Produits!$A$14="","",Produits!$A$14)</f>
        <v/>
      </c>
      <c r="B15" s="34">
        <f>IF(Produits!$A$14="","",Produits!$C$14)</f>
        <v/>
      </c>
      <c r="C15" s="34">
        <f>IF(Produits!$A$14="","",Produits!$D$14)</f>
        <v/>
      </c>
      <c r="D15" s="32" t="n"/>
      <c r="E15" s="29" t="n"/>
      <c r="F15" s="29" t="n"/>
      <c r="G15" s="29" t="n"/>
      <c r="H15" s="32" t="n"/>
      <c r="I15" s="29" t="n"/>
      <c r="J15" s="29" t="n"/>
      <c r="K15" s="29" t="n"/>
      <c r="L15" s="32" t="n"/>
      <c r="M15" s="29" t="n"/>
      <c r="N15" s="29" t="n"/>
      <c r="O15" s="29" t="n"/>
      <c r="P15" s="32" t="n"/>
      <c r="Q15" s="29" t="n"/>
      <c r="R15" s="29" t="n"/>
      <c r="S15" s="29" t="n"/>
      <c r="T15" s="22">
        <f>IF(COUNT(F15,J15,N15,R15)=0,"",SUM(F15,J15,N15,R15))</f>
        <v/>
      </c>
      <c r="U15" s="22">
        <f>IF(COUNT(G15,K15,O15,S15)=0,"",SUM(G15,K15,O15,S15))</f>
        <v/>
      </c>
      <c r="V15" s="22">
        <f>IF(OR(T15="",U15=""),"",U15-T15)</f>
        <v/>
      </c>
      <c r="W15" s="22">
        <f>IF(Q15&lt;&gt;"",Q15,IF(M15&lt;&gt;"",M15,IF(I15&lt;&gt;"",I15,IF(E15&lt;&gt;"",E15,""))))</f>
        <v/>
      </c>
      <c r="X15" s="18">
        <f>IF(U15="","",U15*N(Produits!$E$14))</f>
        <v/>
      </c>
    </row>
    <row r="16">
      <c r="A16" s="33">
        <f>IF(Produits!$A$15="","",Produits!$A$15)</f>
        <v/>
      </c>
      <c r="B16" s="34">
        <f>IF(Produits!$A$15="","",Produits!$C$15)</f>
        <v/>
      </c>
      <c r="C16" s="34">
        <f>IF(Produits!$A$15="","",Produits!$D$15)</f>
        <v/>
      </c>
      <c r="D16" s="32" t="n"/>
      <c r="E16" s="29" t="n"/>
      <c r="F16" s="29" t="n"/>
      <c r="G16" s="29" t="n"/>
      <c r="H16" s="32" t="n"/>
      <c r="I16" s="29" t="n"/>
      <c r="J16" s="29" t="n"/>
      <c r="K16" s="29" t="n"/>
      <c r="L16" s="32" t="n"/>
      <c r="M16" s="29" t="n"/>
      <c r="N16" s="29" t="n"/>
      <c r="O16" s="29" t="n"/>
      <c r="P16" s="32" t="n"/>
      <c r="Q16" s="29" t="n"/>
      <c r="R16" s="29" t="n"/>
      <c r="S16" s="29" t="n"/>
      <c r="T16" s="22">
        <f>IF(COUNT(F16,J16,N16,R16)=0,"",SUM(F16,J16,N16,R16))</f>
        <v/>
      </c>
      <c r="U16" s="22">
        <f>IF(COUNT(G16,K16,O16,S16)=0,"",SUM(G16,K16,O16,S16))</f>
        <v/>
      </c>
      <c r="V16" s="22">
        <f>IF(OR(T16="",U16=""),"",U16-T16)</f>
        <v/>
      </c>
      <c r="W16" s="22">
        <f>IF(Q16&lt;&gt;"",Q16,IF(M16&lt;&gt;"",M16,IF(I16&lt;&gt;"",I16,IF(E16&lt;&gt;"",E16,""))))</f>
        <v/>
      </c>
      <c r="X16" s="18">
        <f>IF(U16="","",U16*N(Produits!$E$15))</f>
        <v/>
      </c>
    </row>
    <row r="17">
      <c r="A17" s="33">
        <f>IF(Produits!$A$16="","",Produits!$A$16)</f>
        <v/>
      </c>
      <c r="B17" s="34">
        <f>IF(Produits!$A$16="","",Produits!$C$16)</f>
        <v/>
      </c>
      <c r="C17" s="34">
        <f>IF(Produits!$A$16="","",Produits!$D$16)</f>
        <v/>
      </c>
      <c r="D17" s="32" t="n"/>
      <c r="E17" s="29" t="n"/>
      <c r="F17" s="29" t="n"/>
      <c r="G17" s="29" t="n"/>
      <c r="H17" s="32" t="n"/>
      <c r="I17" s="29" t="n"/>
      <c r="J17" s="29" t="n"/>
      <c r="K17" s="29" t="n"/>
      <c r="L17" s="32" t="n"/>
      <c r="M17" s="29" t="n"/>
      <c r="N17" s="29" t="n"/>
      <c r="O17" s="29" t="n"/>
      <c r="P17" s="32" t="n"/>
      <c r="Q17" s="29" t="n"/>
      <c r="R17" s="29" t="n"/>
      <c r="S17" s="29" t="n"/>
      <c r="T17" s="22">
        <f>IF(COUNT(F17,J17,N17,R17)=0,"",SUM(F17,J17,N17,R17))</f>
        <v/>
      </c>
      <c r="U17" s="22">
        <f>IF(COUNT(G17,K17,O17,S17)=0,"",SUM(G17,K17,O17,S17))</f>
        <v/>
      </c>
      <c r="V17" s="22">
        <f>IF(OR(T17="",U17=""),"",U17-T17)</f>
        <v/>
      </c>
      <c r="W17" s="22">
        <f>IF(Q17&lt;&gt;"",Q17,IF(M17&lt;&gt;"",M17,IF(I17&lt;&gt;"",I17,IF(E17&lt;&gt;"",E17,""))))</f>
        <v/>
      </c>
      <c r="X17" s="18">
        <f>IF(U17="","",U17*N(Produits!$E$16))</f>
        <v/>
      </c>
    </row>
    <row r="18">
      <c r="A18" s="33">
        <f>IF(Produits!$A$17="","",Produits!$A$17)</f>
        <v/>
      </c>
      <c r="B18" s="34">
        <f>IF(Produits!$A$17="","",Produits!$C$17)</f>
        <v/>
      </c>
      <c r="C18" s="34">
        <f>IF(Produits!$A$17="","",Produits!$D$17)</f>
        <v/>
      </c>
      <c r="D18" s="32" t="n"/>
      <c r="E18" s="29" t="n"/>
      <c r="F18" s="29" t="n"/>
      <c r="G18" s="29" t="n"/>
      <c r="H18" s="32" t="n"/>
      <c r="I18" s="29" t="n"/>
      <c r="J18" s="29" t="n"/>
      <c r="K18" s="29" t="n"/>
      <c r="L18" s="32" t="n"/>
      <c r="M18" s="29" t="n"/>
      <c r="N18" s="29" t="n"/>
      <c r="O18" s="29" t="n"/>
      <c r="P18" s="32" t="n"/>
      <c r="Q18" s="29" t="n"/>
      <c r="R18" s="29" t="n"/>
      <c r="S18" s="29" t="n"/>
      <c r="T18" s="22">
        <f>IF(COUNT(F18,J18,N18,R18)=0,"",SUM(F18,J18,N18,R18))</f>
        <v/>
      </c>
      <c r="U18" s="22">
        <f>IF(COUNT(G18,K18,O18,S18)=0,"",SUM(G18,K18,O18,S18))</f>
        <v/>
      </c>
      <c r="V18" s="22">
        <f>IF(OR(T18="",U18=""),"",U18-T18)</f>
        <v/>
      </c>
      <c r="W18" s="22">
        <f>IF(Q18&lt;&gt;"",Q18,IF(M18&lt;&gt;"",M18,IF(I18&lt;&gt;"",I18,IF(E18&lt;&gt;"",E18,""))))</f>
        <v/>
      </c>
      <c r="X18" s="18">
        <f>IF(U18="","",U18*N(Produits!$E$17))</f>
        <v/>
      </c>
    </row>
    <row r="19">
      <c r="A19" s="33">
        <f>IF(Produits!$A$18="","",Produits!$A$18)</f>
        <v/>
      </c>
      <c r="B19" s="34">
        <f>IF(Produits!$A$18="","",Produits!$C$18)</f>
        <v/>
      </c>
      <c r="C19" s="34">
        <f>IF(Produits!$A$18="","",Produits!$D$18)</f>
        <v/>
      </c>
      <c r="D19" s="32" t="n"/>
      <c r="E19" s="29" t="n"/>
      <c r="F19" s="29" t="n"/>
      <c r="G19" s="29" t="n"/>
      <c r="H19" s="32" t="n"/>
      <c r="I19" s="29" t="n"/>
      <c r="J19" s="29" t="n"/>
      <c r="K19" s="29" t="n"/>
      <c r="L19" s="32" t="n"/>
      <c r="M19" s="29" t="n"/>
      <c r="N19" s="29" t="n"/>
      <c r="O19" s="29" t="n"/>
      <c r="P19" s="32" t="n"/>
      <c r="Q19" s="29" t="n"/>
      <c r="R19" s="29" t="n"/>
      <c r="S19" s="29" t="n"/>
      <c r="T19" s="22">
        <f>IF(COUNT(F19,J19,N19,R19)=0,"",SUM(F19,J19,N19,R19))</f>
        <v/>
      </c>
      <c r="U19" s="22">
        <f>IF(COUNT(G19,K19,O19,S19)=0,"",SUM(G19,K19,O19,S19))</f>
        <v/>
      </c>
      <c r="V19" s="22">
        <f>IF(OR(T19="",U19=""),"",U19-T19)</f>
        <v/>
      </c>
      <c r="W19" s="22">
        <f>IF(Q19&lt;&gt;"",Q19,IF(M19&lt;&gt;"",M19,IF(I19&lt;&gt;"",I19,IF(E19&lt;&gt;"",E19,""))))</f>
        <v/>
      </c>
      <c r="X19" s="18">
        <f>IF(U19="","",U19*N(Produits!$E$18))</f>
        <v/>
      </c>
    </row>
    <row r="20">
      <c r="A20" s="33">
        <f>IF(Produits!$A$19="","",Produits!$A$19)</f>
        <v/>
      </c>
      <c r="B20" s="34">
        <f>IF(Produits!$A$19="","",Produits!$C$19)</f>
        <v/>
      </c>
      <c r="C20" s="34">
        <f>IF(Produits!$A$19="","",Produits!$D$19)</f>
        <v/>
      </c>
      <c r="D20" s="32" t="n"/>
      <c r="E20" s="29" t="n"/>
      <c r="F20" s="29" t="n"/>
      <c r="G20" s="29" t="n"/>
      <c r="H20" s="32" t="n"/>
      <c r="I20" s="29" t="n"/>
      <c r="J20" s="29" t="n"/>
      <c r="K20" s="29" t="n"/>
      <c r="L20" s="32" t="n"/>
      <c r="M20" s="29" t="n"/>
      <c r="N20" s="29" t="n"/>
      <c r="O20" s="29" t="n"/>
      <c r="P20" s="32" t="n"/>
      <c r="Q20" s="29" t="n"/>
      <c r="R20" s="29" t="n"/>
      <c r="S20" s="29" t="n"/>
      <c r="T20" s="22">
        <f>IF(COUNT(F20,J20,N20,R20)=0,"",SUM(F20,J20,N20,R20))</f>
        <v/>
      </c>
      <c r="U20" s="22">
        <f>IF(COUNT(G20,K20,O20,S20)=0,"",SUM(G20,K20,O20,S20))</f>
        <v/>
      </c>
      <c r="V20" s="22">
        <f>IF(OR(T20="",U20=""),"",U20-T20)</f>
        <v/>
      </c>
      <c r="W20" s="22">
        <f>IF(Q20&lt;&gt;"",Q20,IF(M20&lt;&gt;"",M20,IF(I20&lt;&gt;"",I20,IF(E20&lt;&gt;"",E20,""))))</f>
        <v/>
      </c>
      <c r="X20" s="18">
        <f>IF(U20="","",U20*N(Produits!$E$19))</f>
        <v/>
      </c>
    </row>
    <row r="21">
      <c r="A21" s="33">
        <f>IF(Produits!$A$20="","",Produits!$A$20)</f>
        <v/>
      </c>
      <c r="B21" s="34">
        <f>IF(Produits!$A$20="","",Produits!$C$20)</f>
        <v/>
      </c>
      <c r="C21" s="34">
        <f>IF(Produits!$A$20="","",Produits!$D$20)</f>
        <v/>
      </c>
      <c r="D21" s="32" t="n"/>
      <c r="E21" s="29" t="n"/>
      <c r="F21" s="29" t="n"/>
      <c r="G21" s="29" t="n"/>
      <c r="H21" s="32" t="n"/>
      <c r="I21" s="29" t="n"/>
      <c r="J21" s="29" t="n"/>
      <c r="K21" s="29" t="n"/>
      <c r="L21" s="32" t="n"/>
      <c r="M21" s="29" t="n"/>
      <c r="N21" s="29" t="n"/>
      <c r="O21" s="29" t="n"/>
      <c r="P21" s="32" t="n"/>
      <c r="Q21" s="29" t="n"/>
      <c r="R21" s="29" t="n"/>
      <c r="S21" s="29" t="n"/>
      <c r="T21" s="22">
        <f>IF(COUNT(F21,J21,N21,R21)=0,"",SUM(F21,J21,N21,R21))</f>
        <v/>
      </c>
      <c r="U21" s="22">
        <f>IF(COUNT(G21,K21,O21,S21)=0,"",SUM(G21,K21,O21,S21))</f>
        <v/>
      </c>
      <c r="V21" s="22">
        <f>IF(OR(T21="",U21=""),"",U21-T21)</f>
        <v/>
      </c>
      <c r="W21" s="22">
        <f>IF(Q21&lt;&gt;"",Q21,IF(M21&lt;&gt;"",M21,IF(I21&lt;&gt;"",I21,IF(E21&lt;&gt;"",E21,""))))</f>
        <v/>
      </c>
      <c r="X21" s="18">
        <f>IF(U21="","",U21*N(Produits!$E$20))</f>
        <v/>
      </c>
    </row>
    <row r="22" ht="20" customHeight="1">
      <c r="A22" s="23" t="inlineStr">
        <is>
          <t>CHAMBRE FROIDE POSITIVE</t>
        </is>
      </c>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row>
    <row r="23">
      <c r="A23" s="33">
        <f>IF(Produits!$A$22="","",Produits!$A$22)</f>
        <v/>
      </c>
      <c r="B23" s="34">
        <f>IF(Produits!$A$22="","",Produits!$C$22)</f>
        <v/>
      </c>
      <c r="C23" s="34">
        <f>IF(Produits!$A$22="","",Produits!$D$22)</f>
        <v/>
      </c>
      <c r="D23" s="32" t="n"/>
      <c r="E23" s="29" t="n"/>
      <c r="F23" s="29" t="n"/>
      <c r="G23" s="29" t="n"/>
      <c r="H23" s="32" t="n"/>
      <c r="I23" s="29" t="n"/>
      <c r="J23" s="29" t="n"/>
      <c r="K23" s="29" t="n"/>
      <c r="L23" s="32" t="n"/>
      <c r="M23" s="29" t="n"/>
      <c r="N23" s="29" t="n"/>
      <c r="O23" s="29" t="n"/>
      <c r="P23" s="32" t="n"/>
      <c r="Q23" s="29" t="n"/>
      <c r="R23" s="29" t="n"/>
      <c r="S23" s="29" t="n"/>
      <c r="T23" s="22">
        <f>IF(COUNT(F23,J23,N23,R23)=0,"",SUM(F23,J23,N23,R23))</f>
        <v/>
      </c>
      <c r="U23" s="22">
        <f>IF(COUNT(G23,K23,O23,S23)=0,"",SUM(G23,K23,O23,S23))</f>
        <v/>
      </c>
      <c r="V23" s="22">
        <f>IF(OR(T23="",U23=""),"",U23-T23)</f>
        <v/>
      </c>
      <c r="W23" s="22">
        <f>IF(Q23&lt;&gt;"",Q23,IF(M23&lt;&gt;"",M23,IF(I23&lt;&gt;"",I23,IF(E23&lt;&gt;"",E23,""))))</f>
        <v/>
      </c>
      <c r="X23" s="18">
        <f>IF(U23="","",U23*N(Produits!$E$22))</f>
        <v/>
      </c>
    </row>
    <row r="24">
      <c r="A24" s="33">
        <f>IF(Produits!$A$23="","",Produits!$A$23)</f>
        <v/>
      </c>
      <c r="B24" s="34">
        <f>IF(Produits!$A$23="","",Produits!$C$23)</f>
        <v/>
      </c>
      <c r="C24" s="34">
        <f>IF(Produits!$A$23="","",Produits!$D$23)</f>
        <v/>
      </c>
      <c r="D24" s="32" t="n"/>
      <c r="E24" s="29" t="n"/>
      <c r="F24" s="29" t="n"/>
      <c r="G24" s="29" t="n"/>
      <c r="H24" s="32" t="n"/>
      <c r="I24" s="29" t="n"/>
      <c r="J24" s="29" t="n"/>
      <c r="K24" s="29" t="n"/>
      <c r="L24" s="32" t="n"/>
      <c r="M24" s="29" t="n"/>
      <c r="N24" s="29" t="n"/>
      <c r="O24" s="29" t="n"/>
      <c r="P24" s="32" t="n"/>
      <c r="Q24" s="29" t="n"/>
      <c r="R24" s="29" t="n"/>
      <c r="S24" s="29" t="n"/>
      <c r="T24" s="22">
        <f>IF(COUNT(F24,J24,N24,R24)=0,"",SUM(F24,J24,N24,R24))</f>
        <v/>
      </c>
      <c r="U24" s="22">
        <f>IF(COUNT(G24,K24,O24,S24)=0,"",SUM(G24,K24,O24,S24))</f>
        <v/>
      </c>
      <c r="V24" s="22">
        <f>IF(OR(T24="",U24=""),"",U24-T24)</f>
        <v/>
      </c>
      <c r="W24" s="22">
        <f>IF(Q24&lt;&gt;"",Q24,IF(M24&lt;&gt;"",M24,IF(I24&lt;&gt;"",I24,IF(E24&lt;&gt;"",E24,""))))</f>
        <v/>
      </c>
      <c r="X24" s="18">
        <f>IF(U24="","",U24*N(Produits!$E$23))</f>
        <v/>
      </c>
    </row>
    <row r="25">
      <c r="A25" s="33">
        <f>IF(Produits!$A$24="","",Produits!$A$24)</f>
        <v/>
      </c>
      <c r="B25" s="34">
        <f>IF(Produits!$A$24="","",Produits!$C$24)</f>
        <v/>
      </c>
      <c r="C25" s="34">
        <f>IF(Produits!$A$24="","",Produits!$D$24)</f>
        <v/>
      </c>
      <c r="D25" s="32" t="n"/>
      <c r="E25" s="29" t="n"/>
      <c r="F25" s="29" t="n"/>
      <c r="G25" s="29" t="n"/>
      <c r="H25" s="32" t="n"/>
      <c r="I25" s="29" t="n"/>
      <c r="J25" s="29" t="n"/>
      <c r="K25" s="29" t="n"/>
      <c r="L25" s="32" t="n"/>
      <c r="M25" s="29" t="n"/>
      <c r="N25" s="29" t="n"/>
      <c r="O25" s="29" t="n"/>
      <c r="P25" s="32" t="n"/>
      <c r="Q25" s="29" t="n"/>
      <c r="R25" s="29" t="n"/>
      <c r="S25" s="29" t="n"/>
      <c r="T25" s="22">
        <f>IF(COUNT(F25,J25,N25,R25)=0,"",SUM(F25,J25,N25,R25))</f>
        <v/>
      </c>
      <c r="U25" s="22">
        <f>IF(COUNT(G25,K25,O25,S25)=0,"",SUM(G25,K25,O25,S25))</f>
        <v/>
      </c>
      <c r="V25" s="22">
        <f>IF(OR(T25="",U25=""),"",U25-T25)</f>
        <v/>
      </c>
      <c r="W25" s="22">
        <f>IF(Q25&lt;&gt;"",Q25,IF(M25&lt;&gt;"",M25,IF(I25&lt;&gt;"",I25,IF(E25&lt;&gt;"",E25,""))))</f>
        <v/>
      </c>
      <c r="X25" s="18">
        <f>IF(U25="","",U25*N(Produits!$E$24))</f>
        <v/>
      </c>
    </row>
    <row r="26">
      <c r="A26" s="33">
        <f>IF(Produits!$A$25="","",Produits!$A$25)</f>
        <v/>
      </c>
      <c r="B26" s="34">
        <f>IF(Produits!$A$25="","",Produits!$C$25)</f>
        <v/>
      </c>
      <c r="C26" s="34">
        <f>IF(Produits!$A$25="","",Produits!$D$25)</f>
        <v/>
      </c>
      <c r="D26" s="32" t="n"/>
      <c r="E26" s="29" t="n"/>
      <c r="F26" s="29" t="n"/>
      <c r="G26" s="29" t="n"/>
      <c r="H26" s="32" t="n"/>
      <c r="I26" s="29" t="n"/>
      <c r="J26" s="29" t="n"/>
      <c r="K26" s="29" t="n"/>
      <c r="L26" s="32" t="n"/>
      <c r="M26" s="29" t="n"/>
      <c r="N26" s="29" t="n"/>
      <c r="O26" s="29" t="n"/>
      <c r="P26" s="32" t="n"/>
      <c r="Q26" s="29" t="n"/>
      <c r="R26" s="29" t="n"/>
      <c r="S26" s="29" t="n"/>
      <c r="T26" s="22">
        <f>IF(COUNT(F26,J26,N26,R26)=0,"",SUM(F26,J26,N26,R26))</f>
        <v/>
      </c>
      <c r="U26" s="22">
        <f>IF(COUNT(G26,K26,O26,S26)=0,"",SUM(G26,K26,O26,S26))</f>
        <v/>
      </c>
      <c r="V26" s="22">
        <f>IF(OR(T26="",U26=""),"",U26-T26)</f>
        <v/>
      </c>
      <c r="W26" s="22">
        <f>IF(Q26&lt;&gt;"",Q26,IF(M26&lt;&gt;"",M26,IF(I26&lt;&gt;"",I26,IF(E26&lt;&gt;"",E26,""))))</f>
        <v/>
      </c>
      <c r="X26" s="18">
        <f>IF(U26="","",U26*N(Produits!$E$25))</f>
        <v/>
      </c>
    </row>
    <row r="27">
      <c r="A27" s="33">
        <f>IF(Produits!$A$26="","",Produits!$A$26)</f>
        <v/>
      </c>
      <c r="B27" s="34">
        <f>IF(Produits!$A$26="","",Produits!$C$26)</f>
        <v/>
      </c>
      <c r="C27" s="34">
        <f>IF(Produits!$A$26="","",Produits!$D$26)</f>
        <v/>
      </c>
      <c r="D27" s="32" t="n"/>
      <c r="E27" s="29" t="n"/>
      <c r="F27" s="29" t="n"/>
      <c r="G27" s="29" t="n"/>
      <c r="H27" s="32" t="n"/>
      <c r="I27" s="29" t="n"/>
      <c r="J27" s="29" t="n"/>
      <c r="K27" s="29" t="n"/>
      <c r="L27" s="32" t="n"/>
      <c r="M27" s="29" t="n"/>
      <c r="N27" s="29" t="n"/>
      <c r="O27" s="29" t="n"/>
      <c r="P27" s="32" t="n"/>
      <c r="Q27" s="29" t="n"/>
      <c r="R27" s="29" t="n"/>
      <c r="S27" s="29" t="n"/>
      <c r="T27" s="22">
        <f>IF(COUNT(F27,J27,N27,R27)=0,"",SUM(F27,J27,N27,R27))</f>
        <v/>
      </c>
      <c r="U27" s="22">
        <f>IF(COUNT(G27,K27,O27,S27)=0,"",SUM(G27,K27,O27,S27))</f>
        <v/>
      </c>
      <c r="V27" s="22">
        <f>IF(OR(T27="",U27=""),"",U27-T27)</f>
        <v/>
      </c>
      <c r="W27" s="22">
        <f>IF(Q27&lt;&gt;"",Q27,IF(M27&lt;&gt;"",M27,IF(I27&lt;&gt;"",I27,IF(E27&lt;&gt;"",E27,""))))</f>
        <v/>
      </c>
      <c r="X27" s="18">
        <f>IF(U27="","",U27*N(Produits!$E$26))</f>
        <v/>
      </c>
    </row>
    <row r="28">
      <c r="A28" s="33">
        <f>IF(Produits!$A$27="","",Produits!$A$27)</f>
        <v/>
      </c>
      <c r="B28" s="34">
        <f>IF(Produits!$A$27="","",Produits!$C$27)</f>
        <v/>
      </c>
      <c r="C28" s="34">
        <f>IF(Produits!$A$27="","",Produits!$D$27)</f>
        <v/>
      </c>
      <c r="D28" s="32" t="n"/>
      <c r="E28" s="29" t="n"/>
      <c r="F28" s="29" t="n"/>
      <c r="G28" s="29" t="n"/>
      <c r="H28" s="32" t="n"/>
      <c r="I28" s="29" t="n"/>
      <c r="J28" s="29" t="n"/>
      <c r="K28" s="29" t="n"/>
      <c r="L28" s="32" t="n"/>
      <c r="M28" s="29" t="n"/>
      <c r="N28" s="29" t="n"/>
      <c r="O28" s="29" t="n"/>
      <c r="P28" s="32" t="n"/>
      <c r="Q28" s="29" t="n"/>
      <c r="R28" s="29" t="n"/>
      <c r="S28" s="29" t="n"/>
      <c r="T28" s="22">
        <f>IF(COUNT(F28,J28,N28,R28)=0,"",SUM(F28,J28,N28,R28))</f>
        <v/>
      </c>
      <c r="U28" s="22">
        <f>IF(COUNT(G28,K28,O28,S28)=0,"",SUM(G28,K28,O28,S28))</f>
        <v/>
      </c>
      <c r="V28" s="22">
        <f>IF(OR(T28="",U28=""),"",U28-T28)</f>
        <v/>
      </c>
      <c r="W28" s="22">
        <f>IF(Q28&lt;&gt;"",Q28,IF(M28&lt;&gt;"",M28,IF(I28&lt;&gt;"",I28,IF(E28&lt;&gt;"",E28,""))))</f>
        <v/>
      </c>
      <c r="X28" s="18">
        <f>IF(U28="","",U28*N(Produits!$E$27))</f>
        <v/>
      </c>
    </row>
    <row r="29">
      <c r="A29" s="33">
        <f>IF(Produits!$A$28="","",Produits!$A$28)</f>
        <v/>
      </c>
      <c r="B29" s="34">
        <f>IF(Produits!$A$28="","",Produits!$C$28)</f>
        <v/>
      </c>
      <c r="C29" s="34">
        <f>IF(Produits!$A$28="","",Produits!$D$28)</f>
        <v/>
      </c>
      <c r="D29" s="32" t="n"/>
      <c r="E29" s="29" t="n"/>
      <c r="F29" s="29" t="n"/>
      <c r="G29" s="29" t="n"/>
      <c r="H29" s="32" t="n"/>
      <c r="I29" s="29" t="n"/>
      <c r="J29" s="29" t="n"/>
      <c r="K29" s="29" t="n"/>
      <c r="L29" s="32" t="n"/>
      <c r="M29" s="29" t="n"/>
      <c r="N29" s="29" t="n"/>
      <c r="O29" s="29" t="n"/>
      <c r="P29" s="32" t="n"/>
      <c r="Q29" s="29" t="n"/>
      <c r="R29" s="29" t="n"/>
      <c r="S29" s="29" t="n"/>
      <c r="T29" s="22">
        <f>IF(COUNT(F29,J29,N29,R29)=0,"",SUM(F29,J29,N29,R29))</f>
        <v/>
      </c>
      <c r="U29" s="22">
        <f>IF(COUNT(G29,K29,O29,S29)=0,"",SUM(G29,K29,O29,S29))</f>
        <v/>
      </c>
      <c r="V29" s="22">
        <f>IF(OR(T29="",U29=""),"",U29-T29)</f>
        <v/>
      </c>
      <c r="W29" s="22">
        <f>IF(Q29&lt;&gt;"",Q29,IF(M29&lt;&gt;"",M29,IF(I29&lt;&gt;"",I29,IF(E29&lt;&gt;"",E29,""))))</f>
        <v/>
      </c>
      <c r="X29" s="18">
        <f>IF(U29="","",U29*N(Produits!$E$28))</f>
        <v/>
      </c>
    </row>
    <row r="30">
      <c r="A30" s="33">
        <f>IF(Produits!$A$29="","",Produits!$A$29)</f>
        <v/>
      </c>
      <c r="B30" s="34">
        <f>IF(Produits!$A$29="","",Produits!$C$29)</f>
        <v/>
      </c>
      <c r="C30" s="34">
        <f>IF(Produits!$A$29="","",Produits!$D$29)</f>
        <v/>
      </c>
      <c r="D30" s="32" t="n"/>
      <c r="E30" s="29" t="n"/>
      <c r="F30" s="29" t="n"/>
      <c r="G30" s="29" t="n"/>
      <c r="H30" s="32" t="n"/>
      <c r="I30" s="29" t="n"/>
      <c r="J30" s="29" t="n"/>
      <c r="K30" s="29" t="n"/>
      <c r="L30" s="32" t="n"/>
      <c r="M30" s="29" t="n"/>
      <c r="N30" s="29" t="n"/>
      <c r="O30" s="29" t="n"/>
      <c r="P30" s="32" t="n"/>
      <c r="Q30" s="29" t="n"/>
      <c r="R30" s="29" t="n"/>
      <c r="S30" s="29" t="n"/>
      <c r="T30" s="22">
        <f>IF(COUNT(F30,J30,N30,R30)=0,"",SUM(F30,J30,N30,R30))</f>
        <v/>
      </c>
      <c r="U30" s="22">
        <f>IF(COUNT(G30,K30,O30,S30)=0,"",SUM(G30,K30,O30,S30))</f>
        <v/>
      </c>
      <c r="V30" s="22">
        <f>IF(OR(T30="",U30=""),"",U30-T30)</f>
        <v/>
      </c>
      <c r="W30" s="22">
        <f>IF(Q30&lt;&gt;"",Q30,IF(M30&lt;&gt;"",M30,IF(I30&lt;&gt;"",I30,IF(E30&lt;&gt;"",E30,""))))</f>
        <v/>
      </c>
      <c r="X30" s="18">
        <f>IF(U30="","",U30*N(Produits!$E$29))</f>
        <v/>
      </c>
    </row>
    <row r="31">
      <c r="A31" s="33">
        <f>IF(Produits!$A$30="","",Produits!$A$30)</f>
        <v/>
      </c>
      <c r="B31" s="34">
        <f>IF(Produits!$A$30="","",Produits!$C$30)</f>
        <v/>
      </c>
      <c r="C31" s="34">
        <f>IF(Produits!$A$30="","",Produits!$D$30)</f>
        <v/>
      </c>
      <c r="D31" s="32" t="n"/>
      <c r="E31" s="29" t="n"/>
      <c r="F31" s="29" t="n"/>
      <c r="G31" s="29" t="n"/>
      <c r="H31" s="32" t="n"/>
      <c r="I31" s="29" t="n"/>
      <c r="J31" s="29" t="n"/>
      <c r="K31" s="29" t="n"/>
      <c r="L31" s="32" t="n"/>
      <c r="M31" s="29" t="n"/>
      <c r="N31" s="29" t="n"/>
      <c r="O31" s="29" t="n"/>
      <c r="P31" s="32" t="n"/>
      <c r="Q31" s="29" t="n"/>
      <c r="R31" s="29" t="n"/>
      <c r="S31" s="29" t="n"/>
      <c r="T31" s="22">
        <f>IF(COUNT(F31,J31,N31,R31)=0,"",SUM(F31,J31,N31,R31))</f>
        <v/>
      </c>
      <c r="U31" s="22">
        <f>IF(COUNT(G31,K31,O31,S31)=0,"",SUM(G31,K31,O31,S31))</f>
        <v/>
      </c>
      <c r="V31" s="22">
        <f>IF(OR(T31="",U31=""),"",U31-T31)</f>
        <v/>
      </c>
      <c r="W31" s="22">
        <f>IF(Q31&lt;&gt;"",Q31,IF(M31&lt;&gt;"",M31,IF(I31&lt;&gt;"",I31,IF(E31&lt;&gt;"",E31,""))))</f>
        <v/>
      </c>
      <c r="X31" s="18">
        <f>IF(U31="","",U31*N(Produits!$E$30))</f>
        <v/>
      </c>
    </row>
    <row r="32">
      <c r="A32" s="33">
        <f>IF(Produits!$A$31="","",Produits!$A$31)</f>
        <v/>
      </c>
      <c r="B32" s="34">
        <f>IF(Produits!$A$31="","",Produits!$C$31)</f>
        <v/>
      </c>
      <c r="C32" s="34">
        <f>IF(Produits!$A$31="","",Produits!$D$31)</f>
        <v/>
      </c>
      <c r="D32" s="32" t="n"/>
      <c r="E32" s="29" t="n"/>
      <c r="F32" s="29" t="n"/>
      <c r="G32" s="29" t="n"/>
      <c r="H32" s="32" t="n"/>
      <c r="I32" s="29" t="n"/>
      <c r="J32" s="29" t="n"/>
      <c r="K32" s="29" t="n"/>
      <c r="L32" s="32" t="n"/>
      <c r="M32" s="29" t="n"/>
      <c r="N32" s="29" t="n"/>
      <c r="O32" s="29" t="n"/>
      <c r="P32" s="32" t="n"/>
      <c r="Q32" s="29" t="n"/>
      <c r="R32" s="29" t="n"/>
      <c r="S32" s="29" t="n"/>
      <c r="T32" s="22">
        <f>IF(COUNT(F32,J32,N32,R32)=0,"",SUM(F32,J32,N32,R32))</f>
        <v/>
      </c>
      <c r="U32" s="22">
        <f>IF(COUNT(G32,K32,O32,S32)=0,"",SUM(G32,K32,O32,S32))</f>
        <v/>
      </c>
      <c r="V32" s="22">
        <f>IF(OR(T32="",U32=""),"",U32-T32)</f>
        <v/>
      </c>
      <c r="W32" s="22">
        <f>IF(Q32&lt;&gt;"",Q32,IF(M32&lt;&gt;"",M32,IF(I32&lt;&gt;"",I32,IF(E32&lt;&gt;"",E32,""))))</f>
        <v/>
      </c>
      <c r="X32" s="18">
        <f>IF(U32="","",U32*N(Produits!$E$31))</f>
        <v/>
      </c>
    </row>
    <row r="33">
      <c r="A33" s="33">
        <f>IF(Produits!$A$32="","",Produits!$A$32)</f>
        <v/>
      </c>
      <c r="B33" s="34">
        <f>IF(Produits!$A$32="","",Produits!$C$32)</f>
        <v/>
      </c>
      <c r="C33" s="34">
        <f>IF(Produits!$A$32="","",Produits!$D$32)</f>
        <v/>
      </c>
      <c r="D33" s="32" t="n"/>
      <c r="E33" s="29" t="n"/>
      <c r="F33" s="29" t="n"/>
      <c r="G33" s="29" t="n"/>
      <c r="H33" s="32" t="n"/>
      <c r="I33" s="29" t="n"/>
      <c r="J33" s="29" t="n"/>
      <c r="K33" s="29" t="n"/>
      <c r="L33" s="32" t="n"/>
      <c r="M33" s="29" t="n"/>
      <c r="N33" s="29" t="n"/>
      <c r="O33" s="29" t="n"/>
      <c r="P33" s="32" t="n"/>
      <c r="Q33" s="29" t="n"/>
      <c r="R33" s="29" t="n"/>
      <c r="S33" s="29" t="n"/>
      <c r="T33" s="22">
        <f>IF(COUNT(F33,J33,N33,R33)=0,"",SUM(F33,J33,N33,R33))</f>
        <v/>
      </c>
      <c r="U33" s="22">
        <f>IF(COUNT(G33,K33,O33,S33)=0,"",SUM(G33,K33,O33,S33))</f>
        <v/>
      </c>
      <c r="V33" s="22">
        <f>IF(OR(T33="",U33=""),"",U33-T33)</f>
        <v/>
      </c>
      <c r="W33" s="22">
        <f>IF(Q33&lt;&gt;"",Q33,IF(M33&lt;&gt;"",M33,IF(I33&lt;&gt;"",I33,IF(E33&lt;&gt;"",E33,""))))</f>
        <v/>
      </c>
      <c r="X33" s="18">
        <f>IF(U33="","",U33*N(Produits!$E$32))</f>
        <v/>
      </c>
    </row>
    <row r="34">
      <c r="A34" s="33">
        <f>IF(Produits!$A$33="","",Produits!$A$33)</f>
        <v/>
      </c>
      <c r="B34" s="34">
        <f>IF(Produits!$A$33="","",Produits!$C$33)</f>
        <v/>
      </c>
      <c r="C34" s="34">
        <f>IF(Produits!$A$33="","",Produits!$D$33)</f>
        <v/>
      </c>
      <c r="D34" s="32" t="n"/>
      <c r="E34" s="29" t="n"/>
      <c r="F34" s="29" t="n"/>
      <c r="G34" s="29" t="n"/>
      <c r="H34" s="32" t="n"/>
      <c r="I34" s="29" t="n"/>
      <c r="J34" s="29" t="n"/>
      <c r="K34" s="29" t="n"/>
      <c r="L34" s="32" t="n"/>
      <c r="M34" s="29" t="n"/>
      <c r="N34" s="29" t="n"/>
      <c r="O34" s="29" t="n"/>
      <c r="P34" s="32" t="n"/>
      <c r="Q34" s="29" t="n"/>
      <c r="R34" s="29" t="n"/>
      <c r="S34" s="29" t="n"/>
      <c r="T34" s="22">
        <f>IF(COUNT(F34,J34,N34,R34)=0,"",SUM(F34,J34,N34,R34))</f>
        <v/>
      </c>
      <c r="U34" s="22">
        <f>IF(COUNT(G34,K34,O34,S34)=0,"",SUM(G34,K34,O34,S34))</f>
        <v/>
      </c>
      <c r="V34" s="22">
        <f>IF(OR(T34="",U34=""),"",U34-T34)</f>
        <v/>
      </c>
      <c r="W34" s="22">
        <f>IF(Q34&lt;&gt;"",Q34,IF(M34&lt;&gt;"",M34,IF(I34&lt;&gt;"",I34,IF(E34&lt;&gt;"",E34,""))))</f>
        <v/>
      </c>
      <c r="X34" s="18">
        <f>IF(U34="","",U34*N(Produits!$E$33))</f>
        <v/>
      </c>
    </row>
    <row r="35">
      <c r="A35" s="33">
        <f>IF(Produits!$A$34="","",Produits!$A$34)</f>
        <v/>
      </c>
      <c r="B35" s="34">
        <f>IF(Produits!$A$34="","",Produits!$C$34)</f>
        <v/>
      </c>
      <c r="C35" s="34">
        <f>IF(Produits!$A$34="","",Produits!$D$34)</f>
        <v/>
      </c>
      <c r="D35" s="32" t="n"/>
      <c r="E35" s="29" t="n"/>
      <c r="F35" s="29" t="n"/>
      <c r="G35" s="29" t="n"/>
      <c r="H35" s="32" t="n"/>
      <c r="I35" s="29" t="n"/>
      <c r="J35" s="29" t="n"/>
      <c r="K35" s="29" t="n"/>
      <c r="L35" s="32" t="n"/>
      <c r="M35" s="29" t="n"/>
      <c r="N35" s="29" t="n"/>
      <c r="O35" s="29" t="n"/>
      <c r="P35" s="32" t="n"/>
      <c r="Q35" s="29" t="n"/>
      <c r="R35" s="29" t="n"/>
      <c r="S35" s="29" t="n"/>
      <c r="T35" s="22">
        <f>IF(COUNT(F35,J35,N35,R35)=0,"",SUM(F35,J35,N35,R35))</f>
        <v/>
      </c>
      <c r="U35" s="22">
        <f>IF(COUNT(G35,K35,O35,S35)=0,"",SUM(G35,K35,O35,S35))</f>
        <v/>
      </c>
      <c r="V35" s="22">
        <f>IF(OR(T35="",U35=""),"",U35-T35)</f>
        <v/>
      </c>
      <c r="W35" s="22">
        <f>IF(Q35&lt;&gt;"",Q35,IF(M35&lt;&gt;"",M35,IF(I35&lt;&gt;"",I35,IF(E35&lt;&gt;"",E35,""))))</f>
        <v/>
      </c>
      <c r="X35" s="18">
        <f>IF(U35="","",U35*N(Produits!$E$34))</f>
        <v/>
      </c>
    </row>
    <row r="36">
      <c r="A36" s="33">
        <f>IF(Produits!$A$35="","",Produits!$A$35)</f>
        <v/>
      </c>
      <c r="B36" s="34">
        <f>IF(Produits!$A$35="","",Produits!$C$35)</f>
        <v/>
      </c>
      <c r="C36" s="34">
        <f>IF(Produits!$A$35="","",Produits!$D$35)</f>
        <v/>
      </c>
      <c r="D36" s="32" t="n"/>
      <c r="E36" s="29" t="n"/>
      <c r="F36" s="29" t="n"/>
      <c r="G36" s="29" t="n"/>
      <c r="H36" s="32" t="n"/>
      <c r="I36" s="29" t="n"/>
      <c r="J36" s="29" t="n"/>
      <c r="K36" s="29" t="n"/>
      <c r="L36" s="32" t="n"/>
      <c r="M36" s="29" t="n"/>
      <c r="N36" s="29" t="n"/>
      <c r="O36" s="29" t="n"/>
      <c r="P36" s="32" t="n"/>
      <c r="Q36" s="29" t="n"/>
      <c r="R36" s="29" t="n"/>
      <c r="S36" s="29" t="n"/>
      <c r="T36" s="22">
        <f>IF(COUNT(F36,J36,N36,R36)=0,"",SUM(F36,J36,N36,R36))</f>
        <v/>
      </c>
      <c r="U36" s="22">
        <f>IF(COUNT(G36,K36,O36,S36)=0,"",SUM(G36,K36,O36,S36))</f>
        <v/>
      </c>
      <c r="V36" s="22">
        <f>IF(OR(T36="",U36=""),"",U36-T36)</f>
        <v/>
      </c>
      <c r="W36" s="22">
        <f>IF(Q36&lt;&gt;"",Q36,IF(M36&lt;&gt;"",M36,IF(I36&lt;&gt;"",I36,IF(E36&lt;&gt;"",E36,""))))</f>
        <v/>
      </c>
      <c r="X36" s="18">
        <f>IF(U36="","",U36*N(Produits!$E$35))</f>
        <v/>
      </c>
    </row>
    <row r="37">
      <c r="A37" s="33">
        <f>IF(Produits!$A$36="","",Produits!$A$36)</f>
        <v/>
      </c>
      <c r="B37" s="34">
        <f>IF(Produits!$A$36="","",Produits!$C$36)</f>
        <v/>
      </c>
      <c r="C37" s="34">
        <f>IF(Produits!$A$36="","",Produits!$D$36)</f>
        <v/>
      </c>
      <c r="D37" s="32" t="n"/>
      <c r="E37" s="29" t="n"/>
      <c r="F37" s="29" t="n"/>
      <c r="G37" s="29" t="n"/>
      <c r="H37" s="32" t="n"/>
      <c r="I37" s="29" t="n"/>
      <c r="J37" s="29" t="n"/>
      <c r="K37" s="29" t="n"/>
      <c r="L37" s="32" t="n"/>
      <c r="M37" s="29" t="n"/>
      <c r="N37" s="29" t="n"/>
      <c r="O37" s="29" t="n"/>
      <c r="P37" s="32" t="n"/>
      <c r="Q37" s="29" t="n"/>
      <c r="R37" s="29" t="n"/>
      <c r="S37" s="29" t="n"/>
      <c r="T37" s="22">
        <f>IF(COUNT(F37,J37,N37,R37)=0,"",SUM(F37,J37,N37,R37))</f>
        <v/>
      </c>
      <c r="U37" s="22">
        <f>IF(COUNT(G37,K37,O37,S37)=0,"",SUM(G37,K37,O37,S37))</f>
        <v/>
      </c>
      <c r="V37" s="22">
        <f>IF(OR(T37="",U37=""),"",U37-T37)</f>
        <v/>
      </c>
      <c r="W37" s="22">
        <f>IF(Q37&lt;&gt;"",Q37,IF(M37&lt;&gt;"",M37,IF(I37&lt;&gt;"",I37,IF(E37&lt;&gt;"",E37,""))))</f>
        <v/>
      </c>
      <c r="X37" s="18">
        <f>IF(U37="","",U37*N(Produits!$E$36))</f>
        <v/>
      </c>
    </row>
    <row r="38" ht="20" customHeight="1">
      <c r="A38" s="23" t="inlineStr">
        <is>
          <t>CHAMBRE FROIDE NÉGATIVE</t>
        </is>
      </c>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row>
    <row r="39">
      <c r="A39" s="33">
        <f>IF(Produits!$A$38="","",Produits!$A$38)</f>
        <v/>
      </c>
      <c r="B39" s="34">
        <f>IF(Produits!$A$38="","",Produits!$C$38)</f>
        <v/>
      </c>
      <c r="C39" s="34">
        <f>IF(Produits!$A$38="","",Produits!$D$38)</f>
        <v/>
      </c>
      <c r="D39" s="32" t="n"/>
      <c r="E39" s="29" t="n"/>
      <c r="F39" s="29" t="n"/>
      <c r="G39" s="29" t="n"/>
      <c r="H39" s="32" t="n"/>
      <c r="I39" s="29" t="n"/>
      <c r="J39" s="29" t="n"/>
      <c r="K39" s="29" t="n"/>
      <c r="L39" s="32" t="n"/>
      <c r="M39" s="29" t="n"/>
      <c r="N39" s="29" t="n"/>
      <c r="O39" s="29" t="n"/>
      <c r="P39" s="32" t="n"/>
      <c r="Q39" s="29" t="n"/>
      <c r="R39" s="29" t="n"/>
      <c r="S39" s="29" t="n"/>
      <c r="T39" s="22">
        <f>IF(COUNT(F39,J39,N39,R39)=0,"",SUM(F39,J39,N39,R39))</f>
        <v/>
      </c>
      <c r="U39" s="22">
        <f>IF(COUNT(G39,K39,O39,S39)=0,"",SUM(G39,K39,O39,S39))</f>
        <v/>
      </c>
      <c r="V39" s="22">
        <f>IF(OR(T39="",U39=""),"",U39-T39)</f>
        <v/>
      </c>
      <c r="W39" s="22">
        <f>IF(Q39&lt;&gt;"",Q39,IF(M39&lt;&gt;"",M39,IF(I39&lt;&gt;"",I39,IF(E39&lt;&gt;"",E39,""))))</f>
        <v/>
      </c>
      <c r="X39" s="18">
        <f>IF(U39="","",U39*N(Produits!$E$38))</f>
        <v/>
      </c>
    </row>
    <row r="40">
      <c r="A40" s="33">
        <f>IF(Produits!$A$39="","",Produits!$A$39)</f>
        <v/>
      </c>
      <c r="B40" s="34">
        <f>IF(Produits!$A$39="","",Produits!$C$39)</f>
        <v/>
      </c>
      <c r="C40" s="34">
        <f>IF(Produits!$A$39="","",Produits!$D$39)</f>
        <v/>
      </c>
      <c r="D40" s="32" t="n"/>
      <c r="E40" s="29" t="n"/>
      <c r="F40" s="29" t="n"/>
      <c r="G40" s="29" t="n"/>
      <c r="H40" s="32" t="n"/>
      <c r="I40" s="29" t="n"/>
      <c r="J40" s="29" t="n"/>
      <c r="K40" s="29" t="n"/>
      <c r="L40" s="32" t="n"/>
      <c r="M40" s="29" t="n"/>
      <c r="N40" s="29" t="n"/>
      <c r="O40" s="29" t="n"/>
      <c r="P40" s="32" t="n"/>
      <c r="Q40" s="29" t="n"/>
      <c r="R40" s="29" t="n"/>
      <c r="S40" s="29" t="n"/>
      <c r="T40" s="22">
        <f>IF(COUNT(F40,J40,N40,R40)=0,"",SUM(F40,J40,N40,R40))</f>
        <v/>
      </c>
      <c r="U40" s="22">
        <f>IF(COUNT(G40,K40,O40,S40)=0,"",SUM(G40,K40,O40,S40))</f>
        <v/>
      </c>
      <c r="V40" s="22">
        <f>IF(OR(T40="",U40=""),"",U40-T40)</f>
        <v/>
      </c>
      <c r="W40" s="22">
        <f>IF(Q40&lt;&gt;"",Q40,IF(M40&lt;&gt;"",M40,IF(I40&lt;&gt;"",I40,IF(E40&lt;&gt;"",E40,""))))</f>
        <v/>
      </c>
      <c r="X40" s="18">
        <f>IF(U40="","",U40*N(Produits!$E$39))</f>
        <v/>
      </c>
    </row>
    <row r="41">
      <c r="A41" s="33">
        <f>IF(Produits!$A$40="","",Produits!$A$40)</f>
        <v/>
      </c>
      <c r="B41" s="34">
        <f>IF(Produits!$A$40="","",Produits!$C$40)</f>
        <v/>
      </c>
      <c r="C41" s="34">
        <f>IF(Produits!$A$40="","",Produits!$D$40)</f>
        <v/>
      </c>
      <c r="D41" s="32" t="n"/>
      <c r="E41" s="29" t="n"/>
      <c r="F41" s="29" t="n"/>
      <c r="G41" s="29" t="n"/>
      <c r="H41" s="32" t="n"/>
      <c r="I41" s="29" t="n"/>
      <c r="J41" s="29" t="n"/>
      <c r="K41" s="29" t="n"/>
      <c r="L41" s="32" t="n"/>
      <c r="M41" s="29" t="n"/>
      <c r="N41" s="29" t="n"/>
      <c r="O41" s="29" t="n"/>
      <c r="P41" s="32" t="n"/>
      <c r="Q41" s="29" t="n"/>
      <c r="R41" s="29" t="n"/>
      <c r="S41" s="29" t="n"/>
      <c r="T41" s="22">
        <f>IF(COUNT(F41,J41,N41,R41)=0,"",SUM(F41,J41,N41,R41))</f>
        <v/>
      </c>
      <c r="U41" s="22">
        <f>IF(COUNT(G41,K41,O41,S41)=0,"",SUM(G41,K41,O41,S41))</f>
        <v/>
      </c>
      <c r="V41" s="22">
        <f>IF(OR(T41="",U41=""),"",U41-T41)</f>
        <v/>
      </c>
      <c r="W41" s="22">
        <f>IF(Q41&lt;&gt;"",Q41,IF(M41&lt;&gt;"",M41,IF(I41&lt;&gt;"",I41,IF(E41&lt;&gt;"",E41,""))))</f>
        <v/>
      </c>
      <c r="X41" s="18">
        <f>IF(U41="","",U41*N(Produits!$E$40))</f>
        <v/>
      </c>
    </row>
    <row r="42">
      <c r="A42" s="33">
        <f>IF(Produits!$A$41="","",Produits!$A$41)</f>
        <v/>
      </c>
      <c r="B42" s="34">
        <f>IF(Produits!$A$41="","",Produits!$C$41)</f>
        <v/>
      </c>
      <c r="C42" s="34">
        <f>IF(Produits!$A$41="","",Produits!$D$41)</f>
        <v/>
      </c>
      <c r="D42" s="32" t="n"/>
      <c r="E42" s="29" t="n"/>
      <c r="F42" s="29" t="n"/>
      <c r="G42" s="29" t="n"/>
      <c r="H42" s="32" t="n"/>
      <c r="I42" s="29" t="n"/>
      <c r="J42" s="29" t="n"/>
      <c r="K42" s="29" t="n"/>
      <c r="L42" s="32" t="n"/>
      <c r="M42" s="29" t="n"/>
      <c r="N42" s="29" t="n"/>
      <c r="O42" s="29" t="n"/>
      <c r="P42" s="32" t="n"/>
      <c r="Q42" s="29" t="n"/>
      <c r="R42" s="29" t="n"/>
      <c r="S42" s="29" t="n"/>
      <c r="T42" s="22">
        <f>IF(COUNT(F42,J42,N42,R42)=0,"",SUM(F42,J42,N42,R42))</f>
        <v/>
      </c>
      <c r="U42" s="22">
        <f>IF(COUNT(G42,K42,O42,S42)=0,"",SUM(G42,K42,O42,S42))</f>
        <v/>
      </c>
      <c r="V42" s="22">
        <f>IF(OR(T42="",U42=""),"",U42-T42)</f>
        <v/>
      </c>
      <c r="W42" s="22">
        <f>IF(Q42&lt;&gt;"",Q42,IF(M42&lt;&gt;"",M42,IF(I42&lt;&gt;"",I42,IF(E42&lt;&gt;"",E42,""))))</f>
        <v/>
      </c>
      <c r="X42" s="18">
        <f>IF(U42="","",U42*N(Produits!$E$41))</f>
        <v/>
      </c>
    </row>
    <row r="43">
      <c r="A43" s="33">
        <f>IF(Produits!$A$42="","",Produits!$A$42)</f>
        <v/>
      </c>
      <c r="B43" s="34">
        <f>IF(Produits!$A$42="","",Produits!$C$42)</f>
        <v/>
      </c>
      <c r="C43" s="34">
        <f>IF(Produits!$A$42="","",Produits!$D$42)</f>
        <v/>
      </c>
      <c r="D43" s="32" t="n"/>
      <c r="E43" s="29" t="n"/>
      <c r="F43" s="29" t="n"/>
      <c r="G43" s="29" t="n"/>
      <c r="H43" s="32" t="n"/>
      <c r="I43" s="29" t="n"/>
      <c r="J43" s="29" t="n"/>
      <c r="K43" s="29" t="n"/>
      <c r="L43" s="32" t="n"/>
      <c r="M43" s="29" t="n"/>
      <c r="N43" s="29" t="n"/>
      <c r="O43" s="29" t="n"/>
      <c r="P43" s="32" t="n"/>
      <c r="Q43" s="29" t="n"/>
      <c r="R43" s="29" t="n"/>
      <c r="S43" s="29" t="n"/>
      <c r="T43" s="22">
        <f>IF(COUNT(F43,J43,N43,R43)=0,"",SUM(F43,J43,N43,R43))</f>
        <v/>
      </c>
      <c r="U43" s="22">
        <f>IF(COUNT(G43,K43,O43,S43)=0,"",SUM(G43,K43,O43,S43))</f>
        <v/>
      </c>
      <c r="V43" s="22">
        <f>IF(OR(T43="",U43=""),"",U43-T43)</f>
        <v/>
      </c>
      <c r="W43" s="22">
        <f>IF(Q43&lt;&gt;"",Q43,IF(M43&lt;&gt;"",M43,IF(I43&lt;&gt;"",I43,IF(E43&lt;&gt;"",E43,""))))</f>
        <v/>
      </c>
      <c r="X43" s="18">
        <f>IF(U43="","",U43*N(Produits!$E$42))</f>
        <v/>
      </c>
    </row>
    <row r="44">
      <c r="A44" s="33">
        <f>IF(Produits!$A$43="","",Produits!$A$43)</f>
        <v/>
      </c>
      <c r="B44" s="34">
        <f>IF(Produits!$A$43="","",Produits!$C$43)</f>
        <v/>
      </c>
      <c r="C44" s="34">
        <f>IF(Produits!$A$43="","",Produits!$D$43)</f>
        <v/>
      </c>
      <c r="D44" s="32" t="n"/>
      <c r="E44" s="29" t="n"/>
      <c r="F44" s="29" t="n"/>
      <c r="G44" s="29" t="n"/>
      <c r="H44" s="32" t="n"/>
      <c r="I44" s="29" t="n"/>
      <c r="J44" s="29" t="n"/>
      <c r="K44" s="29" t="n"/>
      <c r="L44" s="32" t="n"/>
      <c r="M44" s="29" t="n"/>
      <c r="N44" s="29" t="n"/>
      <c r="O44" s="29" t="n"/>
      <c r="P44" s="32" t="n"/>
      <c r="Q44" s="29" t="n"/>
      <c r="R44" s="29" t="n"/>
      <c r="S44" s="29" t="n"/>
      <c r="T44" s="22">
        <f>IF(COUNT(F44,J44,N44,R44)=0,"",SUM(F44,J44,N44,R44))</f>
        <v/>
      </c>
      <c r="U44" s="22">
        <f>IF(COUNT(G44,K44,O44,S44)=0,"",SUM(G44,K44,O44,S44))</f>
        <v/>
      </c>
      <c r="V44" s="22">
        <f>IF(OR(T44="",U44=""),"",U44-T44)</f>
        <v/>
      </c>
      <c r="W44" s="22">
        <f>IF(Q44&lt;&gt;"",Q44,IF(M44&lt;&gt;"",M44,IF(I44&lt;&gt;"",I44,IF(E44&lt;&gt;"",E44,""))))</f>
        <v/>
      </c>
      <c r="X44" s="18">
        <f>IF(U44="","",U44*N(Produits!$E$43))</f>
        <v/>
      </c>
    </row>
    <row r="45">
      <c r="A45" s="33">
        <f>IF(Produits!$A$44="","",Produits!$A$44)</f>
        <v/>
      </c>
      <c r="B45" s="34">
        <f>IF(Produits!$A$44="","",Produits!$C$44)</f>
        <v/>
      </c>
      <c r="C45" s="34">
        <f>IF(Produits!$A$44="","",Produits!$D$44)</f>
        <v/>
      </c>
      <c r="D45" s="32" t="n"/>
      <c r="E45" s="29" t="n"/>
      <c r="F45" s="29" t="n"/>
      <c r="G45" s="29" t="n"/>
      <c r="H45" s="32" t="n"/>
      <c r="I45" s="29" t="n"/>
      <c r="J45" s="29" t="n"/>
      <c r="K45" s="29" t="n"/>
      <c r="L45" s="32" t="n"/>
      <c r="M45" s="29" t="n"/>
      <c r="N45" s="29" t="n"/>
      <c r="O45" s="29" t="n"/>
      <c r="P45" s="32" t="n"/>
      <c r="Q45" s="29" t="n"/>
      <c r="R45" s="29" t="n"/>
      <c r="S45" s="29" t="n"/>
      <c r="T45" s="22">
        <f>IF(COUNT(F45,J45,N45,R45)=0,"",SUM(F45,J45,N45,R45))</f>
        <v/>
      </c>
      <c r="U45" s="22">
        <f>IF(COUNT(G45,K45,O45,S45)=0,"",SUM(G45,K45,O45,S45))</f>
        <v/>
      </c>
      <c r="V45" s="22">
        <f>IF(OR(T45="",U45=""),"",U45-T45)</f>
        <v/>
      </c>
      <c r="W45" s="22">
        <f>IF(Q45&lt;&gt;"",Q45,IF(M45&lt;&gt;"",M45,IF(I45&lt;&gt;"",I45,IF(E45&lt;&gt;"",E45,""))))</f>
        <v/>
      </c>
      <c r="X45" s="18">
        <f>IF(U45="","",U45*N(Produits!$E$44))</f>
        <v/>
      </c>
    </row>
    <row r="46">
      <c r="A46" s="33">
        <f>IF(Produits!$A$45="","",Produits!$A$45)</f>
        <v/>
      </c>
      <c r="B46" s="34">
        <f>IF(Produits!$A$45="","",Produits!$C$45)</f>
        <v/>
      </c>
      <c r="C46" s="34">
        <f>IF(Produits!$A$45="","",Produits!$D$45)</f>
        <v/>
      </c>
      <c r="D46" s="32" t="n"/>
      <c r="E46" s="29" t="n"/>
      <c r="F46" s="29" t="n"/>
      <c r="G46" s="29" t="n"/>
      <c r="H46" s="32" t="n"/>
      <c r="I46" s="29" t="n"/>
      <c r="J46" s="29" t="n"/>
      <c r="K46" s="29" t="n"/>
      <c r="L46" s="32" t="n"/>
      <c r="M46" s="29" t="n"/>
      <c r="N46" s="29" t="n"/>
      <c r="O46" s="29" t="n"/>
      <c r="P46" s="32" t="n"/>
      <c r="Q46" s="29" t="n"/>
      <c r="R46" s="29" t="n"/>
      <c r="S46" s="29" t="n"/>
      <c r="T46" s="22">
        <f>IF(COUNT(F46,J46,N46,R46)=0,"",SUM(F46,J46,N46,R46))</f>
        <v/>
      </c>
      <c r="U46" s="22">
        <f>IF(COUNT(G46,K46,O46,S46)=0,"",SUM(G46,K46,O46,S46))</f>
        <v/>
      </c>
      <c r="V46" s="22">
        <f>IF(OR(T46="",U46=""),"",U46-T46)</f>
        <v/>
      </c>
      <c r="W46" s="22">
        <f>IF(Q46&lt;&gt;"",Q46,IF(M46&lt;&gt;"",M46,IF(I46&lt;&gt;"",I46,IF(E46&lt;&gt;"",E46,""))))</f>
        <v/>
      </c>
      <c r="X46" s="18">
        <f>IF(U46="","",U46*N(Produits!$E$45))</f>
        <v/>
      </c>
    </row>
    <row r="47">
      <c r="A47" s="33">
        <f>IF(Produits!$A$46="","",Produits!$A$46)</f>
        <v/>
      </c>
      <c r="B47" s="34">
        <f>IF(Produits!$A$46="","",Produits!$C$46)</f>
        <v/>
      </c>
      <c r="C47" s="34">
        <f>IF(Produits!$A$46="","",Produits!$D$46)</f>
        <v/>
      </c>
      <c r="D47" s="32" t="n"/>
      <c r="E47" s="29" t="n"/>
      <c r="F47" s="29" t="n"/>
      <c r="G47" s="29" t="n"/>
      <c r="H47" s="32" t="n"/>
      <c r="I47" s="29" t="n"/>
      <c r="J47" s="29" t="n"/>
      <c r="K47" s="29" t="n"/>
      <c r="L47" s="32" t="n"/>
      <c r="M47" s="29" t="n"/>
      <c r="N47" s="29" t="n"/>
      <c r="O47" s="29" t="n"/>
      <c r="P47" s="32" t="n"/>
      <c r="Q47" s="29" t="n"/>
      <c r="R47" s="29" t="n"/>
      <c r="S47" s="29" t="n"/>
      <c r="T47" s="22">
        <f>IF(COUNT(F47,J47,N47,R47)=0,"",SUM(F47,J47,N47,R47))</f>
        <v/>
      </c>
      <c r="U47" s="22">
        <f>IF(COUNT(G47,K47,O47,S47)=0,"",SUM(G47,K47,O47,S47))</f>
        <v/>
      </c>
      <c r="V47" s="22">
        <f>IF(OR(T47="",U47=""),"",U47-T47)</f>
        <v/>
      </c>
      <c r="W47" s="22">
        <f>IF(Q47&lt;&gt;"",Q47,IF(M47&lt;&gt;"",M47,IF(I47&lt;&gt;"",I47,IF(E47&lt;&gt;"",E47,""))))</f>
        <v/>
      </c>
      <c r="X47" s="18">
        <f>IF(U47="","",U47*N(Produits!$E$46))</f>
        <v/>
      </c>
    </row>
    <row r="48">
      <c r="A48" s="33">
        <f>IF(Produits!$A$47="","",Produits!$A$47)</f>
        <v/>
      </c>
      <c r="B48" s="34">
        <f>IF(Produits!$A$47="","",Produits!$C$47)</f>
        <v/>
      </c>
      <c r="C48" s="34">
        <f>IF(Produits!$A$47="","",Produits!$D$47)</f>
        <v/>
      </c>
      <c r="D48" s="32" t="n"/>
      <c r="E48" s="29" t="n"/>
      <c r="F48" s="29" t="n"/>
      <c r="G48" s="29" t="n"/>
      <c r="H48" s="32" t="n"/>
      <c r="I48" s="29" t="n"/>
      <c r="J48" s="29" t="n"/>
      <c r="K48" s="29" t="n"/>
      <c r="L48" s="32" t="n"/>
      <c r="M48" s="29" t="n"/>
      <c r="N48" s="29" t="n"/>
      <c r="O48" s="29" t="n"/>
      <c r="P48" s="32" t="n"/>
      <c r="Q48" s="29" t="n"/>
      <c r="R48" s="29" t="n"/>
      <c r="S48" s="29" t="n"/>
      <c r="T48" s="22">
        <f>IF(COUNT(F48,J48,N48,R48)=0,"",SUM(F48,J48,N48,R48))</f>
        <v/>
      </c>
      <c r="U48" s="22">
        <f>IF(COUNT(G48,K48,O48,S48)=0,"",SUM(G48,K48,O48,S48))</f>
        <v/>
      </c>
      <c r="V48" s="22">
        <f>IF(OR(T48="",U48=""),"",U48-T48)</f>
        <v/>
      </c>
      <c r="W48" s="22">
        <f>IF(Q48&lt;&gt;"",Q48,IF(M48&lt;&gt;"",M48,IF(I48&lt;&gt;"",I48,IF(E48&lt;&gt;"",E48,""))))</f>
        <v/>
      </c>
      <c r="X48" s="18">
        <f>IF(U48="","",U48*N(Produits!$E$47))</f>
        <v/>
      </c>
    </row>
    <row r="49">
      <c r="A49" s="33">
        <f>IF(Produits!$A$48="","",Produits!$A$48)</f>
        <v/>
      </c>
      <c r="B49" s="34">
        <f>IF(Produits!$A$48="","",Produits!$C$48)</f>
        <v/>
      </c>
      <c r="C49" s="34">
        <f>IF(Produits!$A$48="","",Produits!$D$48)</f>
        <v/>
      </c>
      <c r="D49" s="32" t="n"/>
      <c r="E49" s="29" t="n"/>
      <c r="F49" s="29" t="n"/>
      <c r="G49" s="29" t="n"/>
      <c r="H49" s="32" t="n"/>
      <c r="I49" s="29" t="n"/>
      <c r="J49" s="29" t="n"/>
      <c r="K49" s="29" t="n"/>
      <c r="L49" s="32" t="n"/>
      <c r="M49" s="29" t="n"/>
      <c r="N49" s="29" t="n"/>
      <c r="O49" s="29" t="n"/>
      <c r="P49" s="32" t="n"/>
      <c r="Q49" s="29" t="n"/>
      <c r="R49" s="29" t="n"/>
      <c r="S49" s="29" t="n"/>
      <c r="T49" s="22">
        <f>IF(COUNT(F49,J49,N49,R49)=0,"",SUM(F49,J49,N49,R49))</f>
        <v/>
      </c>
      <c r="U49" s="22">
        <f>IF(COUNT(G49,K49,O49,S49)=0,"",SUM(G49,K49,O49,S49))</f>
        <v/>
      </c>
      <c r="V49" s="22">
        <f>IF(OR(T49="",U49=""),"",U49-T49)</f>
        <v/>
      </c>
      <c r="W49" s="22">
        <f>IF(Q49&lt;&gt;"",Q49,IF(M49&lt;&gt;"",M49,IF(I49&lt;&gt;"",I49,IF(E49&lt;&gt;"",E49,""))))</f>
        <v/>
      </c>
      <c r="X49" s="18">
        <f>IF(U49="","",U49*N(Produits!$E$48))</f>
        <v/>
      </c>
    </row>
    <row r="50">
      <c r="A50" s="33">
        <f>IF(Produits!$A$49="","",Produits!$A$49)</f>
        <v/>
      </c>
      <c r="B50" s="34">
        <f>IF(Produits!$A$49="","",Produits!$C$49)</f>
        <v/>
      </c>
      <c r="C50" s="34">
        <f>IF(Produits!$A$49="","",Produits!$D$49)</f>
        <v/>
      </c>
      <c r="D50" s="32" t="n"/>
      <c r="E50" s="29" t="n"/>
      <c r="F50" s="29" t="n"/>
      <c r="G50" s="29" t="n"/>
      <c r="H50" s="32" t="n"/>
      <c r="I50" s="29" t="n"/>
      <c r="J50" s="29" t="n"/>
      <c r="K50" s="29" t="n"/>
      <c r="L50" s="32" t="n"/>
      <c r="M50" s="29" t="n"/>
      <c r="N50" s="29" t="n"/>
      <c r="O50" s="29" t="n"/>
      <c r="P50" s="32" t="n"/>
      <c r="Q50" s="29" t="n"/>
      <c r="R50" s="29" t="n"/>
      <c r="S50" s="29" t="n"/>
      <c r="T50" s="22">
        <f>IF(COUNT(F50,J50,N50,R50)=0,"",SUM(F50,J50,N50,R50))</f>
        <v/>
      </c>
      <c r="U50" s="22">
        <f>IF(COUNT(G50,K50,O50,S50)=0,"",SUM(G50,K50,O50,S50))</f>
        <v/>
      </c>
      <c r="V50" s="22">
        <f>IF(OR(T50="",U50=""),"",U50-T50)</f>
        <v/>
      </c>
      <c r="W50" s="22">
        <f>IF(Q50&lt;&gt;"",Q50,IF(M50&lt;&gt;"",M50,IF(I50&lt;&gt;"",I50,IF(E50&lt;&gt;"",E50,""))))</f>
        <v/>
      </c>
      <c r="X50" s="18">
        <f>IF(U50="","",U50*N(Produits!$E$49))</f>
        <v/>
      </c>
    </row>
    <row r="51">
      <c r="A51" s="33">
        <f>IF(Produits!$A$50="","",Produits!$A$50)</f>
        <v/>
      </c>
      <c r="B51" s="34">
        <f>IF(Produits!$A$50="","",Produits!$C$50)</f>
        <v/>
      </c>
      <c r="C51" s="34">
        <f>IF(Produits!$A$50="","",Produits!$D$50)</f>
        <v/>
      </c>
      <c r="D51" s="32" t="n"/>
      <c r="E51" s="29" t="n"/>
      <c r="F51" s="29" t="n"/>
      <c r="G51" s="29" t="n"/>
      <c r="H51" s="32" t="n"/>
      <c r="I51" s="29" t="n"/>
      <c r="J51" s="29" t="n"/>
      <c r="K51" s="29" t="n"/>
      <c r="L51" s="32" t="n"/>
      <c r="M51" s="29" t="n"/>
      <c r="N51" s="29" t="n"/>
      <c r="O51" s="29" t="n"/>
      <c r="P51" s="32" t="n"/>
      <c r="Q51" s="29" t="n"/>
      <c r="R51" s="29" t="n"/>
      <c r="S51" s="29" t="n"/>
      <c r="T51" s="22">
        <f>IF(COUNT(F51,J51,N51,R51)=0,"",SUM(F51,J51,N51,R51))</f>
        <v/>
      </c>
      <c r="U51" s="22">
        <f>IF(COUNT(G51,K51,O51,S51)=0,"",SUM(G51,K51,O51,S51))</f>
        <v/>
      </c>
      <c r="V51" s="22">
        <f>IF(OR(T51="",U51=""),"",U51-T51)</f>
        <v/>
      </c>
      <c r="W51" s="22">
        <f>IF(Q51&lt;&gt;"",Q51,IF(M51&lt;&gt;"",M51,IF(I51&lt;&gt;"",I51,IF(E51&lt;&gt;"",E51,""))))</f>
        <v/>
      </c>
      <c r="X51" s="18">
        <f>IF(U51="","",U51*N(Produits!$E$50))</f>
        <v/>
      </c>
    </row>
    <row r="52">
      <c r="A52" s="33">
        <f>IF(Produits!$A$51="","",Produits!$A$51)</f>
        <v/>
      </c>
      <c r="B52" s="34">
        <f>IF(Produits!$A$51="","",Produits!$C$51)</f>
        <v/>
      </c>
      <c r="C52" s="34">
        <f>IF(Produits!$A$51="","",Produits!$D$51)</f>
        <v/>
      </c>
      <c r="D52" s="32" t="n"/>
      <c r="E52" s="29" t="n"/>
      <c r="F52" s="29" t="n"/>
      <c r="G52" s="29" t="n"/>
      <c r="H52" s="32" t="n"/>
      <c r="I52" s="29" t="n"/>
      <c r="J52" s="29" t="n"/>
      <c r="K52" s="29" t="n"/>
      <c r="L52" s="32" t="n"/>
      <c r="M52" s="29" t="n"/>
      <c r="N52" s="29" t="n"/>
      <c r="O52" s="29" t="n"/>
      <c r="P52" s="32" t="n"/>
      <c r="Q52" s="29" t="n"/>
      <c r="R52" s="29" t="n"/>
      <c r="S52" s="29" t="n"/>
      <c r="T52" s="22">
        <f>IF(COUNT(F52,J52,N52,R52)=0,"",SUM(F52,J52,N52,R52))</f>
        <v/>
      </c>
      <c r="U52" s="22">
        <f>IF(COUNT(G52,K52,O52,S52)=0,"",SUM(G52,K52,O52,S52))</f>
        <v/>
      </c>
      <c r="V52" s="22">
        <f>IF(OR(T52="",U52=""),"",U52-T52)</f>
        <v/>
      </c>
      <c r="W52" s="22">
        <f>IF(Q52&lt;&gt;"",Q52,IF(M52&lt;&gt;"",M52,IF(I52&lt;&gt;"",I52,IF(E52&lt;&gt;"",E52,""))))</f>
        <v/>
      </c>
      <c r="X52" s="18">
        <f>IF(U52="","",U52*N(Produits!$E$51))</f>
        <v/>
      </c>
    </row>
    <row r="53">
      <c r="A53" s="33">
        <f>IF(Produits!$A$52="","",Produits!$A$52)</f>
        <v/>
      </c>
      <c r="B53" s="34">
        <f>IF(Produits!$A$52="","",Produits!$C$52)</f>
        <v/>
      </c>
      <c r="C53" s="34">
        <f>IF(Produits!$A$52="","",Produits!$D$52)</f>
        <v/>
      </c>
      <c r="D53" s="32" t="n"/>
      <c r="E53" s="29" t="n"/>
      <c r="F53" s="29" t="n"/>
      <c r="G53" s="29" t="n"/>
      <c r="H53" s="32" t="n"/>
      <c r="I53" s="29" t="n"/>
      <c r="J53" s="29" t="n"/>
      <c r="K53" s="29" t="n"/>
      <c r="L53" s="32" t="n"/>
      <c r="M53" s="29" t="n"/>
      <c r="N53" s="29" t="n"/>
      <c r="O53" s="29" t="n"/>
      <c r="P53" s="32" t="n"/>
      <c r="Q53" s="29" t="n"/>
      <c r="R53" s="29" t="n"/>
      <c r="S53" s="29" t="n"/>
      <c r="T53" s="22">
        <f>IF(COUNT(F53,J53,N53,R53)=0,"",SUM(F53,J53,N53,R53))</f>
        <v/>
      </c>
      <c r="U53" s="22">
        <f>IF(COUNT(G53,K53,O53,S53)=0,"",SUM(G53,K53,O53,S53))</f>
        <v/>
      </c>
      <c r="V53" s="22">
        <f>IF(OR(T53="",U53=""),"",U53-T53)</f>
        <v/>
      </c>
      <c r="W53" s="22">
        <f>IF(Q53&lt;&gt;"",Q53,IF(M53&lt;&gt;"",M53,IF(I53&lt;&gt;"",I53,IF(E53&lt;&gt;"",E53,""))))</f>
        <v/>
      </c>
      <c r="X53" s="18">
        <f>IF(U53="","",U53*N(Produits!$E$52))</f>
        <v/>
      </c>
    </row>
    <row r="54" ht="20" customHeight="1">
      <c r="A54" s="23" t="inlineStr">
        <is>
          <t>MÉNAGER</t>
        </is>
      </c>
      <c r="B54" s="10" t="n"/>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row>
    <row r="55">
      <c r="A55" s="33">
        <f>IF(Produits!$A$54="","",Produits!$A$54)</f>
        <v/>
      </c>
      <c r="B55" s="34">
        <f>IF(Produits!$A$54="","",Produits!$C$54)</f>
        <v/>
      </c>
      <c r="C55" s="34">
        <f>IF(Produits!$A$54="","",Produits!$D$54)</f>
        <v/>
      </c>
      <c r="D55" s="32" t="n"/>
      <c r="E55" s="29" t="n"/>
      <c r="F55" s="29" t="n"/>
      <c r="G55" s="29" t="n"/>
      <c r="H55" s="32" t="n"/>
      <c r="I55" s="29" t="n"/>
      <c r="J55" s="29" t="n"/>
      <c r="K55" s="29" t="n"/>
      <c r="L55" s="32" t="n"/>
      <c r="M55" s="29" t="n"/>
      <c r="N55" s="29" t="n"/>
      <c r="O55" s="29" t="n"/>
      <c r="P55" s="32" t="n"/>
      <c r="Q55" s="29" t="n"/>
      <c r="R55" s="29" t="n"/>
      <c r="S55" s="29" t="n"/>
      <c r="T55" s="22">
        <f>IF(COUNT(F55,J55,N55,R55)=0,"",SUM(F55,J55,N55,R55))</f>
        <v/>
      </c>
      <c r="U55" s="22">
        <f>IF(COUNT(G55,K55,O55,S55)=0,"",SUM(G55,K55,O55,S55))</f>
        <v/>
      </c>
      <c r="V55" s="22">
        <f>IF(OR(T55="",U55=""),"",U55-T55)</f>
        <v/>
      </c>
      <c r="W55" s="22">
        <f>IF(Q55&lt;&gt;"",Q55,IF(M55&lt;&gt;"",M55,IF(I55&lt;&gt;"",I55,IF(E55&lt;&gt;"",E55,""))))</f>
        <v/>
      </c>
      <c r="X55" s="18">
        <f>IF(U55="","",U55*N(Produits!$E$54))</f>
        <v/>
      </c>
    </row>
    <row r="56">
      <c r="A56" s="33">
        <f>IF(Produits!$A$55="","",Produits!$A$55)</f>
        <v/>
      </c>
      <c r="B56" s="34">
        <f>IF(Produits!$A$55="","",Produits!$C$55)</f>
        <v/>
      </c>
      <c r="C56" s="34">
        <f>IF(Produits!$A$55="","",Produits!$D$55)</f>
        <v/>
      </c>
      <c r="D56" s="32" t="n"/>
      <c r="E56" s="29" t="n"/>
      <c r="F56" s="29" t="n"/>
      <c r="G56" s="29" t="n"/>
      <c r="H56" s="32" t="n"/>
      <c r="I56" s="29" t="n"/>
      <c r="J56" s="29" t="n"/>
      <c r="K56" s="29" t="n"/>
      <c r="L56" s="32" t="n"/>
      <c r="M56" s="29" t="n"/>
      <c r="N56" s="29" t="n"/>
      <c r="O56" s="29" t="n"/>
      <c r="P56" s="32" t="n"/>
      <c r="Q56" s="29" t="n"/>
      <c r="R56" s="29" t="n"/>
      <c r="S56" s="29" t="n"/>
      <c r="T56" s="22">
        <f>IF(COUNT(F56,J56,N56,R56)=0,"",SUM(F56,J56,N56,R56))</f>
        <v/>
      </c>
      <c r="U56" s="22">
        <f>IF(COUNT(G56,K56,O56,S56)=0,"",SUM(G56,K56,O56,S56))</f>
        <v/>
      </c>
      <c r="V56" s="22">
        <f>IF(OR(T56="",U56=""),"",U56-T56)</f>
        <v/>
      </c>
      <c r="W56" s="22">
        <f>IF(Q56&lt;&gt;"",Q56,IF(M56&lt;&gt;"",M56,IF(I56&lt;&gt;"",I56,IF(E56&lt;&gt;"",E56,""))))</f>
        <v/>
      </c>
      <c r="X56" s="18">
        <f>IF(U56="","",U56*N(Produits!$E$55))</f>
        <v/>
      </c>
    </row>
    <row r="57">
      <c r="A57" s="33">
        <f>IF(Produits!$A$56="","",Produits!$A$56)</f>
        <v/>
      </c>
      <c r="B57" s="34">
        <f>IF(Produits!$A$56="","",Produits!$C$56)</f>
        <v/>
      </c>
      <c r="C57" s="34">
        <f>IF(Produits!$A$56="","",Produits!$D$56)</f>
        <v/>
      </c>
      <c r="D57" s="32" t="n"/>
      <c r="E57" s="29" t="n"/>
      <c r="F57" s="29" t="n"/>
      <c r="G57" s="29" t="n"/>
      <c r="H57" s="32" t="n"/>
      <c r="I57" s="29" t="n"/>
      <c r="J57" s="29" t="n"/>
      <c r="K57" s="29" t="n"/>
      <c r="L57" s="32" t="n"/>
      <c r="M57" s="29" t="n"/>
      <c r="N57" s="29" t="n"/>
      <c r="O57" s="29" t="n"/>
      <c r="P57" s="32" t="n"/>
      <c r="Q57" s="29" t="n"/>
      <c r="R57" s="29" t="n"/>
      <c r="S57" s="29" t="n"/>
      <c r="T57" s="22">
        <f>IF(COUNT(F57,J57,N57,R57)=0,"",SUM(F57,J57,N57,R57))</f>
        <v/>
      </c>
      <c r="U57" s="22">
        <f>IF(COUNT(G57,K57,O57,S57)=0,"",SUM(G57,K57,O57,S57))</f>
        <v/>
      </c>
      <c r="V57" s="22">
        <f>IF(OR(T57="",U57=""),"",U57-T57)</f>
        <v/>
      </c>
      <c r="W57" s="22">
        <f>IF(Q57&lt;&gt;"",Q57,IF(M57&lt;&gt;"",M57,IF(I57&lt;&gt;"",I57,IF(E57&lt;&gt;"",E57,""))))</f>
        <v/>
      </c>
      <c r="X57" s="18">
        <f>IF(U57="","",U57*N(Produits!$E$56))</f>
        <v/>
      </c>
    </row>
    <row r="58">
      <c r="A58" s="33">
        <f>IF(Produits!$A$57="","",Produits!$A$57)</f>
        <v/>
      </c>
      <c r="B58" s="34">
        <f>IF(Produits!$A$57="","",Produits!$C$57)</f>
        <v/>
      </c>
      <c r="C58" s="34">
        <f>IF(Produits!$A$57="","",Produits!$D$57)</f>
        <v/>
      </c>
      <c r="D58" s="32" t="n"/>
      <c r="E58" s="29" t="n"/>
      <c r="F58" s="29" t="n"/>
      <c r="G58" s="29" t="n"/>
      <c r="H58" s="32" t="n"/>
      <c r="I58" s="29" t="n"/>
      <c r="J58" s="29" t="n"/>
      <c r="K58" s="29" t="n"/>
      <c r="L58" s="32" t="n"/>
      <c r="M58" s="29" t="n"/>
      <c r="N58" s="29" t="n"/>
      <c r="O58" s="29" t="n"/>
      <c r="P58" s="32" t="n"/>
      <c r="Q58" s="29" t="n"/>
      <c r="R58" s="29" t="n"/>
      <c r="S58" s="29" t="n"/>
      <c r="T58" s="22">
        <f>IF(COUNT(F58,J58,N58,R58)=0,"",SUM(F58,J58,N58,R58))</f>
        <v/>
      </c>
      <c r="U58" s="22">
        <f>IF(COUNT(G58,K58,O58,S58)=0,"",SUM(G58,K58,O58,S58))</f>
        <v/>
      </c>
      <c r="V58" s="22">
        <f>IF(OR(T58="",U58=""),"",U58-T58)</f>
        <v/>
      </c>
      <c r="W58" s="22">
        <f>IF(Q58&lt;&gt;"",Q58,IF(M58&lt;&gt;"",M58,IF(I58&lt;&gt;"",I58,IF(E58&lt;&gt;"",E58,""))))</f>
        <v/>
      </c>
      <c r="X58" s="18">
        <f>IF(U58="","",U58*N(Produits!$E$57))</f>
        <v/>
      </c>
    </row>
    <row r="59">
      <c r="A59" s="33">
        <f>IF(Produits!$A$58="","",Produits!$A$58)</f>
        <v/>
      </c>
      <c r="B59" s="34">
        <f>IF(Produits!$A$58="","",Produits!$C$58)</f>
        <v/>
      </c>
      <c r="C59" s="34">
        <f>IF(Produits!$A$58="","",Produits!$D$58)</f>
        <v/>
      </c>
      <c r="D59" s="32" t="n"/>
      <c r="E59" s="29" t="n"/>
      <c r="F59" s="29" t="n"/>
      <c r="G59" s="29" t="n"/>
      <c r="H59" s="32" t="n"/>
      <c r="I59" s="29" t="n"/>
      <c r="J59" s="29" t="n"/>
      <c r="K59" s="29" t="n"/>
      <c r="L59" s="32" t="n"/>
      <c r="M59" s="29" t="n"/>
      <c r="N59" s="29" t="n"/>
      <c r="O59" s="29" t="n"/>
      <c r="P59" s="32" t="n"/>
      <c r="Q59" s="29" t="n"/>
      <c r="R59" s="29" t="n"/>
      <c r="S59" s="29" t="n"/>
      <c r="T59" s="22">
        <f>IF(COUNT(F59,J59,N59,R59)=0,"",SUM(F59,J59,N59,R59))</f>
        <v/>
      </c>
      <c r="U59" s="22">
        <f>IF(COUNT(G59,K59,O59,S59)=0,"",SUM(G59,K59,O59,S59))</f>
        <v/>
      </c>
      <c r="V59" s="22">
        <f>IF(OR(T59="",U59=""),"",U59-T59)</f>
        <v/>
      </c>
      <c r="W59" s="22">
        <f>IF(Q59&lt;&gt;"",Q59,IF(M59&lt;&gt;"",M59,IF(I59&lt;&gt;"",I59,IF(E59&lt;&gt;"",E59,""))))</f>
        <v/>
      </c>
      <c r="X59" s="18">
        <f>IF(U59="","",U59*N(Produits!$E$58))</f>
        <v/>
      </c>
    </row>
    <row r="60">
      <c r="A60" s="33">
        <f>IF(Produits!$A$59="","",Produits!$A$59)</f>
        <v/>
      </c>
      <c r="B60" s="34">
        <f>IF(Produits!$A$59="","",Produits!$C$59)</f>
        <v/>
      </c>
      <c r="C60" s="34">
        <f>IF(Produits!$A$59="","",Produits!$D$59)</f>
        <v/>
      </c>
      <c r="D60" s="32" t="n"/>
      <c r="E60" s="29" t="n"/>
      <c r="F60" s="29" t="n"/>
      <c r="G60" s="29" t="n"/>
      <c r="H60" s="32" t="n"/>
      <c r="I60" s="29" t="n"/>
      <c r="J60" s="29" t="n"/>
      <c r="K60" s="29" t="n"/>
      <c r="L60" s="32" t="n"/>
      <c r="M60" s="29" t="n"/>
      <c r="N60" s="29" t="n"/>
      <c r="O60" s="29" t="n"/>
      <c r="P60" s="32" t="n"/>
      <c r="Q60" s="29" t="n"/>
      <c r="R60" s="29" t="n"/>
      <c r="S60" s="29" t="n"/>
      <c r="T60" s="22">
        <f>IF(COUNT(F60,J60,N60,R60)=0,"",SUM(F60,J60,N60,R60))</f>
        <v/>
      </c>
      <c r="U60" s="22">
        <f>IF(COUNT(G60,K60,O60,S60)=0,"",SUM(G60,K60,O60,S60))</f>
        <v/>
      </c>
      <c r="V60" s="22">
        <f>IF(OR(T60="",U60=""),"",U60-T60)</f>
        <v/>
      </c>
      <c r="W60" s="22">
        <f>IF(Q60&lt;&gt;"",Q60,IF(M60&lt;&gt;"",M60,IF(I60&lt;&gt;"",I60,IF(E60&lt;&gt;"",E60,""))))</f>
        <v/>
      </c>
      <c r="X60" s="18">
        <f>IF(U60="","",U60*N(Produits!$E$59))</f>
        <v/>
      </c>
    </row>
    <row r="61">
      <c r="A61" s="33">
        <f>IF(Produits!$A$60="","",Produits!$A$60)</f>
        <v/>
      </c>
      <c r="B61" s="34">
        <f>IF(Produits!$A$60="","",Produits!$C$60)</f>
        <v/>
      </c>
      <c r="C61" s="34">
        <f>IF(Produits!$A$60="","",Produits!$D$60)</f>
        <v/>
      </c>
      <c r="D61" s="32" t="n"/>
      <c r="E61" s="29" t="n"/>
      <c r="F61" s="29" t="n"/>
      <c r="G61" s="29" t="n"/>
      <c r="H61" s="32" t="n"/>
      <c r="I61" s="29" t="n"/>
      <c r="J61" s="29" t="n"/>
      <c r="K61" s="29" t="n"/>
      <c r="L61" s="32" t="n"/>
      <c r="M61" s="29" t="n"/>
      <c r="N61" s="29" t="n"/>
      <c r="O61" s="29" t="n"/>
      <c r="P61" s="32" t="n"/>
      <c r="Q61" s="29" t="n"/>
      <c r="R61" s="29" t="n"/>
      <c r="S61" s="29" t="n"/>
      <c r="T61" s="22">
        <f>IF(COUNT(F61,J61,N61,R61)=0,"",SUM(F61,J61,N61,R61))</f>
        <v/>
      </c>
      <c r="U61" s="22">
        <f>IF(COUNT(G61,K61,O61,S61)=0,"",SUM(G61,K61,O61,S61))</f>
        <v/>
      </c>
      <c r="V61" s="22">
        <f>IF(OR(T61="",U61=""),"",U61-T61)</f>
        <v/>
      </c>
      <c r="W61" s="22">
        <f>IF(Q61&lt;&gt;"",Q61,IF(M61&lt;&gt;"",M61,IF(I61&lt;&gt;"",I61,IF(E61&lt;&gt;"",E61,""))))</f>
        <v/>
      </c>
      <c r="X61" s="18">
        <f>IF(U61="","",U61*N(Produits!$E$60))</f>
        <v/>
      </c>
    </row>
    <row r="62">
      <c r="A62" s="33">
        <f>IF(Produits!$A$61="","",Produits!$A$61)</f>
        <v/>
      </c>
      <c r="B62" s="34">
        <f>IF(Produits!$A$61="","",Produits!$C$61)</f>
        <v/>
      </c>
      <c r="C62" s="34">
        <f>IF(Produits!$A$61="","",Produits!$D$61)</f>
        <v/>
      </c>
      <c r="D62" s="32" t="n"/>
      <c r="E62" s="29" t="n"/>
      <c r="F62" s="29" t="n"/>
      <c r="G62" s="29" t="n"/>
      <c r="H62" s="32" t="n"/>
      <c r="I62" s="29" t="n"/>
      <c r="J62" s="29" t="n"/>
      <c r="K62" s="29" t="n"/>
      <c r="L62" s="32" t="n"/>
      <c r="M62" s="29" t="n"/>
      <c r="N62" s="29" t="n"/>
      <c r="O62" s="29" t="n"/>
      <c r="P62" s="32" t="n"/>
      <c r="Q62" s="29" t="n"/>
      <c r="R62" s="29" t="n"/>
      <c r="S62" s="29" t="n"/>
      <c r="T62" s="22">
        <f>IF(COUNT(F62,J62,N62,R62)=0,"",SUM(F62,J62,N62,R62))</f>
        <v/>
      </c>
      <c r="U62" s="22">
        <f>IF(COUNT(G62,K62,O62,S62)=0,"",SUM(G62,K62,O62,S62))</f>
        <v/>
      </c>
      <c r="V62" s="22">
        <f>IF(OR(T62="",U62=""),"",U62-T62)</f>
        <v/>
      </c>
      <c r="W62" s="22">
        <f>IF(Q62&lt;&gt;"",Q62,IF(M62&lt;&gt;"",M62,IF(I62&lt;&gt;"",I62,IF(E62&lt;&gt;"",E62,""))))</f>
        <v/>
      </c>
      <c r="X62" s="18">
        <f>IF(U62="","",U62*N(Produits!$E$61))</f>
        <v/>
      </c>
    </row>
    <row r="63">
      <c r="A63" s="33">
        <f>IF(Produits!$A$62="","",Produits!$A$62)</f>
        <v/>
      </c>
      <c r="B63" s="34">
        <f>IF(Produits!$A$62="","",Produits!$C$62)</f>
        <v/>
      </c>
      <c r="C63" s="34">
        <f>IF(Produits!$A$62="","",Produits!$D$62)</f>
        <v/>
      </c>
      <c r="D63" s="32" t="n"/>
      <c r="E63" s="29" t="n"/>
      <c r="F63" s="29" t="n"/>
      <c r="G63" s="29" t="n"/>
      <c r="H63" s="32" t="n"/>
      <c r="I63" s="29" t="n"/>
      <c r="J63" s="29" t="n"/>
      <c r="K63" s="29" t="n"/>
      <c r="L63" s="32" t="n"/>
      <c r="M63" s="29" t="n"/>
      <c r="N63" s="29" t="n"/>
      <c r="O63" s="29" t="n"/>
      <c r="P63" s="32" t="n"/>
      <c r="Q63" s="29" t="n"/>
      <c r="R63" s="29" t="n"/>
      <c r="S63" s="29" t="n"/>
      <c r="T63" s="22">
        <f>IF(COUNT(F63,J63,N63,R63)=0,"",SUM(F63,J63,N63,R63))</f>
        <v/>
      </c>
      <c r="U63" s="22">
        <f>IF(COUNT(G63,K63,O63,S63)=0,"",SUM(G63,K63,O63,S63))</f>
        <v/>
      </c>
      <c r="V63" s="22">
        <f>IF(OR(T63="",U63=""),"",U63-T63)</f>
        <v/>
      </c>
      <c r="W63" s="22">
        <f>IF(Q63&lt;&gt;"",Q63,IF(M63&lt;&gt;"",M63,IF(I63&lt;&gt;"",I63,IF(E63&lt;&gt;"",E63,""))))</f>
        <v/>
      </c>
      <c r="X63" s="18">
        <f>IF(U63="","",U63*N(Produits!$E$62))</f>
        <v/>
      </c>
    </row>
    <row r="64">
      <c r="A64" s="33">
        <f>IF(Produits!$A$63="","",Produits!$A$63)</f>
        <v/>
      </c>
      <c r="B64" s="34">
        <f>IF(Produits!$A$63="","",Produits!$C$63)</f>
        <v/>
      </c>
      <c r="C64" s="34">
        <f>IF(Produits!$A$63="","",Produits!$D$63)</f>
        <v/>
      </c>
      <c r="D64" s="32" t="n"/>
      <c r="E64" s="29" t="n"/>
      <c r="F64" s="29" t="n"/>
      <c r="G64" s="29" t="n"/>
      <c r="H64" s="32" t="n"/>
      <c r="I64" s="29" t="n"/>
      <c r="J64" s="29" t="n"/>
      <c r="K64" s="29" t="n"/>
      <c r="L64" s="32" t="n"/>
      <c r="M64" s="29" t="n"/>
      <c r="N64" s="29" t="n"/>
      <c r="O64" s="29" t="n"/>
      <c r="P64" s="32" t="n"/>
      <c r="Q64" s="29" t="n"/>
      <c r="R64" s="29" t="n"/>
      <c r="S64" s="29" t="n"/>
      <c r="T64" s="22">
        <f>IF(COUNT(F64,J64,N64,R64)=0,"",SUM(F64,J64,N64,R64))</f>
        <v/>
      </c>
      <c r="U64" s="22">
        <f>IF(COUNT(G64,K64,O64,S64)=0,"",SUM(G64,K64,O64,S64))</f>
        <v/>
      </c>
      <c r="V64" s="22">
        <f>IF(OR(T64="",U64=""),"",U64-T64)</f>
        <v/>
      </c>
      <c r="W64" s="22">
        <f>IF(Q64&lt;&gt;"",Q64,IF(M64&lt;&gt;"",M64,IF(I64&lt;&gt;"",I64,IF(E64&lt;&gt;"",E64,""))))</f>
        <v/>
      </c>
      <c r="X64" s="18">
        <f>IF(U64="","",U64*N(Produits!$E$63))</f>
        <v/>
      </c>
    </row>
    <row r="65">
      <c r="A65" s="33">
        <f>IF(Produits!$A$64="","",Produits!$A$64)</f>
        <v/>
      </c>
      <c r="B65" s="34">
        <f>IF(Produits!$A$64="","",Produits!$C$64)</f>
        <v/>
      </c>
      <c r="C65" s="34">
        <f>IF(Produits!$A$64="","",Produits!$D$64)</f>
        <v/>
      </c>
      <c r="D65" s="32" t="n"/>
      <c r="E65" s="29" t="n"/>
      <c r="F65" s="29" t="n"/>
      <c r="G65" s="29" t="n"/>
      <c r="H65" s="32" t="n"/>
      <c r="I65" s="29" t="n"/>
      <c r="J65" s="29" t="n"/>
      <c r="K65" s="29" t="n"/>
      <c r="L65" s="32" t="n"/>
      <c r="M65" s="29" t="n"/>
      <c r="N65" s="29" t="n"/>
      <c r="O65" s="29" t="n"/>
      <c r="P65" s="32" t="n"/>
      <c r="Q65" s="29" t="n"/>
      <c r="R65" s="29" t="n"/>
      <c r="S65" s="29" t="n"/>
      <c r="T65" s="22">
        <f>IF(COUNT(F65,J65,N65,R65)=0,"",SUM(F65,J65,N65,R65))</f>
        <v/>
      </c>
      <c r="U65" s="22">
        <f>IF(COUNT(G65,K65,O65,S65)=0,"",SUM(G65,K65,O65,S65))</f>
        <v/>
      </c>
      <c r="V65" s="22">
        <f>IF(OR(T65="",U65=""),"",U65-T65)</f>
        <v/>
      </c>
      <c r="W65" s="22">
        <f>IF(Q65&lt;&gt;"",Q65,IF(M65&lt;&gt;"",M65,IF(I65&lt;&gt;"",I65,IF(E65&lt;&gt;"",E65,""))))</f>
        <v/>
      </c>
      <c r="X65" s="18">
        <f>IF(U65="","",U65*N(Produits!$E$64))</f>
        <v/>
      </c>
    </row>
    <row r="66">
      <c r="A66" s="33">
        <f>IF(Produits!$A$65="","",Produits!$A$65)</f>
        <v/>
      </c>
      <c r="B66" s="34">
        <f>IF(Produits!$A$65="","",Produits!$C$65)</f>
        <v/>
      </c>
      <c r="C66" s="34">
        <f>IF(Produits!$A$65="","",Produits!$D$65)</f>
        <v/>
      </c>
      <c r="D66" s="32" t="n"/>
      <c r="E66" s="29" t="n"/>
      <c r="F66" s="29" t="n"/>
      <c r="G66" s="29" t="n"/>
      <c r="H66" s="32" t="n"/>
      <c r="I66" s="29" t="n"/>
      <c r="J66" s="29" t="n"/>
      <c r="K66" s="29" t="n"/>
      <c r="L66" s="32" t="n"/>
      <c r="M66" s="29" t="n"/>
      <c r="N66" s="29" t="n"/>
      <c r="O66" s="29" t="n"/>
      <c r="P66" s="32" t="n"/>
      <c r="Q66" s="29" t="n"/>
      <c r="R66" s="29" t="n"/>
      <c r="S66" s="29" t="n"/>
      <c r="T66" s="22">
        <f>IF(COUNT(F66,J66,N66,R66)=0,"",SUM(F66,J66,N66,R66))</f>
        <v/>
      </c>
      <c r="U66" s="22">
        <f>IF(COUNT(G66,K66,O66,S66)=0,"",SUM(G66,K66,O66,S66))</f>
        <v/>
      </c>
      <c r="V66" s="22">
        <f>IF(OR(T66="",U66=""),"",U66-T66)</f>
        <v/>
      </c>
      <c r="W66" s="22">
        <f>IF(Q66&lt;&gt;"",Q66,IF(M66&lt;&gt;"",M66,IF(I66&lt;&gt;"",I66,IF(E66&lt;&gt;"",E66,""))))</f>
        <v/>
      </c>
      <c r="X66" s="18">
        <f>IF(U66="","",U66*N(Produits!$E$65))</f>
        <v/>
      </c>
    </row>
    <row r="67">
      <c r="A67" s="33">
        <f>IF(Produits!$A$66="","",Produits!$A$66)</f>
        <v/>
      </c>
      <c r="B67" s="34">
        <f>IF(Produits!$A$66="","",Produits!$C$66)</f>
        <v/>
      </c>
      <c r="C67" s="34">
        <f>IF(Produits!$A$66="","",Produits!$D$66)</f>
        <v/>
      </c>
      <c r="D67" s="32" t="n"/>
      <c r="E67" s="29" t="n"/>
      <c r="F67" s="29" t="n"/>
      <c r="G67" s="29" t="n"/>
      <c r="H67" s="32" t="n"/>
      <c r="I67" s="29" t="n"/>
      <c r="J67" s="29" t="n"/>
      <c r="K67" s="29" t="n"/>
      <c r="L67" s="32" t="n"/>
      <c r="M67" s="29" t="n"/>
      <c r="N67" s="29" t="n"/>
      <c r="O67" s="29" t="n"/>
      <c r="P67" s="32" t="n"/>
      <c r="Q67" s="29" t="n"/>
      <c r="R67" s="29" t="n"/>
      <c r="S67" s="29" t="n"/>
      <c r="T67" s="22">
        <f>IF(COUNT(F67,J67,N67,R67)=0,"",SUM(F67,J67,N67,R67))</f>
        <v/>
      </c>
      <c r="U67" s="22">
        <f>IF(COUNT(G67,K67,O67,S67)=0,"",SUM(G67,K67,O67,S67))</f>
        <v/>
      </c>
      <c r="V67" s="22">
        <f>IF(OR(T67="",U67=""),"",U67-T67)</f>
        <v/>
      </c>
      <c r="W67" s="22">
        <f>IF(Q67&lt;&gt;"",Q67,IF(M67&lt;&gt;"",M67,IF(I67&lt;&gt;"",I67,IF(E67&lt;&gt;"",E67,""))))</f>
        <v/>
      </c>
      <c r="X67" s="18">
        <f>IF(U67="","",U67*N(Produits!$E$66))</f>
        <v/>
      </c>
    </row>
    <row r="68">
      <c r="A68" s="33">
        <f>IF(Produits!$A$67="","",Produits!$A$67)</f>
        <v/>
      </c>
      <c r="B68" s="34">
        <f>IF(Produits!$A$67="","",Produits!$C$67)</f>
        <v/>
      </c>
      <c r="C68" s="34">
        <f>IF(Produits!$A$67="","",Produits!$D$67)</f>
        <v/>
      </c>
      <c r="D68" s="32" t="n"/>
      <c r="E68" s="29" t="n"/>
      <c r="F68" s="29" t="n"/>
      <c r="G68" s="29" t="n"/>
      <c r="H68" s="32" t="n"/>
      <c r="I68" s="29" t="n"/>
      <c r="J68" s="29" t="n"/>
      <c r="K68" s="29" t="n"/>
      <c r="L68" s="32" t="n"/>
      <c r="M68" s="29" t="n"/>
      <c r="N68" s="29" t="n"/>
      <c r="O68" s="29" t="n"/>
      <c r="P68" s="32" t="n"/>
      <c r="Q68" s="29" t="n"/>
      <c r="R68" s="29" t="n"/>
      <c r="S68" s="29" t="n"/>
      <c r="T68" s="22">
        <f>IF(COUNT(F68,J68,N68,R68)=0,"",SUM(F68,J68,N68,R68))</f>
        <v/>
      </c>
      <c r="U68" s="22">
        <f>IF(COUNT(G68,K68,O68,S68)=0,"",SUM(G68,K68,O68,S68))</f>
        <v/>
      </c>
      <c r="V68" s="22">
        <f>IF(OR(T68="",U68=""),"",U68-T68)</f>
        <v/>
      </c>
      <c r="W68" s="22">
        <f>IF(Q68&lt;&gt;"",Q68,IF(M68&lt;&gt;"",M68,IF(I68&lt;&gt;"",I68,IF(E68&lt;&gt;"",E68,""))))</f>
        <v/>
      </c>
      <c r="X68" s="18">
        <f>IF(U68="","",U68*N(Produits!$E$67))</f>
        <v/>
      </c>
    </row>
    <row r="69">
      <c r="A69" s="33">
        <f>IF(Produits!$A$68="","",Produits!$A$68)</f>
        <v/>
      </c>
      <c r="B69" s="34">
        <f>IF(Produits!$A$68="","",Produits!$C$68)</f>
        <v/>
      </c>
      <c r="C69" s="34">
        <f>IF(Produits!$A$68="","",Produits!$D$68)</f>
        <v/>
      </c>
      <c r="D69" s="32" t="n"/>
      <c r="E69" s="29" t="n"/>
      <c r="F69" s="29" t="n"/>
      <c r="G69" s="29" t="n"/>
      <c r="H69" s="32" t="n"/>
      <c r="I69" s="29" t="n"/>
      <c r="J69" s="29" t="n"/>
      <c r="K69" s="29" t="n"/>
      <c r="L69" s="32" t="n"/>
      <c r="M69" s="29" t="n"/>
      <c r="N69" s="29" t="n"/>
      <c r="O69" s="29" t="n"/>
      <c r="P69" s="32" t="n"/>
      <c r="Q69" s="29" t="n"/>
      <c r="R69" s="29" t="n"/>
      <c r="S69" s="29" t="n"/>
      <c r="T69" s="22">
        <f>IF(COUNT(F69,J69,N69,R69)=0,"",SUM(F69,J69,N69,R69))</f>
        <v/>
      </c>
      <c r="U69" s="22">
        <f>IF(COUNT(G69,K69,O69,S69)=0,"",SUM(G69,K69,O69,S69))</f>
        <v/>
      </c>
      <c r="V69" s="22">
        <f>IF(OR(T69="",U69=""),"",U69-T69)</f>
        <v/>
      </c>
      <c r="W69" s="22">
        <f>IF(Q69&lt;&gt;"",Q69,IF(M69&lt;&gt;"",M69,IF(I69&lt;&gt;"",I69,IF(E69&lt;&gt;"",E69,""))))</f>
        <v/>
      </c>
      <c r="X69" s="18">
        <f>IF(U69="","",U69*N(Produits!$E$68))</f>
        <v/>
      </c>
    </row>
    <row r="71">
      <c r="A71" s="15" t="inlineStr">
        <is>
          <t>Total des dépenses du mois</t>
        </is>
      </c>
      <c r="B71" s="19" t="n"/>
      <c r="C71" s="19" t="n"/>
      <c r="X71" s="35">
        <f>SUM(X7:X69)</f>
        <v/>
      </c>
    </row>
  </sheetData>
  <mergeCells count="14">
    <mergeCell ref="H4:K4"/>
    <mergeCell ref="A71:C71"/>
    <mergeCell ref="B4:B5"/>
    <mergeCell ref="C4:C5"/>
    <mergeCell ref="A4:A5"/>
    <mergeCell ref="T4:W4"/>
    <mergeCell ref="X4:X5"/>
    <mergeCell ref="A38:X38"/>
    <mergeCell ref="A54:X54"/>
    <mergeCell ref="L4:O4"/>
    <mergeCell ref="P4:S4"/>
    <mergeCell ref="A6:X6"/>
    <mergeCell ref="A22:X22"/>
    <mergeCell ref="D4:G4"/>
  </mergeCells>
  <conditionalFormatting sqref="V7:V69">
    <cfRule type="expression" priority="1" dxfId="0">
      <formula>AND(ISNUMBER(V7),V7&lt;0)</formula>
    </cfRule>
  </conditionalFormatting>
  <conditionalFormatting sqref="E7:E69">
    <cfRule type="expression" priority="2" dxfId="1">
      <formula>AND(ISNUMBER(E7),ISNUMBER($C7),E7&lt;=$C7)</formula>
    </cfRule>
  </conditionalFormatting>
  <conditionalFormatting sqref="G7:G69">
    <cfRule type="expression" priority="3" dxfId="0">
      <formula>AND(ISNUMBER(G7),ISNUMBER(F7),G7&lt;F7)</formula>
    </cfRule>
  </conditionalFormatting>
  <conditionalFormatting sqref="I7:I69">
    <cfRule type="expression" priority="4" dxfId="1">
      <formula>AND(ISNUMBER(I7),ISNUMBER($C7),I7&lt;=$C7)</formula>
    </cfRule>
  </conditionalFormatting>
  <conditionalFormatting sqref="K7:K69">
    <cfRule type="expression" priority="5" dxfId="0">
      <formula>AND(ISNUMBER(K7),ISNUMBER(J7),K7&lt;J7)</formula>
    </cfRule>
  </conditionalFormatting>
  <conditionalFormatting sqref="M7:M69">
    <cfRule type="expression" priority="6" dxfId="1">
      <formula>AND(ISNUMBER(M7),ISNUMBER($C7),M7&lt;=$C7)</formula>
    </cfRule>
  </conditionalFormatting>
  <conditionalFormatting sqref="O7:O69">
    <cfRule type="expression" priority="7" dxfId="0">
      <formula>AND(ISNUMBER(O7),ISNUMBER(N7),O7&lt;N7)</formula>
    </cfRule>
  </conditionalFormatting>
  <conditionalFormatting sqref="Q7:Q69">
    <cfRule type="expression" priority="8" dxfId="1">
      <formula>AND(ISNUMBER(Q7),ISNUMBER($C7),Q7&lt;=$C7)</formula>
    </cfRule>
  </conditionalFormatting>
  <conditionalFormatting sqref="S7:S69">
    <cfRule type="expression" priority="9" dxfId="0">
      <formula>AND(ISNUMBER(S7),ISNUMBER(R7),S7&lt;R7)</formula>
    </cfRule>
  </conditionalFormatting>
  <dataValidations count="4">
    <dataValidation sqref="E7:G69" showDropDown="0" showInputMessage="0" showErrorMessage="1" allowBlank="1" errorTitle="Valeur invalide" error="Entre un nombre positif (ou laisse vide)." type="decimal" operator="greaterThanOrEqual">
      <formula1>0</formula1>
    </dataValidation>
    <dataValidation sqref="I7:K69" showDropDown="0" showInputMessage="0" showErrorMessage="1" allowBlank="1" errorTitle="Valeur invalide" error="Entre un nombre positif (ou laisse vide)." type="decimal" operator="greaterThanOrEqual">
      <formula1>0</formula1>
    </dataValidation>
    <dataValidation sqref="M7:O69" showDropDown="0" showInputMessage="0" showErrorMessage="1" allowBlank="1" errorTitle="Valeur invalide" error="Entre un nombre positif (ou laisse vide)." type="decimal" operator="greaterThanOrEqual">
      <formula1>0</formula1>
    </dataValidation>
    <dataValidation sqref="Q7:S69"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X71"/>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24" customWidth="1" min="1" max="1"/>
    <col width="7" customWidth="1" min="2" max="2"/>
    <col width="7" customWidth="1" min="3" max="3"/>
    <col width="11" customWidth="1" min="4" max="4"/>
    <col width="10.5" customWidth="1" min="5" max="5"/>
    <col width="10.5" customWidth="1" min="6" max="6"/>
    <col width="10.5" customWidth="1" min="7" max="7"/>
    <col width="11" customWidth="1" min="8" max="8"/>
    <col width="10.5" customWidth="1" min="9" max="9"/>
    <col width="10.5" customWidth="1" min="10" max="10"/>
    <col width="10.5" customWidth="1" min="11" max="11"/>
    <col width="11" customWidth="1" min="12" max="12"/>
    <col width="10.5" customWidth="1" min="13" max="13"/>
    <col width="10.5" customWidth="1" min="14" max="14"/>
    <col width="10.5" customWidth="1" min="15" max="15"/>
    <col width="11" customWidth="1" min="16" max="16"/>
    <col width="10.5" customWidth="1" min="17" max="17"/>
    <col width="10.5" customWidth="1" min="18" max="18"/>
    <col width="10.5" customWidth="1" min="19" max="19"/>
    <col width="11" customWidth="1" min="20" max="20"/>
    <col width="11" customWidth="1" min="21" max="21"/>
    <col width="11" customWidth="1" min="22" max="22"/>
    <col width="11" customWidth="1" min="23" max="23"/>
    <col width="12" customWidth="1" min="24" max="24"/>
  </cols>
  <sheetData>
    <row r="1" ht="26" customHeight="1">
      <c r="A1" s="1" t="inlineStr">
        <is>
          <t>Septembre 2026</t>
        </is>
      </c>
    </row>
    <row r="2">
      <c r="A2" s="2" t="inlineStr">
        <is>
          <t>Date cmd = jour où tu passes la commande · Stock = ce qu'il reste · Commandé · Reçu = ce qui est arrivé</t>
        </is>
      </c>
    </row>
    <row r="4">
      <c r="A4" s="15" t="inlineStr">
        <is>
          <t>Produit</t>
        </is>
      </c>
      <c r="B4" s="15" t="inlineStr">
        <is>
          <t>Unité</t>
        </is>
      </c>
      <c r="C4" s="15" t="inlineStr">
        <is>
          <t>Mini</t>
        </is>
      </c>
      <c r="D4" s="15" t="inlineStr">
        <is>
          <t>Semaine 1</t>
        </is>
      </c>
      <c r="E4" s="19" t="n"/>
      <c r="F4" s="19" t="n"/>
      <c r="G4" s="19" t="n"/>
      <c r="H4" s="15" t="inlineStr">
        <is>
          <t>Semaine 2</t>
        </is>
      </c>
      <c r="I4" s="19" t="n"/>
      <c r="J4" s="19" t="n"/>
      <c r="K4" s="19" t="n"/>
      <c r="L4" s="15" t="inlineStr">
        <is>
          <t>Semaine 3</t>
        </is>
      </c>
      <c r="M4" s="19" t="n"/>
      <c r="N4" s="19" t="n"/>
      <c r="O4" s="19" t="n"/>
      <c r="P4" s="15" t="inlineStr">
        <is>
          <t>Semaine 4</t>
        </is>
      </c>
      <c r="Q4" s="19" t="n"/>
      <c r="R4" s="19" t="n"/>
      <c r="S4" s="19" t="n"/>
      <c r="T4" s="15" t="inlineStr">
        <is>
          <t>Total du mois</t>
        </is>
      </c>
      <c r="U4" s="19" t="n"/>
      <c r="V4" s="19" t="n"/>
      <c r="W4" s="19" t="n"/>
      <c r="X4" s="15" t="inlineStr">
        <is>
          <t>Dépense (€)</t>
        </is>
      </c>
    </row>
    <row r="5">
      <c r="A5" s="19" t="n"/>
      <c r="B5" s="19" t="n"/>
      <c r="C5" s="19" t="n"/>
      <c r="D5" s="8" t="inlineStr">
        <is>
          <t>Date cmd</t>
        </is>
      </c>
      <c r="E5" s="8" t="inlineStr">
        <is>
          <t>Stock</t>
        </is>
      </c>
      <c r="F5" s="8" t="inlineStr">
        <is>
          <t>Commandé</t>
        </is>
      </c>
      <c r="G5" s="8" t="inlineStr">
        <is>
          <t>Reçu</t>
        </is>
      </c>
      <c r="H5" s="8" t="inlineStr">
        <is>
          <t>Date cmd</t>
        </is>
      </c>
      <c r="I5" s="8" t="inlineStr">
        <is>
          <t>Stock</t>
        </is>
      </c>
      <c r="J5" s="8" t="inlineStr">
        <is>
          <t>Commandé</t>
        </is>
      </c>
      <c r="K5" s="8" t="inlineStr">
        <is>
          <t>Reçu</t>
        </is>
      </c>
      <c r="L5" s="8" t="inlineStr">
        <is>
          <t>Date cmd</t>
        </is>
      </c>
      <c r="M5" s="8" t="inlineStr">
        <is>
          <t>Stock</t>
        </is>
      </c>
      <c r="N5" s="8" t="inlineStr">
        <is>
          <t>Commandé</t>
        </is>
      </c>
      <c r="O5" s="8" t="inlineStr">
        <is>
          <t>Reçu</t>
        </is>
      </c>
      <c r="P5" s="8" t="inlineStr">
        <is>
          <t>Date cmd</t>
        </is>
      </c>
      <c r="Q5" s="8" t="inlineStr">
        <is>
          <t>Stock</t>
        </is>
      </c>
      <c r="R5" s="8" t="inlineStr">
        <is>
          <t>Commandé</t>
        </is>
      </c>
      <c r="S5" s="8" t="inlineStr">
        <is>
          <t>Reçu</t>
        </is>
      </c>
      <c r="T5" s="8" t="inlineStr">
        <is>
          <t>Commandé</t>
        </is>
      </c>
      <c r="U5" s="8" t="inlineStr">
        <is>
          <t>Reçu</t>
        </is>
      </c>
      <c r="V5" s="8" t="inlineStr">
        <is>
          <t>Écart</t>
        </is>
      </c>
      <c r="W5" s="8" t="inlineStr">
        <is>
          <t>Dernier stock</t>
        </is>
      </c>
      <c r="X5" s="19" t="n"/>
    </row>
    <row r="6" ht="20" customHeight="1">
      <c r="A6" s="23" t="inlineStr">
        <is>
          <t>RÉSERVE SÈCHE</t>
        </is>
      </c>
      <c r="B6" s="10" t="n"/>
      <c r="C6" s="10" t="n"/>
      <c r="D6" s="10" t="n"/>
      <c r="E6" s="10" t="n"/>
      <c r="F6" s="10" t="n"/>
      <c r="G6" s="10" t="n"/>
      <c r="H6" s="10" t="n"/>
      <c r="I6" s="10" t="n"/>
      <c r="J6" s="10" t="n"/>
      <c r="K6" s="10" t="n"/>
      <c r="L6" s="10" t="n"/>
      <c r="M6" s="10" t="n"/>
      <c r="N6" s="10" t="n"/>
      <c r="O6" s="10" t="n"/>
      <c r="P6" s="10" t="n"/>
      <c r="Q6" s="10" t="n"/>
      <c r="R6" s="10" t="n"/>
      <c r="S6" s="10" t="n"/>
      <c r="T6" s="10" t="n"/>
      <c r="U6" s="10" t="n"/>
      <c r="V6" s="10" t="n"/>
      <c r="W6" s="10" t="n"/>
      <c r="X6" s="10" t="n"/>
    </row>
    <row r="7">
      <c r="A7" s="33">
        <f>IF(Produits!$A$6="","",Produits!$A$6)</f>
        <v/>
      </c>
      <c r="B7" s="34">
        <f>IF(Produits!$A$6="","",Produits!$C$6)</f>
        <v/>
      </c>
      <c r="C7" s="34">
        <f>IF(Produits!$A$6="","",Produits!$D$6)</f>
        <v/>
      </c>
      <c r="D7" s="31">
        <f>DATE(2026,9,4)</f>
        <v/>
      </c>
      <c r="E7" s="26" t="n">
        <v>8</v>
      </c>
      <c r="F7" s="26" t="n">
        <v>10</v>
      </c>
      <c r="G7" s="26" t="n">
        <v>10</v>
      </c>
      <c r="H7" s="31">
        <f>DATE(2026,9,11)</f>
        <v/>
      </c>
      <c r="I7" s="26" t="n">
        <v>5.5</v>
      </c>
      <c r="J7" s="26" t="n">
        <v>10</v>
      </c>
      <c r="K7" s="26" t="n">
        <v>10</v>
      </c>
      <c r="L7" s="32" t="n"/>
      <c r="M7" s="29" t="n"/>
      <c r="N7" s="29" t="n"/>
      <c r="O7" s="29" t="n"/>
      <c r="P7" s="32" t="n"/>
      <c r="Q7" s="29" t="n"/>
      <c r="R7" s="29" t="n"/>
      <c r="S7" s="29" t="n"/>
      <c r="T7" s="22">
        <f>IF(COUNT(F7,J7,N7,R7)=0,"",SUM(F7,J7,N7,R7))</f>
        <v/>
      </c>
      <c r="U7" s="22">
        <f>IF(COUNT(G7,K7,O7,S7)=0,"",SUM(G7,K7,O7,S7))</f>
        <v/>
      </c>
      <c r="V7" s="22">
        <f>IF(OR(T7="",U7=""),"",U7-T7)</f>
        <v/>
      </c>
      <c r="W7" s="22">
        <f>IF(Q7&lt;&gt;"",Q7,IF(M7&lt;&gt;"",M7,IF(I7&lt;&gt;"",I7,IF(E7&lt;&gt;"",E7,""))))</f>
        <v/>
      </c>
      <c r="X7" s="18">
        <f>IF(U7="","",U7*N(Produits!$E$6))</f>
        <v/>
      </c>
    </row>
    <row r="8">
      <c r="A8" s="33">
        <f>IF(Produits!$A$7="","",Produits!$A$7)</f>
        <v/>
      </c>
      <c r="B8" s="34">
        <f>IF(Produits!$A$7="","",Produits!$C$7)</f>
        <v/>
      </c>
      <c r="C8" s="34">
        <f>IF(Produits!$A$7="","",Produits!$D$7)</f>
        <v/>
      </c>
      <c r="D8" s="31">
        <f>DATE(2026,9,4)</f>
        <v/>
      </c>
      <c r="E8" s="26" t="n">
        <v>4.8</v>
      </c>
      <c r="F8" s="26" t="n">
        <v>6</v>
      </c>
      <c r="G8" s="26" t="n">
        <v>6</v>
      </c>
      <c r="H8" s="31">
        <f>DATE(2026,9,11)</f>
        <v/>
      </c>
      <c r="I8" s="26" t="n">
        <v>3.3</v>
      </c>
      <c r="J8" s="26" t="n">
        <v>6</v>
      </c>
      <c r="K8" s="26" t="n">
        <v>6</v>
      </c>
      <c r="L8" s="32" t="n"/>
      <c r="M8" s="29" t="n"/>
      <c r="N8" s="29" t="n"/>
      <c r="O8" s="29" t="n"/>
      <c r="P8" s="32" t="n"/>
      <c r="Q8" s="29" t="n"/>
      <c r="R8" s="29" t="n"/>
      <c r="S8" s="29" t="n"/>
      <c r="T8" s="22">
        <f>IF(COUNT(F8,J8,N8,R8)=0,"",SUM(F8,J8,N8,R8))</f>
        <v/>
      </c>
      <c r="U8" s="22">
        <f>IF(COUNT(G8,K8,O8,S8)=0,"",SUM(G8,K8,O8,S8))</f>
        <v/>
      </c>
      <c r="V8" s="22">
        <f>IF(OR(T8="",U8=""),"",U8-T8)</f>
        <v/>
      </c>
      <c r="W8" s="22">
        <f>IF(Q8&lt;&gt;"",Q8,IF(M8&lt;&gt;"",M8,IF(I8&lt;&gt;"",I8,IF(E8&lt;&gt;"",E8,""))))</f>
        <v/>
      </c>
      <c r="X8" s="18">
        <f>IF(U8="","",U8*N(Produits!$E$7))</f>
        <v/>
      </c>
    </row>
    <row r="9">
      <c r="A9" s="33">
        <f>IF(Produits!$A$8="","",Produits!$A$8)</f>
        <v/>
      </c>
      <c r="B9" s="34">
        <f>IF(Produits!$A$8="","",Produits!$C$8)</f>
        <v/>
      </c>
      <c r="C9" s="34">
        <f>IF(Produits!$A$8="","",Produits!$D$8)</f>
        <v/>
      </c>
      <c r="D9" s="31">
        <f>DATE(2026,9,4)</f>
        <v/>
      </c>
      <c r="E9" s="26" t="n">
        <v>8</v>
      </c>
      <c r="F9" s="26" t="n">
        <v>10</v>
      </c>
      <c r="G9" s="26" t="n">
        <v>10</v>
      </c>
      <c r="H9" s="31">
        <f>DATE(2026,9,11)</f>
        <v/>
      </c>
      <c r="I9" s="26" t="n">
        <v>5.5</v>
      </c>
      <c r="J9" s="26" t="n">
        <v>10</v>
      </c>
      <c r="K9" s="26" t="n">
        <v>10</v>
      </c>
      <c r="L9" s="32" t="n"/>
      <c r="M9" s="29" t="n"/>
      <c r="N9" s="29" t="n"/>
      <c r="O9" s="29" t="n"/>
      <c r="P9" s="32" t="n"/>
      <c r="Q9" s="29" t="n"/>
      <c r="R9" s="29" t="n"/>
      <c r="S9" s="29" t="n"/>
      <c r="T9" s="22">
        <f>IF(COUNT(F9,J9,N9,R9)=0,"",SUM(F9,J9,N9,R9))</f>
        <v/>
      </c>
      <c r="U9" s="22">
        <f>IF(COUNT(G9,K9,O9,S9)=0,"",SUM(G9,K9,O9,S9))</f>
        <v/>
      </c>
      <c r="V9" s="22">
        <f>IF(OR(T9="",U9=""),"",U9-T9)</f>
        <v/>
      </c>
      <c r="W9" s="22">
        <f>IF(Q9&lt;&gt;"",Q9,IF(M9&lt;&gt;"",M9,IF(I9&lt;&gt;"",I9,IF(E9&lt;&gt;"",E9,""))))</f>
        <v/>
      </c>
      <c r="X9" s="18">
        <f>IF(U9="","",U9*N(Produits!$E$8))</f>
        <v/>
      </c>
    </row>
    <row r="10">
      <c r="A10" s="33">
        <f>IF(Produits!$A$9="","",Produits!$A$9)</f>
        <v/>
      </c>
      <c r="B10" s="34">
        <f>IF(Produits!$A$9="","",Produits!$C$9)</f>
        <v/>
      </c>
      <c r="C10" s="34">
        <f>IF(Produits!$A$9="","",Produits!$D$9)</f>
        <v/>
      </c>
      <c r="D10" s="31">
        <f>DATE(2026,9,4)</f>
        <v/>
      </c>
      <c r="E10" s="26" t="n">
        <v>3.2</v>
      </c>
      <c r="F10" s="26" t="n">
        <v>4</v>
      </c>
      <c r="G10" s="26" t="n">
        <v>4</v>
      </c>
      <c r="H10" s="31">
        <f>DATE(2026,9,11)</f>
        <v/>
      </c>
      <c r="I10" s="26" t="n">
        <v>2.2</v>
      </c>
      <c r="J10" s="26" t="n">
        <v>4</v>
      </c>
      <c r="K10" s="26" t="n">
        <v>4</v>
      </c>
      <c r="L10" s="32" t="n"/>
      <c r="M10" s="29" t="n"/>
      <c r="N10" s="29" t="n"/>
      <c r="O10" s="29" t="n"/>
      <c r="P10" s="32" t="n"/>
      <c r="Q10" s="29" t="n"/>
      <c r="R10" s="29" t="n"/>
      <c r="S10" s="29" t="n"/>
      <c r="T10" s="22">
        <f>IF(COUNT(F10,J10,N10,R10)=0,"",SUM(F10,J10,N10,R10))</f>
        <v/>
      </c>
      <c r="U10" s="22">
        <f>IF(COUNT(G10,K10,O10,S10)=0,"",SUM(G10,K10,O10,S10))</f>
        <v/>
      </c>
      <c r="V10" s="22">
        <f>IF(OR(T10="",U10=""),"",U10-T10)</f>
        <v/>
      </c>
      <c r="W10" s="22">
        <f>IF(Q10&lt;&gt;"",Q10,IF(M10&lt;&gt;"",M10,IF(I10&lt;&gt;"",I10,IF(E10&lt;&gt;"",E10,""))))</f>
        <v/>
      </c>
      <c r="X10" s="18">
        <f>IF(U10="","",U10*N(Produits!$E$9))</f>
        <v/>
      </c>
    </row>
    <row r="11">
      <c r="A11" s="33">
        <f>IF(Produits!$A$10="","",Produits!$A$10)</f>
        <v/>
      </c>
      <c r="B11" s="34">
        <f>IF(Produits!$A$10="","",Produits!$C$10)</f>
        <v/>
      </c>
      <c r="C11" s="34">
        <f>IF(Produits!$A$10="","",Produits!$D$10)</f>
        <v/>
      </c>
      <c r="D11" s="31">
        <f>DATE(2026,9,4)</f>
        <v/>
      </c>
      <c r="E11" s="26" t="n">
        <v>0.3</v>
      </c>
      <c r="F11" s="26" t="n">
        <v>0.4</v>
      </c>
      <c r="G11" s="26" t="n">
        <v>0.4</v>
      </c>
      <c r="H11" s="31">
        <f>DATE(2026,9,11)</f>
        <v/>
      </c>
      <c r="I11" s="26" t="n">
        <v>0.2</v>
      </c>
      <c r="J11" s="26" t="n">
        <v>0.4</v>
      </c>
      <c r="K11" s="26" t="n">
        <v>0.4</v>
      </c>
      <c r="L11" s="32" t="n"/>
      <c r="M11" s="29" t="n"/>
      <c r="N11" s="29" t="n"/>
      <c r="O11" s="29" t="n"/>
      <c r="P11" s="32" t="n"/>
      <c r="Q11" s="29" t="n"/>
      <c r="R11" s="29" t="n"/>
      <c r="S11" s="29" t="n"/>
      <c r="T11" s="22">
        <f>IF(COUNT(F11,J11,N11,R11)=0,"",SUM(F11,J11,N11,R11))</f>
        <v/>
      </c>
      <c r="U11" s="22">
        <f>IF(COUNT(G11,K11,O11,S11)=0,"",SUM(G11,K11,O11,S11))</f>
        <v/>
      </c>
      <c r="V11" s="22">
        <f>IF(OR(T11="",U11=""),"",U11-T11)</f>
        <v/>
      </c>
      <c r="W11" s="22">
        <f>IF(Q11&lt;&gt;"",Q11,IF(M11&lt;&gt;"",M11,IF(I11&lt;&gt;"",I11,IF(E11&lt;&gt;"",E11,""))))</f>
        <v/>
      </c>
      <c r="X11" s="18">
        <f>IF(U11="","",U11*N(Produits!$E$10))</f>
        <v/>
      </c>
    </row>
    <row r="12">
      <c r="A12" s="33">
        <f>IF(Produits!$A$11="","",Produits!$A$11)</f>
        <v/>
      </c>
      <c r="B12" s="34">
        <f>IF(Produits!$A$11="","",Produits!$C$11)</f>
        <v/>
      </c>
      <c r="C12" s="34">
        <f>IF(Produits!$A$11="","",Produits!$D$11)</f>
        <v/>
      </c>
      <c r="D12" s="31">
        <f>DATE(2026,9,4)</f>
        <v/>
      </c>
      <c r="E12" s="26" t="n">
        <v>0.8</v>
      </c>
      <c r="F12" s="26" t="n">
        <v>1</v>
      </c>
      <c r="G12" s="26" t="n">
        <v>1</v>
      </c>
      <c r="H12" s="31">
        <f>DATE(2026,9,11)</f>
        <v/>
      </c>
      <c r="I12" s="26" t="n">
        <v>0.6</v>
      </c>
      <c r="J12" s="26" t="n">
        <v>1</v>
      </c>
      <c r="K12" s="26" t="n">
        <v>1</v>
      </c>
      <c r="L12" s="32" t="n"/>
      <c r="M12" s="29" t="n"/>
      <c r="N12" s="29" t="n"/>
      <c r="O12" s="29" t="n"/>
      <c r="P12" s="32" t="n"/>
      <c r="Q12" s="29" t="n"/>
      <c r="R12" s="29" t="n"/>
      <c r="S12" s="29" t="n"/>
      <c r="T12" s="22">
        <f>IF(COUNT(F12,J12,N12,R12)=0,"",SUM(F12,J12,N12,R12))</f>
        <v/>
      </c>
      <c r="U12" s="22">
        <f>IF(COUNT(G12,K12,O12,S12)=0,"",SUM(G12,K12,O12,S12))</f>
        <v/>
      </c>
      <c r="V12" s="22">
        <f>IF(OR(T12="",U12=""),"",U12-T12)</f>
        <v/>
      </c>
      <c r="W12" s="22">
        <f>IF(Q12&lt;&gt;"",Q12,IF(M12&lt;&gt;"",M12,IF(I12&lt;&gt;"",I12,IF(E12&lt;&gt;"",E12,""))))</f>
        <v/>
      </c>
      <c r="X12" s="18">
        <f>IF(U12="","",U12*N(Produits!$E$11))</f>
        <v/>
      </c>
    </row>
    <row r="13">
      <c r="A13" s="33">
        <f>IF(Produits!$A$12="","",Produits!$A$12)</f>
        <v/>
      </c>
      <c r="B13" s="34">
        <f>IF(Produits!$A$12="","",Produits!$C$12)</f>
        <v/>
      </c>
      <c r="C13" s="34">
        <f>IF(Produits!$A$12="","",Produits!$D$12)</f>
        <v/>
      </c>
      <c r="D13" s="31">
        <f>DATE(2026,9,4)</f>
        <v/>
      </c>
      <c r="E13" s="26" t="n">
        <v>1.6</v>
      </c>
      <c r="F13" s="26" t="n">
        <v>2</v>
      </c>
      <c r="G13" s="26" t="n">
        <v>2</v>
      </c>
      <c r="H13" s="31">
        <f>DATE(2026,9,11)</f>
        <v/>
      </c>
      <c r="I13" s="26" t="n">
        <v>1.1</v>
      </c>
      <c r="J13" s="26" t="n">
        <v>2</v>
      </c>
      <c r="K13" s="26" t="n">
        <v>2</v>
      </c>
      <c r="L13" s="32" t="n"/>
      <c r="M13" s="29" t="n"/>
      <c r="N13" s="29" t="n"/>
      <c r="O13" s="29" t="n"/>
      <c r="P13" s="32" t="n"/>
      <c r="Q13" s="29" t="n"/>
      <c r="R13" s="29" t="n"/>
      <c r="S13" s="29" t="n"/>
      <c r="T13" s="22">
        <f>IF(COUNT(F13,J13,N13,R13)=0,"",SUM(F13,J13,N13,R13))</f>
        <v/>
      </c>
      <c r="U13" s="22">
        <f>IF(COUNT(G13,K13,O13,S13)=0,"",SUM(G13,K13,O13,S13))</f>
        <v/>
      </c>
      <c r="V13" s="22">
        <f>IF(OR(T13="",U13=""),"",U13-T13)</f>
        <v/>
      </c>
      <c r="W13" s="22">
        <f>IF(Q13&lt;&gt;"",Q13,IF(M13&lt;&gt;"",M13,IF(I13&lt;&gt;"",I13,IF(E13&lt;&gt;"",E13,""))))</f>
        <v/>
      </c>
      <c r="X13" s="18">
        <f>IF(U13="","",U13*N(Produits!$E$12))</f>
        <v/>
      </c>
    </row>
    <row r="14">
      <c r="A14" s="33">
        <f>IF(Produits!$A$13="","",Produits!$A$13)</f>
        <v/>
      </c>
      <c r="B14" s="34">
        <f>IF(Produits!$A$13="","",Produits!$C$13)</f>
        <v/>
      </c>
      <c r="C14" s="34">
        <f>IF(Produits!$A$13="","",Produits!$D$13)</f>
        <v/>
      </c>
      <c r="D14" s="31">
        <f>DATE(2026,9,4)</f>
        <v/>
      </c>
      <c r="E14" s="26" t="n">
        <v>1.6</v>
      </c>
      <c r="F14" s="26" t="n">
        <v>2</v>
      </c>
      <c r="G14" s="26" t="n">
        <v>2</v>
      </c>
      <c r="H14" s="31">
        <f>DATE(2026,9,11)</f>
        <v/>
      </c>
      <c r="I14" s="26" t="n">
        <v>1.1</v>
      </c>
      <c r="J14" s="26" t="n">
        <v>2</v>
      </c>
      <c r="K14" s="26" t="n">
        <v>2</v>
      </c>
      <c r="L14" s="32" t="n"/>
      <c r="M14" s="29" t="n"/>
      <c r="N14" s="29" t="n"/>
      <c r="O14" s="29" t="n"/>
      <c r="P14" s="32" t="n"/>
      <c r="Q14" s="29" t="n"/>
      <c r="R14" s="29" t="n"/>
      <c r="S14" s="29" t="n"/>
      <c r="T14" s="22">
        <f>IF(COUNT(F14,J14,N14,R14)=0,"",SUM(F14,J14,N14,R14))</f>
        <v/>
      </c>
      <c r="U14" s="22">
        <f>IF(COUNT(G14,K14,O14,S14)=0,"",SUM(G14,K14,O14,S14))</f>
        <v/>
      </c>
      <c r="V14" s="22">
        <f>IF(OR(T14="",U14=""),"",U14-T14)</f>
        <v/>
      </c>
      <c r="W14" s="22">
        <f>IF(Q14&lt;&gt;"",Q14,IF(M14&lt;&gt;"",M14,IF(I14&lt;&gt;"",I14,IF(E14&lt;&gt;"",E14,""))))</f>
        <v/>
      </c>
      <c r="X14" s="18">
        <f>IF(U14="","",U14*N(Produits!$E$13))</f>
        <v/>
      </c>
    </row>
    <row r="15">
      <c r="A15" s="33">
        <f>IF(Produits!$A$14="","",Produits!$A$14)</f>
        <v/>
      </c>
      <c r="B15" s="34">
        <f>IF(Produits!$A$14="","",Produits!$C$14)</f>
        <v/>
      </c>
      <c r="C15" s="34">
        <f>IF(Produits!$A$14="","",Produits!$D$14)</f>
        <v/>
      </c>
      <c r="D15" s="31">
        <f>DATE(2026,9,4)</f>
        <v/>
      </c>
      <c r="E15" s="26" t="n">
        <v>3.2</v>
      </c>
      <c r="F15" s="26" t="n">
        <v>4</v>
      </c>
      <c r="G15" s="26" t="n">
        <v>4</v>
      </c>
      <c r="H15" s="31">
        <f>DATE(2026,9,11)</f>
        <v/>
      </c>
      <c r="I15" s="26" t="n">
        <v>2.2</v>
      </c>
      <c r="J15" s="26" t="n">
        <v>4</v>
      </c>
      <c r="K15" s="26" t="n">
        <v>4</v>
      </c>
      <c r="L15" s="32" t="n"/>
      <c r="M15" s="29" t="n"/>
      <c r="N15" s="29" t="n"/>
      <c r="O15" s="29" t="n"/>
      <c r="P15" s="32" t="n"/>
      <c r="Q15" s="29" t="n"/>
      <c r="R15" s="29" t="n"/>
      <c r="S15" s="29" t="n"/>
      <c r="T15" s="22">
        <f>IF(COUNT(F15,J15,N15,R15)=0,"",SUM(F15,J15,N15,R15))</f>
        <v/>
      </c>
      <c r="U15" s="22">
        <f>IF(COUNT(G15,K15,O15,S15)=0,"",SUM(G15,K15,O15,S15))</f>
        <v/>
      </c>
      <c r="V15" s="22">
        <f>IF(OR(T15="",U15=""),"",U15-T15)</f>
        <v/>
      </c>
      <c r="W15" s="22">
        <f>IF(Q15&lt;&gt;"",Q15,IF(M15&lt;&gt;"",M15,IF(I15&lt;&gt;"",I15,IF(E15&lt;&gt;"",E15,""))))</f>
        <v/>
      </c>
      <c r="X15" s="18">
        <f>IF(U15="","",U15*N(Produits!$E$14))</f>
        <v/>
      </c>
    </row>
    <row r="16">
      <c r="A16" s="33">
        <f>IF(Produits!$A$15="","",Produits!$A$15)</f>
        <v/>
      </c>
      <c r="B16" s="34">
        <f>IF(Produits!$A$15="","",Produits!$C$15)</f>
        <v/>
      </c>
      <c r="C16" s="34">
        <f>IF(Produits!$A$15="","",Produits!$D$15)</f>
        <v/>
      </c>
      <c r="D16" s="31">
        <f>DATE(2026,9,4)</f>
        <v/>
      </c>
      <c r="E16" s="26" t="n">
        <v>1.6</v>
      </c>
      <c r="F16" s="26" t="n">
        <v>2</v>
      </c>
      <c r="G16" s="26" t="n">
        <v>2</v>
      </c>
      <c r="H16" s="31">
        <f>DATE(2026,9,11)</f>
        <v/>
      </c>
      <c r="I16" s="26" t="n">
        <v>1.1</v>
      </c>
      <c r="J16" s="26" t="n">
        <v>2</v>
      </c>
      <c r="K16" s="26" t="n">
        <v>2</v>
      </c>
      <c r="L16" s="32" t="n"/>
      <c r="M16" s="29" t="n"/>
      <c r="N16" s="29" t="n"/>
      <c r="O16" s="29" t="n"/>
      <c r="P16" s="32" t="n"/>
      <c r="Q16" s="29" t="n"/>
      <c r="R16" s="29" t="n"/>
      <c r="S16" s="29" t="n"/>
      <c r="T16" s="22">
        <f>IF(COUNT(F16,J16,N16,R16)=0,"",SUM(F16,J16,N16,R16))</f>
        <v/>
      </c>
      <c r="U16" s="22">
        <f>IF(COUNT(G16,K16,O16,S16)=0,"",SUM(G16,K16,O16,S16))</f>
        <v/>
      </c>
      <c r="V16" s="22">
        <f>IF(OR(T16="",U16=""),"",U16-T16)</f>
        <v/>
      </c>
      <c r="W16" s="22">
        <f>IF(Q16&lt;&gt;"",Q16,IF(M16&lt;&gt;"",M16,IF(I16&lt;&gt;"",I16,IF(E16&lt;&gt;"",E16,""))))</f>
        <v/>
      </c>
      <c r="X16" s="18">
        <f>IF(U16="","",U16*N(Produits!$E$15))</f>
        <v/>
      </c>
    </row>
    <row r="17">
      <c r="A17" s="33">
        <f>IF(Produits!$A$16="","",Produits!$A$16)</f>
        <v/>
      </c>
      <c r="B17" s="34">
        <f>IF(Produits!$A$16="","",Produits!$C$16)</f>
        <v/>
      </c>
      <c r="C17" s="34">
        <f>IF(Produits!$A$16="","",Produits!$D$16)</f>
        <v/>
      </c>
      <c r="D17" s="31">
        <f>DATE(2026,9,4)</f>
        <v/>
      </c>
      <c r="E17" s="26" t="n">
        <v>3.2</v>
      </c>
      <c r="F17" s="26" t="n">
        <v>4</v>
      </c>
      <c r="G17" s="26" t="n">
        <v>4</v>
      </c>
      <c r="H17" s="31">
        <f>DATE(2026,9,11)</f>
        <v/>
      </c>
      <c r="I17" s="26" t="n">
        <v>2.2</v>
      </c>
      <c r="J17" s="26" t="n">
        <v>4</v>
      </c>
      <c r="K17" s="26" t="n">
        <v>4</v>
      </c>
      <c r="L17" s="32" t="n"/>
      <c r="M17" s="29" t="n"/>
      <c r="N17" s="29" t="n"/>
      <c r="O17" s="29" t="n"/>
      <c r="P17" s="32" t="n"/>
      <c r="Q17" s="29" t="n"/>
      <c r="R17" s="29" t="n"/>
      <c r="S17" s="29" t="n"/>
      <c r="T17" s="22">
        <f>IF(COUNT(F17,J17,N17,R17)=0,"",SUM(F17,J17,N17,R17))</f>
        <v/>
      </c>
      <c r="U17" s="22">
        <f>IF(COUNT(G17,K17,O17,S17)=0,"",SUM(G17,K17,O17,S17))</f>
        <v/>
      </c>
      <c r="V17" s="22">
        <f>IF(OR(T17="",U17=""),"",U17-T17)</f>
        <v/>
      </c>
      <c r="W17" s="22">
        <f>IF(Q17&lt;&gt;"",Q17,IF(M17&lt;&gt;"",M17,IF(I17&lt;&gt;"",I17,IF(E17&lt;&gt;"",E17,""))))</f>
        <v/>
      </c>
      <c r="X17" s="18">
        <f>IF(U17="","",U17*N(Produits!$E$16))</f>
        <v/>
      </c>
    </row>
    <row r="18">
      <c r="A18" s="33">
        <f>IF(Produits!$A$17="","",Produits!$A$17)</f>
        <v/>
      </c>
      <c r="B18" s="34">
        <f>IF(Produits!$A$17="","",Produits!$C$17)</f>
        <v/>
      </c>
      <c r="C18" s="34">
        <f>IF(Produits!$A$17="","",Produits!$D$17)</f>
        <v/>
      </c>
      <c r="D18" s="31">
        <f>DATE(2026,9,4)</f>
        <v/>
      </c>
      <c r="E18" s="26" t="n">
        <v>0.8</v>
      </c>
      <c r="F18" s="26" t="n">
        <v>1</v>
      </c>
      <c r="G18" s="26" t="n">
        <v>1</v>
      </c>
      <c r="H18" s="31">
        <f>DATE(2026,9,11)</f>
        <v/>
      </c>
      <c r="I18" s="26" t="n">
        <v>0.6</v>
      </c>
      <c r="J18" s="26" t="n">
        <v>1</v>
      </c>
      <c r="K18" s="26" t="n">
        <v>1</v>
      </c>
      <c r="L18" s="32" t="n"/>
      <c r="M18" s="29" t="n"/>
      <c r="N18" s="29" t="n"/>
      <c r="O18" s="29" t="n"/>
      <c r="P18" s="32" t="n"/>
      <c r="Q18" s="29" t="n"/>
      <c r="R18" s="29" t="n"/>
      <c r="S18" s="29" t="n"/>
      <c r="T18" s="22">
        <f>IF(COUNT(F18,J18,N18,R18)=0,"",SUM(F18,J18,N18,R18))</f>
        <v/>
      </c>
      <c r="U18" s="22">
        <f>IF(COUNT(G18,K18,O18,S18)=0,"",SUM(G18,K18,O18,S18))</f>
        <v/>
      </c>
      <c r="V18" s="22">
        <f>IF(OR(T18="",U18=""),"",U18-T18)</f>
        <v/>
      </c>
      <c r="W18" s="22">
        <f>IF(Q18&lt;&gt;"",Q18,IF(M18&lt;&gt;"",M18,IF(I18&lt;&gt;"",I18,IF(E18&lt;&gt;"",E18,""))))</f>
        <v/>
      </c>
      <c r="X18" s="18">
        <f>IF(U18="","",U18*N(Produits!$E$17))</f>
        <v/>
      </c>
    </row>
    <row r="19">
      <c r="A19" s="33">
        <f>IF(Produits!$A$18="","",Produits!$A$18)</f>
        <v/>
      </c>
      <c r="B19" s="34">
        <f>IF(Produits!$A$18="","",Produits!$C$18)</f>
        <v/>
      </c>
      <c r="C19" s="34">
        <f>IF(Produits!$A$18="","",Produits!$D$18)</f>
        <v/>
      </c>
      <c r="D19" s="32" t="n"/>
      <c r="E19" s="29" t="n"/>
      <c r="F19" s="29" t="n"/>
      <c r="G19" s="29" t="n"/>
      <c r="H19" s="32" t="n"/>
      <c r="I19" s="29" t="n"/>
      <c r="J19" s="29" t="n"/>
      <c r="K19" s="29" t="n"/>
      <c r="L19" s="32" t="n"/>
      <c r="M19" s="29" t="n"/>
      <c r="N19" s="29" t="n"/>
      <c r="O19" s="29" t="n"/>
      <c r="P19" s="32" t="n"/>
      <c r="Q19" s="29" t="n"/>
      <c r="R19" s="29" t="n"/>
      <c r="S19" s="29" t="n"/>
      <c r="T19" s="22">
        <f>IF(COUNT(F19,J19,N19,R19)=0,"",SUM(F19,J19,N19,R19))</f>
        <v/>
      </c>
      <c r="U19" s="22">
        <f>IF(COUNT(G19,K19,O19,S19)=0,"",SUM(G19,K19,O19,S19))</f>
        <v/>
      </c>
      <c r="V19" s="22">
        <f>IF(OR(T19="",U19=""),"",U19-T19)</f>
        <v/>
      </c>
      <c r="W19" s="22">
        <f>IF(Q19&lt;&gt;"",Q19,IF(M19&lt;&gt;"",M19,IF(I19&lt;&gt;"",I19,IF(E19&lt;&gt;"",E19,""))))</f>
        <v/>
      </c>
      <c r="X19" s="18">
        <f>IF(U19="","",U19*N(Produits!$E$18))</f>
        <v/>
      </c>
    </row>
    <row r="20">
      <c r="A20" s="33">
        <f>IF(Produits!$A$19="","",Produits!$A$19)</f>
        <v/>
      </c>
      <c r="B20" s="34">
        <f>IF(Produits!$A$19="","",Produits!$C$19)</f>
        <v/>
      </c>
      <c r="C20" s="34">
        <f>IF(Produits!$A$19="","",Produits!$D$19)</f>
        <v/>
      </c>
      <c r="D20" s="32" t="n"/>
      <c r="E20" s="29" t="n"/>
      <c r="F20" s="29" t="n"/>
      <c r="G20" s="29" t="n"/>
      <c r="H20" s="32" t="n"/>
      <c r="I20" s="29" t="n"/>
      <c r="J20" s="29" t="n"/>
      <c r="K20" s="29" t="n"/>
      <c r="L20" s="32" t="n"/>
      <c r="M20" s="29" t="n"/>
      <c r="N20" s="29" t="n"/>
      <c r="O20" s="29" t="n"/>
      <c r="P20" s="32" t="n"/>
      <c r="Q20" s="29" t="n"/>
      <c r="R20" s="29" t="n"/>
      <c r="S20" s="29" t="n"/>
      <c r="T20" s="22">
        <f>IF(COUNT(F20,J20,N20,R20)=0,"",SUM(F20,J20,N20,R20))</f>
        <v/>
      </c>
      <c r="U20" s="22">
        <f>IF(COUNT(G20,K20,O20,S20)=0,"",SUM(G20,K20,O20,S20))</f>
        <v/>
      </c>
      <c r="V20" s="22">
        <f>IF(OR(T20="",U20=""),"",U20-T20)</f>
        <v/>
      </c>
      <c r="W20" s="22">
        <f>IF(Q20&lt;&gt;"",Q20,IF(M20&lt;&gt;"",M20,IF(I20&lt;&gt;"",I20,IF(E20&lt;&gt;"",E20,""))))</f>
        <v/>
      </c>
      <c r="X20" s="18">
        <f>IF(U20="","",U20*N(Produits!$E$19))</f>
        <v/>
      </c>
    </row>
    <row r="21">
      <c r="A21" s="33">
        <f>IF(Produits!$A$20="","",Produits!$A$20)</f>
        <v/>
      </c>
      <c r="B21" s="34">
        <f>IF(Produits!$A$20="","",Produits!$C$20)</f>
        <v/>
      </c>
      <c r="C21" s="34">
        <f>IF(Produits!$A$20="","",Produits!$D$20)</f>
        <v/>
      </c>
      <c r="D21" s="32" t="n"/>
      <c r="E21" s="29" t="n"/>
      <c r="F21" s="29" t="n"/>
      <c r="G21" s="29" t="n"/>
      <c r="H21" s="32" t="n"/>
      <c r="I21" s="29" t="n"/>
      <c r="J21" s="29" t="n"/>
      <c r="K21" s="29" t="n"/>
      <c r="L21" s="32" t="n"/>
      <c r="M21" s="29" t="n"/>
      <c r="N21" s="29" t="n"/>
      <c r="O21" s="29" t="n"/>
      <c r="P21" s="32" t="n"/>
      <c r="Q21" s="29" t="n"/>
      <c r="R21" s="29" t="n"/>
      <c r="S21" s="29" t="n"/>
      <c r="T21" s="22">
        <f>IF(COUNT(F21,J21,N21,R21)=0,"",SUM(F21,J21,N21,R21))</f>
        <v/>
      </c>
      <c r="U21" s="22">
        <f>IF(COUNT(G21,K21,O21,S21)=0,"",SUM(G21,K21,O21,S21))</f>
        <v/>
      </c>
      <c r="V21" s="22">
        <f>IF(OR(T21="",U21=""),"",U21-T21)</f>
        <v/>
      </c>
      <c r="W21" s="22">
        <f>IF(Q21&lt;&gt;"",Q21,IF(M21&lt;&gt;"",M21,IF(I21&lt;&gt;"",I21,IF(E21&lt;&gt;"",E21,""))))</f>
        <v/>
      </c>
      <c r="X21" s="18">
        <f>IF(U21="","",U21*N(Produits!$E$20))</f>
        <v/>
      </c>
    </row>
    <row r="22" ht="20" customHeight="1">
      <c r="A22" s="23" t="inlineStr">
        <is>
          <t>CHAMBRE FROIDE POSITIVE</t>
        </is>
      </c>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row>
    <row r="23">
      <c r="A23" s="33">
        <f>IF(Produits!$A$22="","",Produits!$A$22)</f>
        <v/>
      </c>
      <c r="B23" s="34">
        <f>IF(Produits!$A$22="","",Produits!$C$22)</f>
        <v/>
      </c>
      <c r="C23" s="34">
        <f>IF(Produits!$A$22="","",Produits!$D$22)</f>
        <v/>
      </c>
      <c r="D23" s="31">
        <f>DATE(2026,9,4)</f>
        <v/>
      </c>
      <c r="E23" s="26" t="n">
        <v>9.6</v>
      </c>
      <c r="F23" s="26" t="n">
        <v>12</v>
      </c>
      <c r="G23" s="26" t="n">
        <v>12</v>
      </c>
      <c r="H23" s="31">
        <f>DATE(2026,9,11)</f>
        <v/>
      </c>
      <c r="I23" s="26" t="n">
        <v>6.6</v>
      </c>
      <c r="J23" s="26" t="n">
        <v>12</v>
      </c>
      <c r="K23" s="26" t="n">
        <v>9</v>
      </c>
      <c r="L23" s="32" t="n"/>
      <c r="M23" s="29" t="n"/>
      <c r="N23" s="29" t="n"/>
      <c r="O23" s="29" t="n"/>
      <c r="P23" s="32" t="n"/>
      <c r="Q23" s="29" t="n"/>
      <c r="R23" s="29" t="n"/>
      <c r="S23" s="29" t="n"/>
      <c r="T23" s="22">
        <f>IF(COUNT(F23,J23,N23,R23)=0,"",SUM(F23,J23,N23,R23))</f>
        <v/>
      </c>
      <c r="U23" s="22">
        <f>IF(COUNT(G23,K23,O23,S23)=0,"",SUM(G23,K23,O23,S23))</f>
        <v/>
      </c>
      <c r="V23" s="22">
        <f>IF(OR(T23="",U23=""),"",U23-T23)</f>
        <v/>
      </c>
      <c r="W23" s="22">
        <f>IF(Q23&lt;&gt;"",Q23,IF(M23&lt;&gt;"",M23,IF(I23&lt;&gt;"",I23,IF(E23&lt;&gt;"",E23,""))))</f>
        <v/>
      </c>
      <c r="X23" s="18">
        <f>IF(U23="","",U23*N(Produits!$E$22))</f>
        <v/>
      </c>
    </row>
    <row r="24">
      <c r="A24" s="33">
        <f>IF(Produits!$A$23="","",Produits!$A$23)</f>
        <v/>
      </c>
      <c r="B24" s="34">
        <f>IF(Produits!$A$23="","",Produits!$C$23)</f>
        <v/>
      </c>
      <c r="C24" s="34">
        <f>IF(Produits!$A$23="","",Produits!$D$23)</f>
        <v/>
      </c>
      <c r="D24" s="31">
        <f>DATE(2026,9,4)</f>
        <v/>
      </c>
      <c r="E24" s="26" t="n">
        <v>6.4</v>
      </c>
      <c r="F24" s="26" t="n">
        <v>8</v>
      </c>
      <c r="G24" s="26" t="n">
        <v>8</v>
      </c>
      <c r="H24" s="31">
        <f>DATE(2026,9,11)</f>
        <v/>
      </c>
      <c r="I24" s="26" t="n">
        <v>4.4</v>
      </c>
      <c r="J24" s="26" t="n">
        <v>8</v>
      </c>
      <c r="K24" s="26" t="n">
        <v>8</v>
      </c>
      <c r="L24" s="32" t="n"/>
      <c r="M24" s="29" t="n"/>
      <c r="N24" s="29" t="n"/>
      <c r="O24" s="29" t="n"/>
      <c r="P24" s="32" t="n"/>
      <c r="Q24" s="29" t="n"/>
      <c r="R24" s="29" t="n"/>
      <c r="S24" s="29" t="n"/>
      <c r="T24" s="22">
        <f>IF(COUNT(F24,J24,N24,R24)=0,"",SUM(F24,J24,N24,R24))</f>
        <v/>
      </c>
      <c r="U24" s="22">
        <f>IF(COUNT(G24,K24,O24,S24)=0,"",SUM(G24,K24,O24,S24))</f>
        <v/>
      </c>
      <c r="V24" s="22">
        <f>IF(OR(T24="",U24=""),"",U24-T24)</f>
        <v/>
      </c>
      <c r="W24" s="22">
        <f>IF(Q24&lt;&gt;"",Q24,IF(M24&lt;&gt;"",M24,IF(I24&lt;&gt;"",I24,IF(E24&lt;&gt;"",E24,""))))</f>
        <v/>
      </c>
      <c r="X24" s="18">
        <f>IF(U24="","",U24*N(Produits!$E$23))</f>
        <v/>
      </c>
    </row>
    <row r="25">
      <c r="A25" s="33">
        <f>IF(Produits!$A$24="","",Produits!$A$24)</f>
        <v/>
      </c>
      <c r="B25" s="34">
        <f>IF(Produits!$A$24="","",Produits!$C$24)</f>
        <v/>
      </c>
      <c r="C25" s="34">
        <f>IF(Produits!$A$24="","",Produits!$D$24)</f>
        <v/>
      </c>
      <c r="D25" s="31">
        <f>DATE(2026,9,4)</f>
        <v/>
      </c>
      <c r="E25" s="26" t="n">
        <v>96</v>
      </c>
      <c r="F25" s="26" t="n">
        <v>120</v>
      </c>
      <c r="G25" s="26" t="n">
        <v>120</v>
      </c>
      <c r="H25" s="31">
        <f>DATE(2026,9,11)</f>
        <v/>
      </c>
      <c r="I25" s="26" t="n">
        <v>66</v>
      </c>
      <c r="J25" s="26" t="n">
        <v>120</v>
      </c>
      <c r="K25" s="26" t="n">
        <v>120</v>
      </c>
      <c r="L25" s="32" t="n"/>
      <c r="M25" s="29" t="n"/>
      <c r="N25" s="29" t="n"/>
      <c r="O25" s="29" t="n"/>
      <c r="P25" s="32" t="n"/>
      <c r="Q25" s="29" t="n"/>
      <c r="R25" s="29" t="n"/>
      <c r="S25" s="29" t="n"/>
      <c r="T25" s="22">
        <f>IF(COUNT(F25,J25,N25,R25)=0,"",SUM(F25,J25,N25,R25))</f>
        <v/>
      </c>
      <c r="U25" s="22">
        <f>IF(COUNT(G25,K25,O25,S25)=0,"",SUM(G25,K25,O25,S25))</f>
        <v/>
      </c>
      <c r="V25" s="22">
        <f>IF(OR(T25="",U25=""),"",U25-T25)</f>
        <v/>
      </c>
      <c r="W25" s="22">
        <f>IF(Q25&lt;&gt;"",Q25,IF(M25&lt;&gt;"",M25,IF(I25&lt;&gt;"",I25,IF(E25&lt;&gt;"",E25,""))))</f>
        <v/>
      </c>
      <c r="X25" s="18">
        <f>IF(U25="","",U25*N(Produits!$E$24))</f>
        <v/>
      </c>
    </row>
    <row r="26">
      <c r="A26" s="33">
        <f>IF(Produits!$A$25="","",Produits!$A$25)</f>
        <v/>
      </c>
      <c r="B26" s="34">
        <f>IF(Produits!$A$25="","",Produits!$C$25)</f>
        <v/>
      </c>
      <c r="C26" s="34">
        <f>IF(Produits!$A$25="","",Produits!$D$25)</f>
        <v/>
      </c>
      <c r="D26" s="31">
        <f>DATE(2026,9,4)</f>
        <v/>
      </c>
      <c r="E26" s="26" t="n">
        <v>8</v>
      </c>
      <c r="F26" s="26" t="n">
        <v>10</v>
      </c>
      <c r="G26" s="26" t="n">
        <v>10</v>
      </c>
      <c r="H26" s="31">
        <f>DATE(2026,9,11)</f>
        <v/>
      </c>
      <c r="I26" s="26" t="n">
        <v>5.5</v>
      </c>
      <c r="J26" s="26" t="n">
        <v>10</v>
      </c>
      <c r="K26" s="26" t="n">
        <v>10</v>
      </c>
      <c r="L26" s="32" t="n"/>
      <c r="M26" s="29" t="n"/>
      <c r="N26" s="29" t="n"/>
      <c r="O26" s="29" t="n"/>
      <c r="P26" s="32" t="n"/>
      <c r="Q26" s="29" t="n"/>
      <c r="R26" s="29" t="n"/>
      <c r="S26" s="29" t="n"/>
      <c r="T26" s="22">
        <f>IF(COUNT(F26,J26,N26,R26)=0,"",SUM(F26,J26,N26,R26))</f>
        <v/>
      </c>
      <c r="U26" s="22">
        <f>IF(COUNT(G26,K26,O26,S26)=0,"",SUM(G26,K26,O26,S26))</f>
        <v/>
      </c>
      <c r="V26" s="22">
        <f>IF(OR(T26="",U26=""),"",U26-T26)</f>
        <v/>
      </c>
      <c r="W26" s="22">
        <f>IF(Q26&lt;&gt;"",Q26,IF(M26&lt;&gt;"",M26,IF(I26&lt;&gt;"",I26,IF(E26&lt;&gt;"",E26,""))))</f>
        <v/>
      </c>
      <c r="X26" s="18">
        <f>IF(U26="","",U26*N(Produits!$E$25))</f>
        <v/>
      </c>
    </row>
    <row r="27">
      <c r="A27" s="33">
        <f>IF(Produits!$A$26="","",Produits!$A$26)</f>
        <v/>
      </c>
      <c r="B27" s="34">
        <f>IF(Produits!$A$26="","",Produits!$C$26)</f>
        <v/>
      </c>
      <c r="C27" s="34">
        <f>IF(Produits!$A$26="","",Produits!$D$26)</f>
        <v/>
      </c>
      <c r="D27" s="32" t="n"/>
      <c r="E27" s="29" t="n"/>
      <c r="F27" s="29" t="n"/>
      <c r="G27" s="29" t="n"/>
      <c r="H27" s="32" t="n"/>
      <c r="I27" s="29" t="n"/>
      <c r="J27" s="29" t="n"/>
      <c r="K27" s="29" t="n"/>
      <c r="L27" s="32" t="n"/>
      <c r="M27" s="29" t="n"/>
      <c r="N27" s="29" t="n"/>
      <c r="O27" s="29" t="n"/>
      <c r="P27" s="32" t="n"/>
      <c r="Q27" s="29" t="n"/>
      <c r="R27" s="29" t="n"/>
      <c r="S27" s="29" t="n"/>
      <c r="T27" s="22">
        <f>IF(COUNT(F27,J27,N27,R27)=0,"",SUM(F27,J27,N27,R27))</f>
        <v/>
      </c>
      <c r="U27" s="22">
        <f>IF(COUNT(G27,K27,O27,S27)=0,"",SUM(G27,K27,O27,S27))</f>
        <v/>
      </c>
      <c r="V27" s="22">
        <f>IF(OR(T27="",U27=""),"",U27-T27)</f>
        <v/>
      </c>
      <c r="W27" s="22">
        <f>IF(Q27&lt;&gt;"",Q27,IF(M27&lt;&gt;"",M27,IF(I27&lt;&gt;"",I27,IF(E27&lt;&gt;"",E27,""))))</f>
        <v/>
      </c>
      <c r="X27" s="18">
        <f>IF(U27="","",U27*N(Produits!$E$26))</f>
        <v/>
      </c>
    </row>
    <row r="28">
      <c r="A28" s="33">
        <f>IF(Produits!$A$27="","",Produits!$A$27)</f>
        <v/>
      </c>
      <c r="B28" s="34">
        <f>IF(Produits!$A$27="","",Produits!$C$27)</f>
        <v/>
      </c>
      <c r="C28" s="34">
        <f>IF(Produits!$A$27="","",Produits!$D$27)</f>
        <v/>
      </c>
      <c r="D28" s="32" t="n"/>
      <c r="E28" s="29" t="n"/>
      <c r="F28" s="29" t="n"/>
      <c r="G28" s="29" t="n"/>
      <c r="H28" s="32" t="n"/>
      <c r="I28" s="29" t="n"/>
      <c r="J28" s="29" t="n"/>
      <c r="K28" s="29" t="n"/>
      <c r="L28" s="32" t="n"/>
      <c r="M28" s="29" t="n"/>
      <c r="N28" s="29" t="n"/>
      <c r="O28" s="29" t="n"/>
      <c r="P28" s="32" t="n"/>
      <c r="Q28" s="29" t="n"/>
      <c r="R28" s="29" t="n"/>
      <c r="S28" s="29" t="n"/>
      <c r="T28" s="22">
        <f>IF(COUNT(F28,J28,N28,R28)=0,"",SUM(F28,J28,N28,R28))</f>
        <v/>
      </c>
      <c r="U28" s="22">
        <f>IF(COUNT(G28,K28,O28,S28)=0,"",SUM(G28,K28,O28,S28))</f>
        <v/>
      </c>
      <c r="V28" s="22">
        <f>IF(OR(T28="",U28=""),"",U28-T28)</f>
        <v/>
      </c>
      <c r="W28" s="22">
        <f>IF(Q28&lt;&gt;"",Q28,IF(M28&lt;&gt;"",M28,IF(I28&lt;&gt;"",I28,IF(E28&lt;&gt;"",E28,""))))</f>
        <v/>
      </c>
      <c r="X28" s="18">
        <f>IF(U28="","",U28*N(Produits!$E$27))</f>
        <v/>
      </c>
    </row>
    <row r="29">
      <c r="A29" s="33">
        <f>IF(Produits!$A$28="","",Produits!$A$28)</f>
        <v/>
      </c>
      <c r="B29" s="34">
        <f>IF(Produits!$A$28="","",Produits!$C$28)</f>
        <v/>
      </c>
      <c r="C29" s="34">
        <f>IF(Produits!$A$28="","",Produits!$D$28)</f>
        <v/>
      </c>
      <c r="D29" s="32" t="n"/>
      <c r="E29" s="29" t="n"/>
      <c r="F29" s="29" t="n"/>
      <c r="G29" s="29" t="n"/>
      <c r="H29" s="32" t="n"/>
      <c r="I29" s="29" t="n"/>
      <c r="J29" s="29" t="n"/>
      <c r="K29" s="29" t="n"/>
      <c r="L29" s="32" t="n"/>
      <c r="M29" s="29" t="n"/>
      <c r="N29" s="29" t="n"/>
      <c r="O29" s="29" t="n"/>
      <c r="P29" s="32" t="n"/>
      <c r="Q29" s="29" t="n"/>
      <c r="R29" s="29" t="n"/>
      <c r="S29" s="29" t="n"/>
      <c r="T29" s="22">
        <f>IF(COUNT(F29,J29,N29,R29)=0,"",SUM(F29,J29,N29,R29))</f>
        <v/>
      </c>
      <c r="U29" s="22">
        <f>IF(COUNT(G29,K29,O29,S29)=0,"",SUM(G29,K29,O29,S29))</f>
        <v/>
      </c>
      <c r="V29" s="22">
        <f>IF(OR(T29="",U29=""),"",U29-T29)</f>
        <v/>
      </c>
      <c r="W29" s="22">
        <f>IF(Q29&lt;&gt;"",Q29,IF(M29&lt;&gt;"",M29,IF(I29&lt;&gt;"",I29,IF(E29&lt;&gt;"",E29,""))))</f>
        <v/>
      </c>
      <c r="X29" s="18">
        <f>IF(U29="","",U29*N(Produits!$E$28))</f>
        <v/>
      </c>
    </row>
    <row r="30">
      <c r="A30" s="33">
        <f>IF(Produits!$A$29="","",Produits!$A$29)</f>
        <v/>
      </c>
      <c r="B30" s="34">
        <f>IF(Produits!$A$29="","",Produits!$C$29)</f>
        <v/>
      </c>
      <c r="C30" s="34">
        <f>IF(Produits!$A$29="","",Produits!$D$29)</f>
        <v/>
      </c>
      <c r="D30" s="32" t="n"/>
      <c r="E30" s="29" t="n"/>
      <c r="F30" s="29" t="n"/>
      <c r="G30" s="29" t="n"/>
      <c r="H30" s="32" t="n"/>
      <c r="I30" s="29" t="n"/>
      <c r="J30" s="29" t="n"/>
      <c r="K30" s="29" t="n"/>
      <c r="L30" s="32" t="n"/>
      <c r="M30" s="29" t="n"/>
      <c r="N30" s="29" t="n"/>
      <c r="O30" s="29" t="n"/>
      <c r="P30" s="32" t="n"/>
      <c r="Q30" s="29" t="n"/>
      <c r="R30" s="29" t="n"/>
      <c r="S30" s="29" t="n"/>
      <c r="T30" s="22">
        <f>IF(COUNT(F30,J30,N30,R30)=0,"",SUM(F30,J30,N30,R30))</f>
        <v/>
      </c>
      <c r="U30" s="22">
        <f>IF(COUNT(G30,K30,O30,S30)=0,"",SUM(G30,K30,O30,S30))</f>
        <v/>
      </c>
      <c r="V30" s="22">
        <f>IF(OR(T30="",U30=""),"",U30-T30)</f>
        <v/>
      </c>
      <c r="W30" s="22">
        <f>IF(Q30&lt;&gt;"",Q30,IF(M30&lt;&gt;"",M30,IF(I30&lt;&gt;"",I30,IF(E30&lt;&gt;"",E30,""))))</f>
        <v/>
      </c>
      <c r="X30" s="18">
        <f>IF(U30="","",U30*N(Produits!$E$29))</f>
        <v/>
      </c>
    </row>
    <row r="31">
      <c r="A31" s="33">
        <f>IF(Produits!$A$30="","",Produits!$A$30)</f>
        <v/>
      </c>
      <c r="B31" s="34">
        <f>IF(Produits!$A$30="","",Produits!$C$30)</f>
        <v/>
      </c>
      <c r="C31" s="34">
        <f>IF(Produits!$A$30="","",Produits!$D$30)</f>
        <v/>
      </c>
      <c r="D31" s="32" t="n"/>
      <c r="E31" s="29" t="n"/>
      <c r="F31" s="29" t="n"/>
      <c r="G31" s="29" t="n"/>
      <c r="H31" s="32" t="n"/>
      <c r="I31" s="29" t="n"/>
      <c r="J31" s="29" t="n"/>
      <c r="K31" s="29" t="n"/>
      <c r="L31" s="32" t="n"/>
      <c r="M31" s="29" t="n"/>
      <c r="N31" s="29" t="n"/>
      <c r="O31" s="29" t="n"/>
      <c r="P31" s="32" t="n"/>
      <c r="Q31" s="29" t="n"/>
      <c r="R31" s="29" t="n"/>
      <c r="S31" s="29" t="n"/>
      <c r="T31" s="22">
        <f>IF(COUNT(F31,J31,N31,R31)=0,"",SUM(F31,J31,N31,R31))</f>
        <v/>
      </c>
      <c r="U31" s="22">
        <f>IF(COUNT(G31,K31,O31,S31)=0,"",SUM(G31,K31,O31,S31))</f>
        <v/>
      </c>
      <c r="V31" s="22">
        <f>IF(OR(T31="",U31=""),"",U31-T31)</f>
        <v/>
      </c>
      <c r="W31" s="22">
        <f>IF(Q31&lt;&gt;"",Q31,IF(M31&lt;&gt;"",M31,IF(I31&lt;&gt;"",I31,IF(E31&lt;&gt;"",E31,""))))</f>
        <v/>
      </c>
      <c r="X31" s="18">
        <f>IF(U31="","",U31*N(Produits!$E$30))</f>
        <v/>
      </c>
    </row>
    <row r="32">
      <c r="A32" s="33">
        <f>IF(Produits!$A$31="","",Produits!$A$31)</f>
        <v/>
      </c>
      <c r="B32" s="34">
        <f>IF(Produits!$A$31="","",Produits!$C$31)</f>
        <v/>
      </c>
      <c r="C32" s="34">
        <f>IF(Produits!$A$31="","",Produits!$D$31)</f>
        <v/>
      </c>
      <c r="D32" s="32" t="n"/>
      <c r="E32" s="29" t="n"/>
      <c r="F32" s="29" t="n"/>
      <c r="G32" s="29" t="n"/>
      <c r="H32" s="32" t="n"/>
      <c r="I32" s="29" t="n"/>
      <c r="J32" s="29" t="n"/>
      <c r="K32" s="29" t="n"/>
      <c r="L32" s="32" t="n"/>
      <c r="M32" s="29" t="n"/>
      <c r="N32" s="29" t="n"/>
      <c r="O32" s="29" t="n"/>
      <c r="P32" s="32" t="n"/>
      <c r="Q32" s="29" t="n"/>
      <c r="R32" s="29" t="n"/>
      <c r="S32" s="29" t="n"/>
      <c r="T32" s="22">
        <f>IF(COUNT(F32,J32,N32,R32)=0,"",SUM(F32,J32,N32,R32))</f>
        <v/>
      </c>
      <c r="U32" s="22">
        <f>IF(COUNT(G32,K32,O32,S32)=0,"",SUM(G32,K32,O32,S32))</f>
        <v/>
      </c>
      <c r="V32" s="22">
        <f>IF(OR(T32="",U32=""),"",U32-T32)</f>
        <v/>
      </c>
      <c r="W32" s="22">
        <f>IF(Q32&lt;&gt;"",Q32,IF(M32&lt;&gt;"",M32,IF(I32&lt;&gt;"",I32,IF(E32&lt;&gt;"",E32,""))))</f>
        <v/>
      </c>
      <c r="X32" s="18">
        <f>IF(U32="","",U32*N(Produits!$E$31))</f>
        <v/>
      </c>
    </row>
    <row r="33">
      <c r="A33" s="33">
        <f>IF(Produits!$A$32="","",Produits!$A$32)</f>
        <v/>
      </c>
      <c r="B33" s="34">
        <f>IF(Produits!$A$32="","",Produits!$C$32)</f>
        <v/>
      </c>
      <c r="C33" s="34">
        <f>IF(Produits!$A$32="","",Produits!$D$32)</f>
        <v/>
      </c>
      <c r="D33" s="32" t="n"/>
      <c r="E33" s="29" t="n"/>
      <c r="F33" s="29" t="n"/>
      <c r="G33" s="29" t="n"/>
      <c r="H33" s="32" t="n"/>
      <c r="I33" s="29" t="n"/>
      <c r="J33" s="29" t="n"/>
      <c r="K33" s="29" t="n"/>
      <c r="L33" s="32" t="n"/>
      <c r="M33" s="29" t="n"/>
      <c r="N33" s="29" t="n"/>
      <c r="O33" s="29" t="n"/>
      <c r="P33" s="32" t="n"/>
      <c r="Q33" s="29" t="n"/>
      <c r="R33" s="29" t="n"/>
      <c r="S33" s="29" t="n"/>
      <c r="T33" s="22">
        <f>IF(COUNT(F33,J33,N33,R33)=0,"",SUM(F33,J33,N33,R33))</f>
        <v/>
      </c>
      <c r="U33" s="22">
        <f>IF(COUNT(G33,K33,O33,S33)=0,"",SUM(G33,K33,O33,S33))</f>
        <v/>
      </c>
      <c r="V33" s="22">
        <f>IF(OR(T33="",U33=""),"",U33-T33)</f>
        <v/>
      </c>
      <c r="W33" s="22">
        <f>IF(Q33&lt;&gt;"",Q33,IF(M33&lt;&gt;"",M33,IF(I33&lt;&gt;"",I33,IF(E33&lt;&gt;"",E33,""))))</f>
        <v/>
      </c>
      <c r="X33" s="18">
        <f>IF(U33="","",U33*N(Produits!$E$32))</f>
        <v/>
      </c>
    </row>
    <row r="34">
      <c r="A34" s="33">
        <f>IF(Produits!$A$33="","",Produits!$A$33)</f>
        <v/>
      </c>
      <c r="B34" s="34">
        <f>IF(Produits!$A$33="","",Produits!$C$33)</f>
        <v/>
      </c>
      <c r="C34" s="34">
        <f>IF(Produits!$A$33="","",Produits!$D$33)</f>
        <v/>
      </c>
      <c r="D34" s="32" t="n"/>
      <c r="E34" s="29" t="n"/>
      <c r="F34" s="29" t="n"/>
      <c r="G34" s="29" t="n"/>
      <c r="H34" s="32" t="n"/>
      <c r="I34" s="29" t="n"/>
      <c r="J34" s="29" t="n"/>
      <c r="K34" s="29" t="n"/>
      <c r="L34" s="32" t="n"/>
      <c r="M34" s="29" t="n"/>
      <c r="N34" s="29" t="n"/>
      <c r="O34" s="29" t="n"/>
      <c r="P34" s="32" t="n"/>
      <c r="Q34" s="29" t="n"/>
      <c r="R34" s="29" t="n"/>
      <c r="S34" s="29" t="n"/>
      <c r="T34" s="22">
        <f>IF(COUNT(F34,J34,N34,R34)=0,"",SUM(F34,J34,N34,R34))</f>
        <v/>
      </c>
      <c r="U34" s="22">
        <f>IF(COUNT(G34,K34,O34,S34)=0,"",SUM(G34,K34,O34,S34))</f>
        <v/>
      </c>
      <c r="V34" s="22">
        <f>IF(OR(T34="",U34=""),"",U34-T34)</f>
        <v/>
      </c>
      <c r="W34" s="22">
        <f>IF(Q34&lt;&gt;"",Q34,IF(M34&lt;&gt;"",M34,IF(I34&lt;&gt;"",I34,IF(E34&lt;&gt;"",E34,""))))</f>
        <v/>
      </c>
      <c r="X34" s="18">
        <f>IF(U34="","",U34*N(Produits!$E$33))</f>
        <v/>
      </c>
    </row>
    <row r="35">
      <c r="A35" s="33">
        <f>IF(Produits!$A$34="","",Produits!$A$34)</f>
        <v/>
      </c>
      <c r="B35" s="34">
        <f>IF(Produits!$A$34="","",Produits!$C$34)</f>
        <v/>
      </c>
      <c r="C35" s="34">
        <f>IF(Produits!$A$34="","",Produits!$D$34)</f>
        <v/>
      </c>
      <c r="D35" s="32" t="n"/>
      <c r="E35" s="29" t="n"/>
      <c r="F35" s="29" t="n"/>
      <c r="G35" s="29" t="n"/>
      <c r="H35" s="32" t="n"/>
      <c r="I35" s="29" t="n"/>
      <c r="J35" s="29" t="n"/>
      <c r="K35" s="29" t="n"/>
      <c r="L35" s="32" t="n"/>
      <c r="M35" s="29" t="n"/>
      <c r="N35" s="29" t="n"/>
      <c r="O35" s="29" t="n"/>
      <c r="P35" s="32" t="n"/>
      <c r="Q35" s="29" t="n"/>
      <c r="R35" s="29" t="n"/>
      <c r="S35" s="29" t="n"/>
      <c r="T35" s="22">
        <f>IF(COUNT(F35,J35,N35,R35)=0,"",SUM(F35,J35,N35,R35))</f>
        <v/>
      </c>
      <c r="U35" s="22">
        <f>IF(COUNT(G35,K35,O35,S35)=0,"",SUM(G35,K35,O35,S35))</f>
        <v/>
      </c>
      <c r="V35" s="22">
        <f>IF(OR(T35="",U35=""),"",U35-T35)</f>
        <v/>
      </c>
      <c r="W35" s="22">
        <f>IF(Q35&lt;&gt;"",Q35,IF(M35&lt;&gt;"",M35,IF(I35&lt;&gt;"",I35,IF(E35&lt;&gt;"",E35,""))))</f>
        <v/>
      </c>
      <c r="X35" s="18">
        <f>IF(U35="","",U35*N(Produits!$E$34))</f>
        <v/>
      </c>
    </row>
    <row r="36">
      <c r="A36" s="33">
        <f>IF(Produits!$A$35="","",Produits!$A$35)</f>
        <v/>
      </c>
      <c r="B36" s="34">
        <f>IF(Produits!$A$35="","",Produits!$C$35)</f>
        <v/>
      </c>
      <c r="C36" s="34">
        <f>IF(Produits!$A$35="","",Produits!$D$35)</f>
        <v/>
      </c>
      <c r="D36" s="32" t="n"/>
      <c r="E36" s="29" t="n"/>
      <c r="F36" s="29" t="n"/>
      <c r="G36" s="29" t="n"/>
      <c r="H36" s="32" t="n"/>
      <c r="I36" s="29" t="n"/>
      <c r="J36" s="29" t="n"/>
      <c r="K36" s="29" t="n"/>
      <c r="L36" s="32" t="n"/>
      <c r="M36" s="29" t="n"/>
      <c r="N36" s="29" t="n"/>
      <c r="O36" s="29" t="n"/>
      <c r="P36" s="32" t="n"/>
      <c r="Q36" s="29" t="n"/>
      <c r="R36" s="29" t="n"/>
      <c r="S36" s="29" t="n"/>
      <c r="T36" s="22">
        <f>IF(COUNT(F36,J36,N36,R36)=0,"",SUM(F36,J36,N36,R36))</f>
        <v/>
      </c>
      <c r="U36" s="22">
        <f>IF(COUNT(G36,K36,O36,S36)=0,"",SUM(G36,K36,O36,S36))</f>
        <v/>
      </c>
      <c r="V36" s="22">
        <f>IF(OR(T36="",U36=""),"",U36-T36)</f>
        <v/>
      </c>
      <c r="W36" s="22">
        <f>IF(Q36&lt;&gt;"",Q36,IF(M36&lt;&gt;"",M36,IF(I36&lt;&gt;"",I36,IF(E36&lt;&gt;"",E36,""))))</f>
        <v/>
      </c>
      <c r="X36" s="18">
        <f>IF(U36="","",U36*N(Produits!$E$35))</f>
        <v/>
      </c>
    </row>
    <row r="37">
      <c r="A37" s="33">
        <f>IF(Produits!$A$36="","",Produits!$A$36)</f>
        <v/>
      </c>
      <c r="B37" s="34">
        <f>IF(Produits!$A$36="","",Produits!$C$36)</f>
        <v/>
      </c>
      <c r="C37" s="34">
        <f>IF(Produits!$A$36="","",Produits!$D$36)</f>
        <v/>
      </c>
      <c r="D37" s="32" t="n"/>
      <c r="E37" s="29" t="n"/>
      <c r="F37" s="29" t="n"/>
      <c r="G37" s="29" t="n"/>
      <c r="H37" s="32" t="n"/>
      <c r="I37" s="29" t="n"/>
      <c r="J37" s="29" t="n"/>
      <c r="K37" s="29" t="n"/>
      <c r="L37" s="32" t="n"/>
      <c r="M37" s="29" t="n"/>
      <c r="N37" s="29" t="n"/>
      <c r="O37" s="29" t="n"/>
      <c r="P37" s="32" t="n"/>
      <c r="Q37" s="29" t="n"/>
      <c r="R37" s="29" t="n"/>
      <c r="S37" s="29" t="n"/>
      <c r="T37" s="22">
        <f>IF(COUNT(F37,J37,N37,R37)=0,"",SUM(F37,J37,N37,R37))</f>
        <v/>
      </c>
      <c r="U37" s="22">
        <f>IF(COUNT(G37,K37,O37,S37)=0,"",SUM(G37,K37,O37,S37))</f>
        <v/>
      </c>
      <c r="V37" s="22">
        <f>IF(OR(T37="",U37=""),"",U37-T37)</f>
        <v/>
      </c>
      <c r="W37" s="22">
        <f>IF(Q37&lt;&gt;"",Q37,IF(M37&lt;&gt;"",M37,IF(I37&lt;&gt;"",I37,IF(E37&lt;&gt;"",E37,""))))</f>
        <v/>
      </c>
      <c r="X37" s="18">
        <f>IF(U37="","",U37*N(Produits!$E$36))</f>
        <v/>
      </c>
    </row>
    <row r="38" ht="20" customHeight="1">
      <c r="A38" s="23" t="inlineStr">
        <is>
          <t>CHAMBRE FROIDE NÉGATIVE</t>
        </is>
      </c>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row>
    <row r="39">
      <c r="A39" s="33">
        <f>IF(Produits!$A$38="","",Produits!$A$38)</f>
        <v/>
      </c>
      <c r="B39" s="34">
        <f>IF(Produits!$A$38="","",Produits!$C$38)</f>
        <v/>
      </c>
      <c r="C39" s="34">
        <f>IF(Produits!$A$38="","",Produits!$D$38)</f>
        <v/>
      </c>
      <c r="D39" s="31">
        <f>DATE(2026,9,4)</f>
        <v/>
      </c>
      <c r="E39" s="26" t="n">
        <v>3.2</v>
      </c>
      <c r="F39" s="26" t="n">
        <v>4</v>
      </c>
      <c r="G39" s="26" t="n">
        <v>4</v>
      </c>
      <c r="H39" s="31">
        <f>DATE(2026,9,11)</f>
        <v/>
      </c>
      <c r="I39" s="26" t="n">
        <v>2.2</v>
      </c>
      <c r="J39" s="26" t="n">
        <v>4</v>
      </c>
      <c r="K39" s="26" t="n">
        <v>4</v>
      </c>
      <c r="L39" s="32" t="n"/>
      <c r="M39" s="29" t="n"/>
      <c r="N39" s="29" t="n"/>
      <c r="O39" s="29" t="n"/>
      <c r="P39" s="32" t="n"/>
      <c r="Q39" s="29" t="n"/>
      <c r="R39" s="29" t="n"/>
      <c r="S39" s="29" t="n"/>
      <c r="T39" s="22">
        <f>IF(COUNT(F39,J39,N39,R39)=0,"",SUM(F39,J39,N39,R39))</f>
        <v/>
      </c>
      <c r="U39" s="22">
        <f>IF(COUNT(G39,K39,O39,S39)=0,"",SUM(G39,K39,O39,S39))</f>
        <v/>
      </c>
      <c r="V39" s="22">
        <f>IF(OR(T39="",U39=""),"",U39-T39)</f>
        <v/>
      </c>
      <c r="W39" s="22">
        <f>IF(Q39&lt;&gt;"",Q39,IF(M39&lt;&gt;"",M39,IF(I39&lt;&gt;"",I39,IF(E39&lt;&gt;"",E39,""))))</f>
        <v/>
      </c>
      <c r="X39" s="18">
        <f>IF(U39="","",U39*N(Produits!$E$38))</f>
        <v/>
      </c>
    </row>
    <row r="40">
      <c r="A40" s="33">
        <f>IF(Produits!$A$39="","",Produits!$A$39)</f>
        <v/>
      </c>
      <c r="B40" s="34">
        <f>IF(Produits!$A$39="","",Produits!$C$39)</f>
        <v/>
      </c>
      <c r="C40" s="34">
        <f>IF(Produits!$A$39="","",Produits!$D$39)</f>
        <v/>
      </c>
      <c r="D40" s="31">
        <f>DATE(2026,9,4)</f>
        <v/>
      </c>
      <c r="E40" s="26" t="n">
        <v>1.6</v>
      </c>
      <c r="F40" s="26" t="n">
        <v>2</v>
      </c>
      <c r="G40" s="26" t="n">
        <v>2</v>
      </c>
      <c r="H40" s="31">
        <f>DATE(2026,9,11)</f>
        <v/>
      </c>
      <c r="I40" s="26" t="n">
        <v>1.1</v>
      </c>
      <c r="J40" s="26" t="n">
        <v>2</v>
      </c>
      <c r="K40" s="26" t="n">
        <v>2</v>
      </c>
      <c r="L40" s="32" t="n"/>
      <c r="M40" s="29" t="n"/>
      <c r="N40" s="29" t="n"/>
      <c r="O40" s="29" t="n"/>
      <c r="P40" s="32" t="n"/>
      <c r="Q40" s="29" t="n"/>
      <c r="R40" s="29" t="n"/>
      <c r="S40" s="29" t="n"/>
      <c r="T40" s="22">
        <f>IF(COUNT(F40,J40,N40,R40)=0,"",SUM(F40,J40,N40,R40))</f>
        <v/>
      </c>
      <c r="U40" s="22">
        <f>IF(COUNT(G40,K40,O40,S40)=0,"",SUM(G40,K40,O40,S40))</f>
        <v/>
      </c>
      <c r="V40" s="22">
        <f>IF(OR(T40="",U40=""),"",U40-T40)</f>
        <v/>
      </c>
      <c r="W40" s="22">
        <f>IF(Q40&lt;&gt;"",Q40,IF(M40&lt;&gt;"",M40,IF(I40&lt;&gt;"",I40,IF(E40&lt;&gt;"",E40,""))))</f>
        <v/>
      </c>
      <c r="X40" s="18">
        <f>IF(U40="","",U40*N(Produits!$E$39))</f>
        <v/>
      </c>
    </row>
    <row r="41">
      <c r="A41" s="33">
        <f>IF(Produits!$A$40="","",Produits!$A$40)</f>
        <v/>
      </c>
      <c r="B41" s="34">
        <f>IF(Produits!$A$40="","",Produits!$C$40)</f>
        <v/>
      </c>
      <c r="C41" s="34">
        <f>IF(Produits!$A$40="","",Produits!$D$40)</f>
        <v/>
      </c>
      <c r="D41" s="32" t="n"/>
      <c r="E41" s="29" t="n"/>
      <c r="F41" s="29" t="n"/>
      <c r="G41" s="29" t="n"/>
      <c r="H41" s="32" t="n"/>
      <c r="I41" s="29" t="n"/>
      <c r="J41" s="29" t="n"/>
      <c r="K41" s="29" t="n"/>
      <c r="L41" s="32" t="n"/>
      <c r="M41" s="29" t="n"/>
      <c r="N41" s="29" t="n"/>
      <c r="O41" s="29" t="n"/>
      <c r="P41" s="32" t="n"/>
      <c r="Q41" s="29" t="n"/>
      <c r="R41" s="29" t="n"/>
      <c r="S41" s="29" t="n"/>
      <c r="T41" s="22">
        <f>IF(COUNT(F41,J41,N41,R41)=0,"",SUM(F41,J41,N41,R41))</f>
        <v/>
      </c>
      <c r="U41" s="22">
        <f>IF(COUNT(G41,K41,O41,S41)=0,"",SUM(G41,K41,O41,S41))</f>
        <v/>
      </c>
      <c r="V41" s="22">
        <f>IF(OR(T41="",U41=""),"",U41-T41)</f>
        <v/>
      </c>
      <c r="W41" s="22">
        <f>IF(Q41&lt;&gt;"",Q41,IF(M41&lt;&gt;"",M41,IF(I41&lt;&gt;"",I41,IF(E41&lt;&gt;"",E41,""))))</f>
        <v/>
      </c>
      <c r="X41" s="18">
        <f>IF(U41="","",U41*N(Produits!$E$40))</f>
        <v/>
      </c>
    </row>
    <row r="42">
      <c r="A42" s="33">
        <f>IF(Produits!$A$41="","",Produits!$A$41)</f>
        <v/>
      </c>
      <c r="B42" s="34">
        <f>IF(Produits!$A$41="","",Produits!$C$41)</f>
        <v/>
      </c>
      <c r="C42" s="34">
        <f>IF(Produits!$A$41="","",Produits!$D$41)</f>
        <v/>
      </c>
      <c r="D42" s="32" t="n"/>
      <c r="E42" s="29" t="n"/>
      <c r="F42" s="29" t="n"/>
      <c r="G42" s="29" t="n"/>
      <c r="H42" s="32" t="n"/>
      <c r="I42" s="29" t="n"/>
      <c r="J42" s="29" t="n"/>
      <c r="K42" s="29" t="n"/>
      <c r="L42" s="32" t="n"/>
      <c r="M42" s="29" t="n"/>
      <c r="N42" s="29" t="n"/>
      <c r="O42" s="29" t="n"/>
      <c r="P42" s="32" t="n"/>
      <c r="Q42" s="29" t="n"/>
      <c r="R42" s="29" t="n"/>
      <c r="S42" s="29" t="n"/>
      <c r="T42" s="22">
        <f>IF(COUNT(F42,J42,N42,R42)=0,"",SUM(F42,J42,N42,R42))</f>
        <v/>
      </c>
      <c r="U42" s="22">
        <f>IF(COUNT(G42,K42,O42,S42)=0,"",SUM(G42,K42,O42,S42))</f>
        <v/>
      </c>
      <c r="V42" s="22">
        <f>IF(OR(T42="",U42=""),"",U42-T42)</f>
        <v/>
      </c>
      <c r="W42" s="22">
        <f>IF(Q42&lt;&gt;"",Q42,IF(M42&lt;&gt;"",M42,IF(I42&lt;&gt;"",I42,IF(E42&lt;&gt;"",E42,""))))</f>
        <v/>
      </c>
      <c r="X42" s="18">
        <f>IF(U42="","",U42*N(Produits!$E$41))</f>
        <v/>
      </c>
    </row>
    <row r="43">
      <c r="A43" s="33">
        <f>IF(Produits!$A$42="","",Produits!$A$42)</f>
        <v/>
      </c>
      <c r="B43" s="34">
        <f>IF(Produits!$A$42="","",Produits!$C$42)</f>
        <v/>
      </c>
      <c r="C43" s="34">
        <f>IF(Produits!$A$42="","",Produits!$D$42)</f>
        <v/>
      </c>
      <c r="D43" s="32" t="n"/>
      <c r="E43" s="29" t="n"/>
      <c r="F43" s="29" t="n"/>
      <c r="G43" s="29" t="n"/>
      <c r="H43" s="32" t="n"/>
      <c r="I43" s="29" t="n"/>
      <c r="J43" s="29" t="n"/>
      <c r="K43" s="29" t="n"/>
      <c r="L43" s="32" t="n"/>
      <c r="M43" s="29" t="n"/>
      <c r="N43" s="29" t="n"/>
      <c r="O43" s="29" t="n"/>
      <c r="P43" s="32" t="n"/>
      <c r="Q43" s="29" t="n"/>
      <c r="R43" s="29" t="n"/>
      <c r="S43" s="29" t="n"/>
      <c r="T43" s="22">
        <f>IF(COUNT(F43,J43,N43,R43)=0,"",SUM(F43,J43,N43,R43))</f>
        <v/>
      </c>
      <c r="U43" s="22">
        <f>IF(COUNT(G43,K43,O43,S43)=0,"",SUM(G43,K43,O43,S43))</f>
        <v/>
      </c>
      <c r="V43" s="22">
        <f>IF(OR(T43="",U43=""),"",U43-T43)</f>
        <v/>
      </c>
      <c r="W43" s="22">
        <f>IF(Q43&lt;&gt;"",Q43,IF(M43&lt;&gt;"",M43,IF(I43&lt;&gt;"",I43,IF(E43&lt;&gt;"",E43,""))))</f>
        <v/>
      </c>
      <c r="X43" s="18">
        <f>IF(U43="","",U43*N(Produits!$E$42))</f>
        <v/>
      </c>
    </row>
    <row r="44">
      <c r="A44" s="33">
        <f>IF(Produits!$A$43="","",Produits!$A$43)</f>
        <v/>
      </c>
      <c r="B44" s="34">
        <f>IF(Produits!$A$43="","",Produits!$C$43)</f>
        <v/>
      </c>
      <c r="C44" s="34">
        <f>IF(Produits!$A$43="","",Produits!$D$43)</f>
        <v/>
      </c>
      <c r="D44" s="32" t="n"/>
      <c r="E44" s="29" t="n"/>
      <c r="F44" s="29" t="n"/>
      <c r="G44" s="29" t="n"/>
      <c r="H44" s="32" t="n"/>
      <c r="I44" s="29" t="n"/>
      <c r="J44" s="29" t="n"/>
      <c r="K44" s="29" t="n"/>
      <c r="L44" s="32" t="n"/>
      <c r="M44" s="29" t="n"/>
      <c r="N44" s="29" t="n"/>
      <c r="O44" s="29" t="n"/>
      <c r="P44" s="32" t="n"/>
      <c r="Q44" s="29" t="n"/>
      <c r="R44" s="29" t="n"/>
      <c r="S44" s="29" t="n"/>
      <c r="T44" s="22">
        <f>IF(COUNT(F44,J44,N44,R44)=0,"",SUM(F44,J44,N44,R44))</f>
        <v/>
      </c>
      <c r="U44" s="22">
        <f>IF(COUNT(G44,K44,O44,S44)=0,"",SUM(G44,K44,O44,S44))</f>
        <v/>
      </c>
      <c r="V44" s="22">
        <f>IF(OR(T44="",U44=""),"",U44-T44)</f>
        <v/>
      </c>
      <c r="W44" s="22">
        <f>IF(Q44&lt;&gt;"",Q44,IF(M44&lt;&gt;"",M44,IF(I44&lt;&gt;"",I44,IF(E44&lt;&gt;"",E44,""))))</f>
        <v/>
      </c>
      <c r="X44" s="18">
        <f>IF(U44="","",U44*N(Produits!$E$43))</f>
        <v/>
      </c>
    </row>
    <row r="45">
      <c r="A45" s="33">
        <f>IF(Produits!$A$44="","",Produits!$A$44)</f>
        <v/>
      </c>
      <c r="B45" s="34">
        <f>IF(Produits!$A$44="","",Produits!$C$44)</f>
        <v/>
      </c>
      <c r="C45" s="34">
        <f>IF(Produits!$A$44="","",Produits!$D$44)</f>
        <v/>
      </c>
      <c r="D45" s="32" t="n"/>
      <c r="E45" s="29" t="n"/>
      <c r="F45" s="29" t="n"/>
      <c r="G45" s="29" t="n"/>
      <c r="H45" s="32" t="n"/>
      <c r="I45" s="29" t="n"/>
      <c r="J45" s="29" t="n"/>
      <c r="K45" s="29" t="n"/>
      <c r="L45" s="32" t="n"/>
      <c r="M45" s="29" t="n"/>
      <c r="N45" s="29" t="n"/>
      <c r="O45" s="29" t="n"/>
      <c r="P45" s="32" t="n"/>
      <c r="Q45" s="29" t="n"/>
      <c r="R45" s="29" t="n"/>
      <c r="S45" s="29" t="n"/>
      <c r="T45" s="22">
        <f>IF(COUNT(F45,J45,N45,R45)=0,"",SUM(F45,J45,N45,R45))</f>
        <v/>
      </c>
      <c r="U45" s="22">
        <f>IF(COUNT(G45,K45,O45,S45)=0,"",SUM(G45,K45,O45,S45))</f>
        <v/>
      </c>
      <c r="V45" s="22">
        <f>IF(OR(T45="",U45=""),"",U45-T45)</f>
        <v/>
      </c>
      <c r="W45" s="22">
        <f>IF(Q45&lt;&gt;"",Q45,IF(M45&lt;&gt;"",M45,IF(I45&lt;&gt;"",I45,IF(E45&lt;&gt;"",E45,""))))</f>
        <v/>
      </c>
      <c r="X45" s="18">
        <f>IF(U45="","",U45*N(Produits!$E$44))</f>
        <v/>
      </c>
    </row>
    <row r="46">
      <c r="A46" s="33">
        <f>IF(Produits!$A$45="","",Produits!$A$45)</f>
        <v/>
      </c>
      <c r="B46" s="34">
        <f>IF(Produits!$A$45="","",Produits!$C$45)</f>
        <v/>
      </c>
      <c r="C46" s="34">
        <f>IF(Produits!$A$45="","",Produits!$D$45)</f>
        <v/>
      </c>
      <c r="D46" s="32" t="n"/>
      <c r="E46" s="29" t="n"/>
      <c r="F46" s="29" t="n"/>
      <c r="G46" s="29" t="n"/>
      <c r="H46" s="32" t="n"/>
      <c r="I46" s="29" t="n"/>
      <c r="J46" s="29" t="n"/>
      <c r="K46" s="29" t="n"/>
      <c r="L46" s="32" t="n"/>
      <c r="M46" s="29" t="n"/>
      <c r="N46" s="29" t="n"/>
      <c r="O46" s="29" t="n"/>
      <c r="P46" s="32" t="n"/>
      <c r="Q46" s="29" t="n"/>
      <c r="R46" s="29" t="n"/>
      <c r="S46" s="29" t="n"/>
      <c r="T46" s="22">
        <f>IF(COUNT(F46,J46,N46,R46)=0,"",SUM(F46,J46,N46,R46))</f>
        <v/>
      </c>
      <c r="U46" s="22">
        <f>IF(COUNT(G46,K46,O46,S46)=0,"",SUM(G46,K46,O46,S46))</f>
        <v/>
      </c>
      <c r="V46" s="22">
        <f>IF(OR(T46="",U46=""),"",U46-T46)</f>
        <v/>
      </c>
      <c r="W46" s="22">
        <f>IF(Q46&lt;&gt;"",Q46,IF(M46&lt;&gt;"",M46,IF(I46&lt;&gt;"",I46,IF(E46&lt;&gt;"",E46,""))))</f>
        <v/>
      </c>
      <c r="X46" s="18">
        <f>IF(U46="","",U46*N(Produits!$E$45))</f>
        <v/>
      </c>
    </row>
    <row r="47">
      <c r="A47" s="33">
        <f>IF(Produits!$A$46="","",Produits!$A$46)</f>
        <v/>
      </c>
      <c r="B47" s="34">
        <f>IF(Produits!$A$46="","",Produits!$C$46)</f>
        <v/>
      </c>
      <c r="C47" s="34">
        <f>IF(Produits!$A$46="","",Produits!$D$46)</f>
        <v/>
      </c>
      <c r="D47" s="32" t="n"/>
      <c r="E47" s="29" t="n"/>
      <c r="F47" s="29" t="n"/>
      <c r="G47" s="29" t="n"/>
      <c r="H47" s="32" t="n"/>
      <c r="I47" s="29" t="n"/>
      <c r="J47" s="29" t="n"/>
      <c r="K47" s="29" t="n"/>
      <c r="L47" s="32" t="n"/>
      <c r="M47" s="29" t="n"/>
      <c r="N47" s="29" t="n"/>
      <c r="O47" s="29" t="n"/>
      <c r="P47" s="32" t="n"/>
      <c r="Q47" s="29" t="n"/>
      <c r="R47" s="29" t="n"/>
      <c r="S47" s="29" t="n"/>
      <c r="T47" s="22">
        <f>IF(COUNT(F47,J47,N47,R47)=0,"",SUM(F47,J47,N47,R47))</f>
        <v/>
      </c>
      <c r="U47" s="22">
        <f>IF(COUNT(G47,K47,O47,S47)=0,"",SUM(G47,K47,O47,S47))</f>
        <v/>
      </c>
      <c r="V47" s="22">
        <f>IF(OR(T47="",U47=""),"",U47-T47)</f>
        <v/>
      </c>
      <c r="W47" s="22">
        <f>IF(Q47&lt;&gt;"",Q47,IF(M47&lt;&gt;"",M47,IF(I47&lt;&gt;"",I47,IF(E47&lt;&gt;"",E47,""))))</f>
        <v/>
      </c>
      <c r="X47" s="18">
        <f>IF(U47="","",U47*N(Produits!$E$46))</f>
        <v/>
      </c>
    </row>
    <row r="48">
      <c r="A48" s="33">
        <f>IF(Produits!$A$47="","",Produits!$A$47)</f>
        <v/>
      </c>
      <c r="B48" s="34">
        <f>IF(Produits!$A$47="","",Produits!$C$47)</f>
        <v/>
      </c>
      <c r="C48" s="34">
        <f>IF(Produits!$A$47="","",Produits!$D$47)</f>
        <v/>
      </c>
      <c r="D48" s="32" t="n"/>
      <c r="E48" s="29" t="n"/>
      <c r="F48" s="29" t="n"/>
      <c r="G48" s="29" t="n"/>
      <c r="H48" s="32" t="n"/>
      <c r="I48" s="29" t="n"/>
      <c r="J48" s="29" t="n"/>
      <c r="K48" s="29" t="n"/>
      <c r="L48" s="32" t="n"/>
      <c r="M48" s="29" t="n"/>
      <c r="N48" s="29" t="n"/>
      <c r="O48" s="29" t="n"/>
      <c r="P48" s="32" t="n"/>
      <c r="Q48" s="29" t="n"/>
      <c r="R48" s="29" t="n"/>
      <c r="S48" s="29" t="n"/>
      <c r="T48" s="22">
        <f>IF(COUNT(F48,J48,N48,R48)=0,"",SUM(F48,J48,N48,R48))</f>
        <v/>
      </c>
      <c r="U48" s="22">
        <f>IF(COUNT(G48,K48,O48,S48)=0,"",SUM(G48,K48,O48,S48))</f>
        <v/>
      </c>
      <c r="V48" s="22">
        <f>IF(OR(T48="",U48=""),"",U48-T48)</f>
        <v/>
      </c>
      <c r="W48" s="22">
        <f>IF(Q48&lt;&gt;"",Q48,IF(M48&lt;&gt;"",M48,IF(I48&lt;&gt;"",I48,IF(E48&lt;&gt;"",E48,""))))</f>
        <v/>
      </c>
      <c r="X48" s="18">
        <f>IF(U48="","",U48*N(Produits!$E$47))</f>
        <v/>
      </c>
    </row>
    <row r="49">
      <c r="A49" s="33">
        <f>IF(Produits!$A$48="","",Produits!$A$48)</f>
        <v/>
      </c>
      <c r="B49" s="34">
        <f>IF(Produits!$A$48="","",Produits!$C$48)</f>
        <v/>
      </c>
      <c r="C49" s="34">
        <f>IF(Produits!$A$48="","",Produits!$D$48)</f>
        <v/>
      </c>
      <c r="D49" s="32" t="n"/>
      <c r="E49" s="29" t="n"/>
      <c r="F49" s="29" t="n"/>
      <c r="G49" s="29" t="n"/>
      <c r="H49" s="32" t="n"/>
      <c r="I49" s="29" t="n"/>
      <c r="J49" s="29" t="n"/>
      <c r="K49" s="29" t="n"/>
      <c r="L49" s="32" t="n"/>
      <c r="M49" s="29" t="n"/>
      <c r="N49" s="29" t="n"/>
      <c r="O49" s="29" t="n"/>
      <c r="P49" s="32" t="n"/>
      <c r="Q49" s="29" t="n"/>
      <c r="R49" s="29" t="n"/>
      <c r="S49" s="29" t="n"/>
      <c r="T49" s="22">
        <f>IF(COUNT(F49,J49,N49,R49)=0,"",SUM(F49,J49,N49,R49))</f>
        <v/>
      </c>
      <c r="U49" s="22">
        <f>IF(COUNT(G49,K49,O49,S49)=0,"",SUM(G49,K49,O49,S49))</f>
        <v/>
      </c>
      <c r="V49" s="22">
        <f>IF(OR(T49="",U49=""),"",U49-T49)</f>
        <v/>
      </c>
      <c r="W49" s="22">
        <f>IF(Q49&lt;&gt;"",Q49,IF(M49&lt;&gt;"",M49,IF(I49&lt;&gt;"",I49,IF(E49&lt;&gt;"",E49,""))))</f>
        <v/>
      </c>
      <c r="X49" s="18">
        <f>IF(U49="","",U49*N(Produits!$E$48))</f>
        <v/>
      </c>
    </row>
    <row r="50">
      <c r="A50" s="33">
        <f>IF(Produits!$A$49="","",Produits!$A$49)</f>
        <v/>
      </c>
      <c r="B50" s="34">
        <f>IF(Produits!$A$49="","",Produits!$C$49)</f>
        <v/>
      </c>
      <c r="C50" s="34">
        <f>IF(Produits!$A$49="","",Produits!$D$49)</f>
        <v/>
      </c>
      <c r="D50" s="32" t="n"/>
      <c r="E50" s="29" t="n"/>
      <c r="F50" s="29" t="n"/>
      <c r="G50" s="29" t="n"/>
      <c r="H50" s="32" t="n"/>
      <c r="I50" s="29" t="n"/>
      <c r="J50" s="29" t="n"/>
      <c r="K50" s="29" t="n"/>
      <c r="L50" s="32" t="n"/>
      <c r="M50" s="29" t="n"/>
      <c r="N50" s="29" t="n"/>
      <c r="O50" s="29" t="n"/>
      <c r="P50" s="32" t="n"/>
      <c r="Q50" s="29" t="n"/>
      <c r="R50" s="29" t="n"/>
      <c r="S50" s="29" t="n"/>
      <c r="T50" s="22">
        <f>IF(COUNT(F50,J50,N50,R50)=0,"",SUM(F50,J50,N50,R50))</f>
        <v/>
      </c>
      <c r="U50" s="22">
        <f>IF(COUNT(G50,K50,O50,S50)=0,"",SUM(G50,K50,O50,S50))</f>
        <v/>
      </c>
      <c r="V50" s="22">
        <f>IF(OR(T50="",U50=""),"",U50-T50)</f>
        <v/>
      </c>
      <c r="W50" s="22">
        <f>IF(Q50&lt;&gt;"",Q50,IF(M50&lt;&gt;"",M50,IF(I50&lt;&gt;"",I50,IF(E50&lt;&gt;"",E50,""))))</f>
        <v/>
      </c>
      <c r="X50" s="18">
        <f>IF(U50="","",U50*N(Produits!$E$49))</f>
        <v/>
      </c>
    </row>
    <row r="51">
      <c r="A51" s="33">
        <f>IF(Produits!$A$50="","",Produits!$A$50)</f>
        <v/>
      </c>
      <c r="B51" s="34">
        <f>IF(Produits!$A$50="","",Produits!$C$50)</f>
        <v/>
      </c>
      <c r="C51" s="34">
        <f>IF(Produits!$A$50="","",Produits!$D$50)</f>
        <v/>
      </c>
      <c r="D51" s="32" t="n"/>
      <c r="E51" s="29" t="n"/>
      <c r="F51" s="29" t="n"/>
      <c r="G51" s="29" t="n"/>
      <c r="H51" s="32" t="n"/>
      <c r="I51" s="29" t="n"/>
      <c r="J51" s="29" t="n"/>
      <c r="K51" s="29" t="n"/>
      <c r="L51" s="32" t="n"/>
      <c r="M51" s="29" t="n"/>
      <c r="N51" s="29" t="n"/>
      <c r="O51" s="29" t="n"/>
      <c r="P51" s="32" t="n"/>
      <c r="Q51" s="29" t="n"/>
      <c r="R51" s="29" t="n"/>
      <c r="S51" s="29" t="n"/>
      <c r="T51" s="22">
        <f>IF(COUNT(F51,J51,N51,R51)=0,"",SUM(F51,J51,N51,R51))</f>
        <v/>
      </c>
      <c r="U51" s="22">
        <f>IF(COUNT(G51,K51,O51,S51)=0,"",SUM(G51,K51,O51,S51))</f>
        <v/>
      </c>
      <c r="V51" s="22">
        <f>IF(OR(T51="",U51=""),"",U51-T51)</f>
        <v/>
      </c>
      <c r="W51" s="22">
        <f>IF(Q51&lt;&gt;"",Q51,IF(M51&lt;&gt;"",M51,IF(I51&lt;&gt;"",I51,IF(E51&lt;&gt;"",E51,""))))</f>
        <v/>
      </c>
      <c r="X51" s="18">
        <f>IF(U51="","",U51*N(Produits!$E$50))</f>
        <v/>
      </c>
    </row>
    <row r="52">
      <c r="A52" s="33">
        <f>IF(Produits!$A$51="","",Produits!$A$51)</f>
        <v/>
      </c>
      <c r="B52" s="34">
        <f>IF(Produits!$A$51="","",Produits!$C$51)</f>
        <v/>
      </c>
      <c r="C52" s="34">
        <f>IF(Produits!$A$51="","",Produits!$D$51)</f>
        <v/>
      </c>
      <c r="D52" s="32" t="n"/>
      <c r="E52" s="29" t="n"/>
      <c r="F52" s="29" t="n"/>
      <c r="G52" s="29" t="n"/>
      <c r="H52" s="32" t="n"/>
      <c r="I52" s="29" t="n"/>
      <c r="J52" s="29" t="n"/>
      <c r="K52" s="29" t="n"/>
      <c r="L52" s="32" t="n"/>
      <c r="M52" s="29" t="n"/>
      <c r="N52" s="29" t="n"/>
      <c r="O52" s="29" t="n"/>
      <c r="P52" s="32" t="n"/>
      <c r="Q52" s="29" t="n"/>
      <c r="R52" s="29" t="n"/>
      <c r="S52" s="29" t="n"/>
      <c r="T52" s="22">
        <f>IF(COUNT(F52,J52,N52,R52)=0,"",SUM(F52,J52,N52,R52))</f>
        <v/>
      </c>
      <c r="U52" s="22">
        <f>IF(COUNT(G52,K52,O52,S52)=0,"",SUM(G52,K52,O52,S52))</f>
        <v/>
      </c>
      <c r="V52" s="22">
        <f>IF(OR(T52="",U52=""),"",U52-T52)</f>
        <v/>
      </c>
      <c r="W52" s="22">
        <f>IF(Q52&lt;&gt;"",Q52,IF(M52&lt;&gt;"",M52,IF(I52&lt;&gt;"",I52,IF(E52&lt;&gt;"",E52,""))))</f>
        <v/>
      </c>
      <c r="X52" s="18">
        <f>IF(U52="","",U52*N(Produits!$E$51))</f>
        <v/>
      </c>
    </row>
    <row r="53">
      <c r="A53" s="33">
        <f>IF(Produits!$A$52="","",Produits!$A$52)</f>
        <v/>
      </c>
      <c r="B53" s="34">
        <f>IF(Produits!$A$52="","",Produits!$C$52)</f>
        <v/>
      </c>
      <c r="C53" s="34">
        <f>IF(Produits!$A$52="","",Produits!$D$52)</f>
        <v/>
      </c>
      <c r="D53" s="32" t="n"/>
      <c r="E53" s="29" t="n"/>
      <c r="F53" s="29" t="n"/>
      <c r="G53" s="29" t="n"/>
      <c r="H53" s="32" t="n"/>
      <c r="I53" s="29" t="n"/>
      <c r="J53" s="29" t="n"/>
      <c r="K53" s="29" t="n"/>
      <c r="L53" s="32" t="n"/>
      <c r="M53" s="29" t="n"/>
      <c r="N53" s="29" t="n"/>
      <c r="O53" s="29" t="n"/>
      <c r="P53" s="32" t="n"/>
      <c r="Q53" s="29" t="n"/>
      <c r="R53" s="29" t="n"/>
      <c r="S53" s="29" t="n"/>
      <c r="T53" s="22">
        <f>IF(COUNT(F53,J53,N53,R53)=0,"",SUM(F53,J53,N53,R53))</f>
        <v/>
      </c>
      <c r="U53" s="22">
        <f>IF(COUNT(G53,K53,O53,S53)=0,"",SUM(G53,K53,O53,S53))</f>
        <v/>
      </c>
      <c r="V53" s="22">
        <f>IF(OR(T53="",U53=""),"",U53-T53)</f>
        <v/>
      </c>
      <c r="W53" s="22">
        <f>IF(Q53&lt;&gt;"",Q53,IF(M53&lt;&gt;"",M53,IF(I53&lt;&gt;"",I53,IF(E53&lt;&gt;"",E53,""))))</f>
        <v/>
      </c>
      <c r="X53" s="18">
        <f>IF(U53="","",U53*N(Produits!$E$52))</f>
        <v/>
      </c>
    </row>
    <row r="54" ht="20" customHeight="1">
      <c r="A54" s="23" t="inlineStr">
        <is>
          <t>MÉNAGER</t>
        </is>
      </c>
      <c r="B54" s="10" t="n"/>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row>
    <row r="55">
      <c r="A55" s="33">
        <f>IF(Produits!$A$54="","",Produits!$A$54)</f>
        <v/>
      </c>
      <c r="B55" s="34">
        <f>IF(Produits!$A$54="","",Produits!$C$54)</f>
        <v/>
      </c>
      <c r="C55" s="34">
        <f>IF(Produits!$A$54="","",Produits!$D$54)</f>
        <v/>
      </c>
      <c r="D55" s="31">
        <f>DATE(2026,9,4)</f>
        <v/>
      </c>
      <c r="E55" s="26" t="n">
        <v>3.2</v>
      </c>
      <c r="F55" s="26" t="n">
        <v>4</v>
      </c>
      <c r="G55" s="26" t="n">
        <v>4</v>
      </c>
      <c r="H55" s="31">
        <f>DATE(2026,9,11)</f>
        <v/>
      </c>
      <c r="I55" s="26" t="n">
        <v>2.2</v>
      </c>
      <c r="J55" s="26" t="n">
        <v>4</v>
      </c>
      <c r="K55" s="26" t="n">
        <v>4</v>
      </c>
      <c r="L55" s="32" t="n"/>
      <c r="M55" s="29" t="n"/>
      <c r="N55" s="29" t="n"/>
      <c r="O55" s="29" t="n"/>
      <c r="P55" s="32" t="n"/>
      <c r="Q55" s="29" t="n"/>
      <c r="R55" s="29" t="n"/>
      <c r="S55" s="29" t="n"/>
      <c r="T55" s="22">
        <f>IF(COUNT(F55,J55,N55,R55)=0,"",SUM(F55,J55,N55,R55))</f>
        <v/>
      </c>
      <c r="U55" s="22">
        <f>IF(COUNT(G55,K55,O55,S55)=0,"",SUM(G55,K55,O55,S55))</f>
        <v/>
      </c>
      <c r="V55" s="22">
        <f>IF(OR(T55="",U55=""),"",U55-T55)</f>
        <v/>
      </c>
      <c r="W55" s="22">
        <f>IF(Q55&lt;&gt;"",Q55,IF(M55&lt;&gt;"",M55,IF(I55&lt;&gt;"",I55,IF(E55&lt;&gt;"",E55,""))))</f>
        <v/>
      </c>
      <c r="X55" s="18">
        <f>IF(U55="","",U55*N(Produits!$E$54))</f>
        <v/>
      </c>
    </row>
    <row r="56">
      <c r="A56" s="33">
        <f>IF(Produits!$A$55="","",Produits!$A$55)</f>
        <v/>
      </c>
      <c r="B56" s="34">
        <f>IF(Produits!$A$55="","",Produits!$C$55)</f>
        <v/>
      </c>
      <c r="C56" s="34">
        <f>IF(Produits!$A$55="","",Produits!$D$55)</f>
        <v/>
      </c>
      <c r="D56" s="31">
        <f>DATE(2026,9,4)</f>
        <v/>
      </c>
      <c r="E56" s="26" t="n">
        <v>1.6</v>
      </c>
      <c r="F56" s="26" t="n">
        <v>2</v>
      </c>
      <c r="G56" s="26" t="n">
        <v>2</v>
      </c>
      <c r="H56" s="31">
        <f>DATE(2026,9,11)</f>
        <v/>
      </c>
      <c r="I56" s="26" t="n">
        <v>1.1</v>
      </c>
      <c r="J56" s="26" t="n">
        <v>2</v>
      </c>
      <c r="K56" s="26" t="n">
        <v>2</v>
      </c>
      <c r="L56" s="32" t="n"/>
      <c r="M56" s="29" t="n"/>
      <c r="N56" s="29" t="n"/>
      <c r="O56" s="29" t="n"/>
      <c r="P56" s="32" t="n"/>
      <c r="Q56" s="29" t="n"/>
      <c r="R56" s="29" t="n"/>
      <c r="S56" s="29" t="n"/>
      <c r="T56" s="22">
        <f>IF(COUNT(F56,J56,N56,R56)=0,"",SUM(F56,J56,N56,R56))</f>
        <v/>
      </c>
      <c r="U56" s="22">
        <f>IF(COUNT(G56,K56,O56,S56)=0,"",SUM(G56,K56,O56,S56))</f>
        <v/>
      </c>
      <c r="V56" s="22">
        <f>IF(OR(T56="",U56=""),"",U56-T56)</f>
        <v/>
      </c>
      <c r="W56" s="22">
        <f>IF(Q56&lt;&gt;"",Q56,IF(M56&lt;&gt;"",M56,IF(I56&lt;&gt;"",I56,IF(E56&lt;&gt;"",E56,""))))</f>
        <v/>
      </c>
      <c r="X56" s="18">
        <f>IF(U56="","",U56*N(Produits!$E$55))</f>
        <v/>
      </c>
    </row>
    <row r="57">
      <c r="A57" s="33">
        <f>IF(Produits!$A$56="","",Produits!$A$56)</f>
        <v/>
      </c>
      <c r="B57" s="34">
        <f>IF(Produits!$A$56="","",Produits!$C$56)</f>
        <v/>
      </c>
      <c r="C57" s="34">
        <f>IF(Produits!$A$56="","",Produits!$D$56)</f>
        <v/>
      </c>
      <c r="D57" s="31">
        <f>DATE(2026,9,4)</f>
        <v/>
      </c>
      <c r="E57" s="26" t="n">
        <v>3.2</v>
      </c>
      <c r="F57" s="26" t="n">
        <v>4</v>
      </c>
      <c r="G57" s="26" t="n">
        <v>4</v>
      </c>
      <c r="H57" s="31">
        <f>DATE(2026,9,11)</f>
        <v/>
      </c>
      <c r="I57" s="26" t="n">
        <v>2.2</v>
      </c>
      <c r="J57" s="26" t="n">
        <v>4</v>
      </c>
      <c r="K57" s="26" t="n">
        <v>4</v>
      </c>
      <c r="L57" s="32" t="n"/>
      <c r="M57" s="29" t="n"/>
      <c r="N57" s="29" t="n"/>
      <c r="O57" s="29" t="n"/>
      <c r="P57" s="32" t="n"/>
      <c r="Q57" s="29" t="n"/>
      <c r="R57" s="29" t="n"/>
      <c r="S57" s="29" t="n"/>
      <c r="T57" s="22">
        <f>IF(COUNT(F57,J57,N57,R57)=0,"",SUM(F57,J57,N57,R57))</f>
        <v/>
      </c>
      <c r="U57" s="22">
        <f>IF(COUNT(G57,K57,O57,S57)=0,"",SUM(G57,K57,O57,S57))</f>
        <v/>
      </c>
      <c r="V57" s="22">
        <f>IF(OR(T57="",U57=""),"",U57-T57)</f>
        <v/>
      </c>
      <c r="W57" s="22">
        <f>IF(Q57&lt;&gt;"",Q57,IF(M57&lt;&gt;"",M57,IF(I57&lt;&gt;"",I57,IF(E57&lt;&gt;"",E57,""))))</f>
        <v/>
      </c>
      <c r="X57" s="18">
        <f>IF(U57="","",U57*N(Produits!$E$56))</f>
        <v/>
      </c>
    </row>
    <row r="58">
      <c r="A58" s="33">
        <f>IF(Produits!$A$57="","",Produits!$A$57)</f>
        <v/>
      </c>
      <c r="B58" s="34">
        <f>IF(Produits!$A$57="","",Produits!$C$57)</f>
        <v/>
      </c>
      <c r="C58" s="34">
        <f>IF(Produits!$A$57="","",Produits!$D$57)</f>
        <v/>
      </c>
      <c r="D58" s="32" t="n"/>
      <c r="E58" s="29" t="n"/>
      <c r="F58" s="29" t="n"/>
      <c r="G58" s="29" t="n"/>
      <c r="H58" s="32" t="n"/>
      <c r="I58" s="29" t="n"/>
      <c r="J58" s="29" t="n"/>
      <c r="K58" s="29" t="n"/>
      <c r="L58" s="32" t="n"/>
      <c r="M58" s="29" t="n"/>
      <c r="N58" s="29" t="n"/>
      <c r="O58" s="29" t="n"/>
      <c r="P58" s="32" t="n"/>
      <c r="Q58" s="29" t="n"/>
      <c r="R58" s="29" t="n"/>
      <c r="S58" s="29" t="n"/>
      <c r="T58" s="22">
        <f>IF(COUNT(F58,J58,N58,R58)=0,"",SUM(F58,J58,N58,R58))</f>
        <v/>
      </c>
      <c r="U58" s="22">
        <f>IF(COUNT(G58,K58,O58,S58)=0,"",SUM(G58,K58,O58,S58))</f>
        <v/>
      </c>
      <c r="V58" s="22">
        <f>IF(OR(T58="",U58=""),"",U58-T58)</f>
        <v/>
      </c>
      <c r="W58" s="22">
        <f>IF(Q58&lt;&gt;"",Q58,IF(M58&lt;&gt;"",M58,IF(I58&lt;&gt;"",I58,IF(E58&lt;&gt;"",E58,""))))</f>
        <v/>
      </c>
      <c r="X58" s="18">
        <f>IF(U58="","",U58*N(Produits!$E$57))</f>
        <v/>
      </c>
    </row>
    <row r="59">
      <c r="A59" s="33">
        <f>IF(Produits!$A$58="","",Produits!$A$58)</f>
        <v/>
      </c>
      <c r="B59" s="34">
        <f>IF(Produits!$A$58="","",Produits!$C$58)</f>
        <v/>
      </c>
      <c r="C59" s="34">
        <f>IF(Produits!$A$58="","",Produits!$D$58)</f>
        <v/>
      </c>
      <c r="D59" s="32" t="n"/>
      <c r="E59" s="29" t="n"/>
      <c r="F59" s="29" t="n"/>
      <c r="G59" s="29" t="n"/>
      <c r="H59" s="32" t="n"/>
      <c r="I59" s="29" t="n"/>
      <c r="J59" s="29" t="n"/>
      <c r="K59" s="29" t="n"/>
      <c r="L59" s="32" t="n"/>
      <c r="M59" s="29" t="n"/>
      <c r="N59" s="29" t="n"/>
      <c r="O59" s="29" t="n"/>
      <c r="P59" s="32" t="n"/>
      <c r="Q59" s="29" t="n"/>
      <c r="R59" s="29" t="n"/>
      <c r="S59" s="29" t="n"/>
      <c r="T59" s="22">
        <f>IF(COUNT(F59,J59,N59,R59)=0,"",SUM(F59,J59,N59,R59))</f>
        <v/>
      </c>
      <c r="U59" s="22">
        <f>IF(COUNT(G59,K59,O59,S59)=0,"",SUM(G59,K59,O59,S59))</f>
        <v/>
      </c>
      <c r="V59" s="22">
        <f>IF(OR(T59="",U59=""),"",U59-T59)</f>
        <v/>
      </c>
      <c r="W59" s="22">
        <f>IF(Q59&lt;&gt;"",Q59,IF(M59&lt;&gt;"",M59,IF(I59&lt;&gt;"",I59,IF(E59&lt;&gt;"",E59,""))))</f>
        <v/>
      </c>
      <c r="X59" s="18">
        <f>IF(U59="","",U59*N(Produits!$E$58))</f>
        <v/>
      </c>
    </row>
    <row r="60">
      <c r="A60" s="33">
        <f>IF(Produits!$A$59="","",Produits!$A$59)</f>
        <v/>
      </c>
      <c r="B60" s="34">
        <f>IF(Produits!$A$59="","",Produits!$C$59)</f>
        <v/>
      </c>
      <c r="C60" s="34">
        <f>IF(Produits!$A$59="","",Produits!$D$59)</f>
        <v/>
      </c>
      <c r="D60" s="32" t="n"/>
      <c r="E60" s="29" t="n"/>
      <c r="F60" s="29" t="n"/>
      <c r="G60" s="29" t="n"/>
      <c r="H60" s="32" t="n"/>
      <c r="I60" s="29" t="n"/>
      <c r="J60" s="29" t="n"/>
      <c r="K60" s="29" t="n"/>
      <c r="L60" s="32" t="n"/>
      <c r="M60" s="29" t="n"/>
      <c r="N60" s="29" t="n"/>
      <c r="O60" s="29" t="n"/>
      <c r="P60" s="32" t="n"/>
      <c r="Q60" s="29" t="n"/>
      <c r="R60" s="29" t="n"/>
      <c r="S60" s="29" t="n"/>
      <c r="T60" s="22">
        <f>IF(COUNT(F60,J60,N60,R60)=0,"",SUM(F60,J60,N60,R60))</f>
        <v/>
      </c>
      <c r="U60" s="22">
        <f>IF(COUNT(G60,K60,O60,S60)=0,"",SUM(G60,K60,O60,S60))</f>
        <v/>
      </c>
      <c r="V60" s="22">
        <f>IF(OR(T60="",U60=""),"",U60-T60)</f>
        <v/>
      </c>
      <c r="W60" s="22">
        <f>IF(Q60&lt;&gt;"",Q60,IF(M60&lt;&gt;"",M60,IF(I60&lt;&gt;"",I60,IF(E60&lt;&gt;"",E60,""))))</f>
        <v/>
      </c>
      <c r="X60" s="18">
        <f>IF(U60="","",U60*N(Produits!$E$59))</f>
        <v/>
      </c>
    </row>
    <row r="61">
      <c r="A61" s="33">
        <f>IF(Produits!$A$60="","",Produits!$A$60)</f>
        <v/>
      </c>
      <c r="B61" s="34">
        <f>IF(Produits!$A$60="","",Produits!$C$60)</f>
        <v/>
      </c>
      <c r="C61" s="34">
        <f>IF(Produits!$A$60="","",Produits!$D$60)</f>
        <v/>
      </c>
      <c r="D61" s="32" t="n"/>
      <c r="E61" s="29" t="n"/>
      <c r="F61" s="29" t="n"/>
      <c r="G61" s="29" t="n"/>
      <c r="H61" s="32" t="n"/>
      <c r="I61" s="29" t="n"/>
      <c r="J61" s="29" t="n"/>
      <c r="K61" s="29" t="n"/>
      <c r="L61" s="32" t="n"/>
      <c r="M61" s="29" t="n"/>
      <c r="N61" s="29" t="n"/>
      <c r="O61" s="29" t="n"/>
      <c r="P61" s="32" t="n"/>
      <c r="Q61" s="29" t="n"/>
      <c r="R61" s="29" t="n"/>
      <c r="S61" s="29" t="n"/>
      <c r="T61" s="22">
        <f>IF(COUNT(F61,J61,N61,R61)=0,"",SUM(F61,J61,N61,R61))</f>
        <v/>
      </c>
      <c r="U61" s="22">
        <f>IF(COUNT(G61,K61,O61,S61)=0,"",SUM(G61,K61,O61,S61))</f>
        <v/>
      </c>
      <c r="V61" s="22">
        <f>IF(OR(T61="",U61=""),"",U61-T61)</f>
        <v/>
      </c>
      <c r="W61" s="22">
        <f>IF(Q61&lt;&gt;"",Q61,IF(M61&lt;&gt;"",M61,IF(I61&lt;&gt;"",I61,IF(E61&lt;&gt;"",E61,""))))</f>
        <v/>
      </c>
      <c r="X61" s="18">
        <f>IF(U61="","",U61*N(Produits!$E$60))</f>
        <v/>
      </c>
    </row>
    <row r="62">
      <c r="A62" s="33">
        <f>IF(Produits!$A$61="","",Produits!$A$61)</f>
        <v/>
      </c>
      <c r="B62" s="34">
        <f>IF(Produits!$A$61="","",Produits!$C$61)</f>
        <v/>
      </c>
      <c r="C62" s="34">
        <f>IF(Produits!$A$61="","",Produits!$D$61)</f>
        <v/>
      </c>
      <c r="D62" s="32" t="n"/>
      <c r="E62" s="29" t="n"/>
      <c r="F62" s="29" t="n"/>
      <c r="G62" s="29" t="n"/>
      <c r="H62" s="32" t="n"/>
      <c r="I62" s="29" t="n"/>
      <c r="J62" s="29" t="n"/>
      <c r="K62" s="29" t="n"/>
      <c r="L62" s="32" t="n"/>
      <c r="M62" s="29" t="n"/>
      <c r="N62" s="29" t="n"/>
      <c r="O62" s="29" t="n"/>
      <c r="P62" s="32" t="n"/>
      <c r="Q62" s="29" t="n"/>
      <c r="R62" s="29" t="n"/>
      <c r="S62" s="29" t="n"/>
      <c r="T62" s="22">
        <f>IF(COUNT(F62,J62,N62,R62)=0,"",SUM(F62,J62,N62,R62))</f>
        <v/>
      </c>
      <c r="U62" s="22">
        <f>IF(COUNT(G62,K62,O62,S62)=0,"",SUM(G62,K62,O62,S62))</f>
        <v/>
      </c>
      <c r="V62" s="22">
        <f>IF(OR(T62="",U62=""),"",U62-T62)</f>
        <v/>
      </c>
      <c r="W62" s="22">
        <f>IF(Q62&lt;&gt;"",Q62,IF(M62&lt;&gt;"",M62,IF(I62&lt;&gt;"",I62,IF(E62&lt;&gt;"",E62,""))))</f>
        <v/>
      </c>
      <c r="X62" s="18">
        <f>IF(U62="","",U62*N(Produits!$E$61))</f>
        <v/>
      </c>
    </row>
    <row r="63">
      <c r="A63" s="33">
        <f>IF(Produits!$A$62="","",Produits!$A$62)</f>
        <v/>
      </c>
      <c r="B63" s="34">
        <f>IF(Produits!$A$62="","",Produits!$C$62)</f>
        <v/>
      </c>
      <c r="C63" s="34">
        <f>IF(Produits!$A$62="","",Produits!$D$62)</f>
        <v/>
      </c>
      <c r="D63" s="32" t="n"/>
      <c r="E63" s="29" t="n"/>
      <c r="F63" s="29" t="n"/>
      <c r="G63" s="29" t="n"/>
      <c r="H63" s="32" t="n"/>
      <c r="I63" s="29" t="n"/>
      <c r="J63" s="29" t="n"/>
      <c r="K63" s="29" t="n"/>
      <c r="L63" s="32" t="n"/>
      <c r="M63" s="29" t="n"/>
      <c r="N63" s="29" t="n"/>
      <c r="O63" s="29" t="n"/>
      <c r="P63" s="32" t="n"/>
      <c r="Q63" s="29" t="n"/>
      <c r="R63" s="29" t="n"/>
      <c r="S63" s="29" t="n"/>
      <c r="T63" s="22">
        <f>IF(COUNT(F63,J63,N63,R63)=0,"",SUM(F63,J63,N63,R63))</f>
        <v/>
      </c>
      <c r="U63" s="22">
        <f>IF(COUNT(G63,K63,O63,S63)=0,"",SUM(G63,K63,O63,S63))</f>
        <v/>
      </c>
      <c r="V63" s="22">
        <f>IF(OR(T63="",U63=""),"",U63-T63)</f>
        <v/>
      </c>
      <c r="W63" s="22">
        <f>IF(Q63&lt;&gt;"",Q63,IF(M63&lt;&gt;"",M63,IF(I63&lt;&gt;"",I63,IF(E63&lt;&gt;"",E63,""))))</f>
        <v/>
      </c>
      <c r="X63" s="18">
        <f>IF(U63="","",U63*N(Produits!$E$62))</f>
        <v/>
      </c>
    </row>
    <row r="64">
      <c r="A64" s="33">
        <f>IF(Produits!$A$63="","",Produits!$A$63)</f>
        <v/>
      </c>
      <c r="B64" s="34">
        <f>IF(Produits!$A$63="","",Produits!$C$63)</f>
        <v/>
      </c>
      <c r="C64" s="34">
        <f>IF(Produits!$A$63="","",Produits!$D$63)</f>
        <v/>
      </c>
      <c r="D64" s="32" t="n"/>
      <c r="E64" s="29" t="n"/>
      <c r="F64" s="29" t="n"/>
      <c r="G64" s="29" t="n"/>
      <c r="H64" s="32" t="n"/>
      <c r="I64" s="29" t="n"/>
      <c r="J64" s="29" t="n"/>
      <c r="K64" s="29" t="n"/>
      <c r="L64" s="32" t="n"/>
      <c r="M64" s="29" t="n"/>
      <c r="N64" s="29" t="n"/>
      <c r="O64" s="29" t="n"/>
      <c r="P64" s="32" t="n"/>
      <c r="Q64" s="29" t="n"/>
      <c r="R64" s="29" t="n"/>
      <c r="S64" s="29" t="n"/>
      <c r="T64" s="22">
        <f>IF(COUNT(F64,J64,N64,R64)=0,"",SUM(F64,J64,N64,R64))</f>
        <v/>
      </c>
      <c r="U64" s="22">
        <f>IF(COUNT(G64,K64,O64,S64)=0,"",SUM(G64,K64,O64,S64))</f>
        <v/>
      </c>
      <c r="V64" s="22">
        <f>IF(OR(T64="",U64=""),"",U64-T64)</f>
        <v/>
      </c>
      <c r="W64" s="22">
        <f>IF(Q64&lt;&gt;"",Q64,IF(M64&lt;&gt;"",M64,IF(I64&lt;&gt;"",I64,IF(E64&lt;&gt;"",E64,""))))</f>
        <v/>
      </c>
      <c r="X64" s="18">
        <f>IF(U64="","",U64*N(Produits!$E$63))</f>
        <v/>
      </c>
    </row>
    <row r="65">
      <c r="A65" s="33">
        <f>IF(Produits!$A$64="","",Produits!$A$64)</f>
        <v/>
      </c>
      <c r="B65" s="34">
        <f>IF(Produits!$A$64="","",Produits!$C$64)</f>
        <v/>
      </c>
      <c r="C65" s="34">
        <f>IF(Produits!$A$64="","",Produits!$D$64)</f>
        <v/>
      </c>
      <c r="D65" s="32" t="n"/>
      <c r="E65" s="29" t="n"/>
      <c r="F65" s="29" t="n"/>
      <c r="G65" s="29" t="n"/>
      <c r="H65" s="32" t="n"/>
      <c r="I65" s="29" t="n"/>
      <c r="J65" s="29" t="n"/>
      <c r="K65" s="29" t="n"/>
      <c r="L65" s="32" t="n"/>
      <c r="M65" s="29" t="n"/>
      <c r="N65" s="29" t="n"/>
      <c r="O65" s="29" t="n"/>
      <c r="P65" s="32" t="n"/>
      <c r="Q65" s="29" t="n"/>
      <c r="R65" s="29" t="n"/>
      <c r="S65" s="29" t="n"/>
      <c r="T65" s="22">
        <f>IF(COUNT(F65,J65,N65,R65)=0,"",SUM(F65,J65,N65,R65))</f>
        <v/>
      </c>
      <c r="U65" s="22">
        <f>IF(COUNT(G65,K65,O65,S65)=0,"",SUM(G65,K65,O65,S65))</f>
        <v/>
      </c>
      <c r="V65" s="22">
        <f>IF(OR(T65="",U65=""),"",U65-T65)</f>
        <v/>
      </c>
      <c r="W65" s="22">
        <f>IF(Q65&lt;&gt;"",Q65,IF(M65&lt;&gt;"",M65,IF(I65&lt;&gt;"",I65,IF(E65&lt;&gt;"",E65,""))))</f>
        <v/>
      </c>
      <c r="X65" s="18">
        <f>IF(U65="","",U65*N(Produits!$E$64))</f>
        <v/>
      </c>
    </row>
    <row r="66">
      <c r="A66" s="33">
        <f>IF(Produits!$A$65="","",Produits!$A$65)</f>
        <v/>
      </c>
      <c r="B66" s="34">
        <f>IF(Produits!$A$65="","",Produits!$C$65)</f>
        <v/>
      </c>
      <c r="C66" s="34">
        <f>IF(Produits!$A$65="","",Produits!$D$65)</f>
        <v/>
      </c>
      <c r="D66" s="32" t="n"/>
      <c r="E66" s="29" t="n"/>
      <c r="F66" s="29" t="n"/>
      <c r="G66" s="29" t="n"/>
      <c r="H66" s="32" t="n"/>
      <c r="I66" s="29" t="n"/>
      <c r="J66" s="29" t="n"/>
      <c r="K66" s="29" t="n"/>
      <c r="L66" s="32" t="n"/>
      <c r="M66" s="29" t="n"/>
      <c r="N66" s="29" t="n"/>
      <c r="O66" s="29" t="n"/>
      <c r="P66" s="32" t="n"/>
      <c r="Q66" s="29" t="n"/>
      <c r="R66" s="29" t="n"/>
      <c r="S66" s="29" t="n"/>
      <c r="T66" s="22">
        <f>IF(COUNT(F66,J66,N66,R66)=0,"",SUM(F66,J66,N66,R66))</f>
        <v/>
      </c>
      <c r="U66" s="22">
        <f>IF(COUNT(G66,K66,O66,S66)=0,"",SUM(G66,K66,O66,S66))</f>
        <v/>
      </c>
      <c r="V66" s="22">
        <f>IF(OR(T66="",U66=""),"",U66-T66)</f>
        <v/>
      </c>
      <c r="W66" s="22">
        <f>IF(Q66&lt;&gt;"",Q66,IF(M66&lt;&gt;"",M66,IF(I66&lt;&gt;"",I66,IF(E66&lt;&gt;"",E66,""))))</f>
        <v/>
      </c>
      <c r="X66" s="18">
        <f>IF(U66="","",U66*N(Produits!$E$65))</f>
        <v/>
      </c>
    </row>
    <row r="67">
      <c r="A67" s="33">
        <f>IF(Produits!$A$66="","",Produits!$A$66)</f>
        <v/>
      </c>
      <c r="B67" s="34">
        <f>IF(Produits!$A$66="","",Produits!$C$66)</f>
        <v/>
      </c>
      <c r="C67" s="34">
        <f>IF(Produits!$A$66="","",Produits!$D$66)</f>
        <v/>
      </c>
      <c r="D67" s="32" t="n"/>
      <c r="E67" s="29" t="n"/>
      <c r="F67" s="29" t="n"/>
      <c r="G67" s="29" t="n"/>
      <c r="H67" s="32" t="n"/>
      <c r="I67" s="29" t="n"/>
      <c r="J67" s="29" t="n"/>
      <c r="K67" s="29" t="n"/>
      <c r="L67" s="32" t="n"/>
      <c r="M67" s="29" t="n"/>
      <c r="N67" s="29" t="n"/>
      <c r="O67" s="29" t="n"/>
      <c r="P67" s="32" t="n"/>
      <c r="Q67" s="29" t="n"/>
      <c r="R67" s="29" t="n"/>
      <c r="S67" s="29" t="n"/>
      <c r="T67" s="22">
        <f>IF(COUNT(F67,J67,N67,R67)=0,"",SUM(F67,J67,N67,R67))</f>
        <v/>
      </c>
      <c r="U67" s="22">
        <f>IF(COUNT(G67,K67,O67,S67)=0,"",SUM(G67,K67,O67,S67))</f>
        <v/>
      </c>
      <c r="V67" s="22">
        <f>IF(OR(T67="",U67=""),"",U67-T67)</f>
        <v/>
      </c>
      <c r="W67" s="22">
        <f>IF(Q67&lt;&gt;"",Q67,IF(M67&lt;&gt;"",M67,IF(I67&lt;&gt;"",I67,IF(E67&lt;&gt;"",E67,""))))</f>
        <v/>
      </c>
      <c r="X67" s="18">
        <f>IF(U67="","",U67*N(Produits!$E$66))</f>
        <v/>
      </c>
    </row>
    <row r="68">
      <c r="A68" s="33">
        <f>IF(Produits!$A$67="","",Produits!$A$67)</f>
        <v/>
      </c>
      <c r="B68" s="34">
        <f>IF(Produits!$A$67="","",Produits!$C$67)</f>
        <v/>
      </c>
      <c r="C68" s="34">
        <f>IF(Produits!$A$67="","",Produits!$D$67)</f>
        <v/>
      </c>
      <c r="D68" s="32" t="n"/>
      <c r="E68" s="29" t="n"/>
      <c r="F68" s="29" t="n"/>
      <c r="G68" s="29" t="n"/>
      <c r="H68" s="32" t="n"/>
      <c r="I68" s="29" t="n"/>
      <c r="J68" s="29" t="n"/>
      <c r="K68" s="29" t="n"/>
      <c r="L68" s="32" t="n"/>
      <c r="M68" s="29" t="n"/>
      <c r="N68" s="29" t="n"/>
      <c r="O68" s="29" t="n"/>
      <c r="P68" s="32" t="n"/>
      <c r="Q68" s="29" t="n"/>
      <c r="R68" s="29" t="n"/>
      <c r="S68" s="29" t="n"/>
      <c r="T68" s="22">
        <f>IF(COUNT(F68,J68,N68,R68)=0,"",SUM(F68,J68,N68,R68))</f>
        <v/>
      </c>
      <c r="U68" s="22">
        <f>IF(COUNT(G68,K68,O68,S68)=0,"",SUM(G68,K68,O68,S68))</f>
        <v/>
      </c>
      <c r="V68" s="22">
        <f>IF(OR(T68="",U68=""),"",U68-T68)</f>
        <v/>
      </c>
      <c r="W68" s="22">
        <f>IF(Q68&lt;&gt;"",Q68,IF(M68&lt;&gt;"",M68,IF(I68&lt;&gt;"",I68,IF(E68&lt;&gt;"",E68,""))))</f>
        <v/>
      </c>
      <c r="X68" s="18">
        <f>IF(U68="","",U68*N(Produits!$E$67))</f>
        <v/>
      </c>
    </row>
    <row r="69">
      <c r="A69" s="33">
        <f>IF(Produits!$A$68="","",Produits!$A$68)</f>
        <v/>
      </c>
      <c r="B69" s="34">
        <f>IF(Produits!$A$68="","",Produits!$C$68)</f>
        <v/>
      </c>
      <c r="C69" s="34">
        <f>IF(Produits!$A$68="","",Produits!$D$68)</f>
        <v/>
      </c>
      <c r="D69" s="32" t="n"/>
      <c r="E69" s="29" t="n"/>
      <c r="F69" s="29" t="n"/>
      <c r="G69" s="29" t="n"/>
      <c r="H69" s="32" t="n"/>
      <c r="I69" s="29" t="n"/>
      <c r="J69" s="29" t="n"/>
      <c r="K69" s="29" t="n"/>
      <c r="L69" s="32" t="n"/>
      <c r="M69" s="29" t="n"/>
      <c r="N69" s="29" t="n"/>
      <c r="O69" s="29" t="n"/>
      <c r="P69" s="32" t="n"/>
      <c r="Q69" s="29" t="n"/>
      <c r="R69" s="29" t="n"/>
      <c r="S69" s="29" t="n"/>
      <c r="T69" s="22">
        <f>IF(COUNT(F69,J69,N69,R69)=0,"",SUM(F69,J69,N69,R69))</f>
        <v/>
      </c>
      <c r="U69" s="22">
        <f>IF(COUNT(G69,K69,O69,S69)=0,"",SUM(G69,K69,O69,S69))</f>
        <v/>
      </c>
      <c r="V69" s="22">
        <f>IF(OR(T69="",U69=""),"",U69-T69)</f>
        <v/>
      </c>
      <c r="W69" s="22">
        <f>IF(Q69&lt;&gt;"",Q69,IF(M69&lt;&gt;"",M69,IF(I69&lt;&gt;"",I69,IF(E69&lt;&gt;"",E69,""))))</f>
        <v/>
      </c>
      <c r="X69" s="18">
        <f>IF(U69="","",U69*N(Produits!$E$68))</f>
        <v/>
      </c>
    </row>
    <row r="71">
      <c r="A71" s="15" t="inlineStr">
        <is>
          <t>Total des dépenses du mois</t>
        </is>
      </c>
      <c r="B71" s="19" t="n"/>
      <c r="C71" s="19" t="n"/>
      <c r="X71" s="35">
        <f>SUM(X7:X69)</f>
        <v/>
      </c>
    </row>
  </sheetData>
  <mergeCells count="14">
    <mergeCell ref="H4:K4"/>
    <mergeCell ref="A71:C71"/>
    <mergeCell ref="B4:B5"/>
    <mergeCell ref="C4:C5"/>
    <mergeCell ref="A4:A5"/>
    <mergeCell ref="T4:W4"/>
    <mergeCell ref="X4:X5"/>
    <mergeCell ref="A38:X38"/>
    <mergeCell ref="A54:X54"/>
    <mergeCell ref="L4:O4"/>
    <mergeCell ref="P4:S4"/>
    <mergeCell ref="A6:X6"/>
    <mergeCell ref="A22:X22"/>
    <mergeCell ref="D4:G4"/>
  </mergeCells>
  <conditionalFormatting sqref="V7:V69">
    <cfRule type="expression" priority="1" dxfId="0">
      <formula>AND(ISNUMBER(V7),V7&lt;0)</formula>
    </cfRule>
  </conditionalFormatting>
  <conditionalFormatting sqref="E7:E69">
    <cfRule type="expression" priority="2" dxfId="1">
      <formula>AND(ISNUMBER(E7),ISNUMBER($C7),E7&lt;=$C7)</formula>
    </cfRule>
  </conditionalFormatting>
  <conditionalFormatting sqref="G7:G69">
    <cfRule type="expression" priority="3" dxfId="0">
      <formula>AND(ISNUMBER(G7),ISNUMBER(F7),G7&lt;F7)</formula>
    </cfRule>
  </conditionalFormatting>
  <conditionalFormatting sqref="I7:I69">
    <cfRule type="expression" priority="4" dxfId="1">
      <formula>AND(ISNUMBER(I7),ISNUMBER($C7),I7&lt;=$C7)</formula>
    </cfRule>
  </conditionalFormatting>
  <conditionalFormatting sqref="K7:K69">
    <cfRule type="expression" priority="5" dxfId="0">
      <formula>AND(ISNUMBER(K7),ISNUMBER(J7),K7&lt;J7)</formula>
    </cfRule>
  </conditionalFormatting>
  <conditionalFormatting sqref="M7:M69">
    <cfRule type="expression" priority="6" dxfId="1">
      <formula>AND(ISNUMBER(M7),ISNUMBER($C7),M7&lt;=$C7)</formula>
    </cfRule>
  </conditionalFormatting>
  <conditionalFormatting sqref="O7:O69">
    <cfRule type="expression" priority="7" dxfId="0">
      <formula>AND(ISNUMBER(O7),ISNUMBER(N7),O7&lt;N7)</formula>
    </cfRule>
  </conditionalFormatting>
  <conditionalFormatting sqref="Q7:Q69">
    <cfRule type="expression" priority="8" dxfId="1">
      <formula>AND(ISNUMBER(Q7),ISNUMBER($C7),Q7&lt;=$C7)</formula>
    </cfRule>
  </conditionalFormatting>
  <conditionalFormatting sqref="S7:S69">
    <cfRule type="expression" priority="9" dxfId="0">
      <formula>AND(ISNUMBER(S7),ISNUMBER(R7),S7&lt;R7)</formula>
    </cfRule>
  </conditionalFormatting>
  <dataValidations count="4">
    <dataValidation sqref="E7:G69" showDropDown="0" showInputMessage="0" showErrorMessage="1" allowBlank="1" errorTitle="Valeur invalide" error="Entre un nombre positif (ou laisse vide)." type="decimal" operator="greaterThanOrEqual">
      <formula1>0</formula1>
    </dataValidation>
    <dataValidation sqref="I7:K69" showDropDown="0" showInputMessage="0" showErrorMessage="1" allowBlank="1" errorTitle="Valeur invalide" error="Entre un nombre positif (ou laisse vide)." type="decimal" operator="greaterThanOrEqual">
      <formula1>0</formula1>
    </dataValidation>
    <dataValidation sqref="M7:O69" showDropDown="0" showInputMessage="0" showErrorMessage="1" allowBlank="1" errorTitle="Valeur invalide" error="Entre un nombre positif (ou laisse vide)." type="decimal" operator="greaterThanOrEqual">
      <formula1>0</formula1>
    </dataValidation>
    <dataValidation sqref="Q7:S69"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X71"/>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24" customWidth="1" min="1" max="1"/>
    <col width="7" customWidth="1" min="2" max="2"/>
    <col width="7" customWidth="1" min="3" max="3"/>
    <col width="11" customWidth="1" min="4" max="4"/>
    <col width="10.5" customWidth="1" min="5" max="5"/>
    <col width="10.5" customWidth="1" min="6" max="6"/>
    <col width="10.5" customWidth="1" min="7" max="7"/>
    <col width="11" customWidth="1" min="8" max="8"/>
    <col width="10.5" customWidth="1" min="9" max="9"/>
    <col width="10.5" customWidth="1" min="10" max="10"/>
    <col width="10.5" customWidth="1" min="11" max="11"/>
    <col width="11" customWidth="1" min="12" max="12"/>
    <col width="10.5" customWidth="1" min="13" max="13"/>
    <col width="10.5" customWidth="1" min="14" max="14"/>
    <col width="10.5" customWidth="1" min="15" max="15"/>
    <col width="11" customWidth="1" min="16" max="16"/>
    <col width="10.5" customWidth="1" min="17" max="17"/>
    <col width="10.5" customWidth="1" min="18" max="18"/>
    <col width="10.5" customWidth="1" min="19" max="19"/>
    <col width="11" customWidth="1" min="20" max="20"/>
    <col width="11" customWidth="1" min="21" max="21"/>
    <col width="11" customWidth="1" min="22" max="22"/>
    <col width="11" customWidth="1" min="23" max="23"/>
    <col width="12" customWidth="1" min="24" max="24"/>
  </cols>
  <sheetData>
    <row r="1" ht="26" customHeight="1">
      <c r="A1" s="1" t="inlineStr">
        <is>
          <t>Octobre 2026</t>
        </is>
      </c>
    </row>
    <row r="2">
      <c r="A2" s="2" t="inlineStr">
        <is>
          <t>Date cmd = jour où tu passes la commande · Stock = ce qu'il reste · Commandé · Reçu = ce qui est arrivé</t>
        </is>
      </c>
    </row>
    <row r="4">
      <c r="A4" s="15" t="inlineStr">
        <is>
          <t>Produit</t>
        </is>
      </c>
      <c r="B4" s="15" t="inlineStr">
        <is>
          <t>Unité</t>
        </is>
      </c>
      <c r="C4" s="15" t="inlineStr">
        <is>
          <t>Mini</t>
        </is>
      </c>
      <c r="D4" s="15" t="inlineStr">
        <is>
          <t>Semaine 1</t>
        </is>
      </c>
      <c r="E4" s="19" t="n"/>
      <c r="F4" s="19" t="n"/>
      <c r="G4" s="19" t="n"/>
      <c r="H4" s="15" t="inlineStr">
        <is>
          <t>Semaine 2</t>
        </is>
      </c>
      <c r="I4" s="19" t="n"/>
      <c r="J4" s="19" t="n"/>
      <c r="K4" s="19" t="n"/>
      <c r="L4" s="15" t="inlineStr">
        <is>
          <t>Semaine 3</t>
        </is>
      </c>
      <c r="M4" s="19" t="n"/>
      <c r="N4" s="19" t="n"/>
      <c r="O4" s="19" t="n"/>
      <c r="P4" s="15" t="inlineStr">
        <is>
          <t>Semaine 4</t>
        </is>
      </c>
      <c r="Q4" s="19" t="n"/>
      <c r="R4" s="19" t="n"/>
      <c r="S4" s="19" t="n"/>
      <c r="T4" s="15" t="inlineStr">
        <is>
          <t>Total du mois</t>
        </is>
      </c>
      <c r="U4" s="19" t="n"/>
      <c r="V4" s="19" t="n"/>
      <c r="W4" s="19" t="n"/>
      <c r="X4" s="15" t="inlineStr">
        <is>
          <t>Dépense (€)</t>
        </is>
      </c>
    </row>
    <row r="5">
      <c r="A5" s="19" t="n"/>
      <c r="B5" s="19" t="n"/>
      <c r="C5" s="19" t="n"/>
      <c r="D5" s="8" t="inlineStr">
        <is>
          <t>Date cmd</t>
        </is>
      </c>
      <c r="E5" s="8" t="inlineStr">
        <is>
          <t>Stock</t>
        </is>
      </c>
      <c r="F5" s="8" t="inlineStr">
        <is>
          <t>Commandé</t>
        </is>
      </c>
      <c r="G5" s="8" t="inlineStr">
        <is>
          <t>Reçu</t>
        </is>
      </c>
      <c r="H5" s="8" t="inlineStr">
        <is>
          <t>Date cmd</t>
        </is>
      </c>
      <c r="I5" s="8" t="inlineStr">
        <is>
          <t>Stock</t>
        </is>
      </c>
      <c r="J5" s="8" t="inlineStr">
        <is>
          <t>Commandé</t>
        </is>
      </c>
      <c r="K5" s="8" t="inlineStr">
        <is>
          <t>Reçu</t>
        </is>
      </c>
      <c r="L5" s="8" t="inlineStr">
        <is>
          <t>Date cmd</t>
        </is>
      </c>
      <c r="M5" s="8" t="inlineStr">
        <is>
          <t>Stock</t>
        </is>
      </c>
      <c r="N5" s="8" t="inlineStr">
        <is>
          <t>Commandé</t>
        </is>
      </c>
      <c r="O5" s="8" t="inlineStr">
        <is>
          <t>Reçu</t>
        </is>
      </c>
      <c r="P5" s="8" t="inlineStr">
        <is>
          <t>Date cmd</t>
        </is>
      </c>
      <c r="Q5" s="8" t="inlineStr">
        <is>
          <t>Stock</t>
        </is>
      </c>
      <c r="R5" s="8" t="inlineStr">
        <is>
          <t>Commandé</t>
        </is>
      </c>
      <c r="S5" s="8" t="inlineStr">
        <is>
          <t>Reçu</t>
        </is>
      </c>
      <c r="T5" s="8" t="inlineStr">
        <is>
          <t>Commandé</t>
        </is>
      </c>
      <c r="U5" s="8" t="inlineStr">
        <is>
          <t>Reçu</t>
        </is>
      </c>
      <c r="V5" s="8" t="inlineStr">
        <is>
          <t>Écart</t>
        </is>
      </c>
      <c r="W5" s="8" t="inlineStr">
        <is>
          <t>Dernier stock</t>
        </is>
      </c>
      <c r="X5" s="19" t="n"/>
    </row>
    <row r="6" ht="20" customHeight="1">
      <c r="A6" s="23" t="inlineStr">
        <is>
          <t>RÉSERVE SÈCHE</t>
        </is>
      </c>
      <c r="B6" s="10" t="n"/>
      <c r="C6" s="10" t="n"/>
      <c r="D6" s="10" t="n"/>
      <c r="E6" s="10" t="n"/>
      <c r="F6" s="10" t="n"/>
      <c r="G6" s="10" t="n"/>
      <c r="H6" s="10" t="n"/>
      <c r="I6" s="10" t="n"/>
      <c r="J6" s="10" t="n"/>
      <c r="K6" s="10" t="n"/>
      <c r="L6" s="10" t="n"/>
      <c r="M6" s="10" t="n"/>
      <c r="N6" s="10" t="n"/>
      <c r="O6" s="10" t="n"/>
      <c r="P6" s="10" t="n"/>
      <c r="Q6" s="10" t="n"/>
      <c r="R6" s="10" t="n"/>
      <c r="S6" s="10" t="n"/>
      <c r="T6" s="10" t="n"/>
      <c r="U6" s="10" t="n"/>
      <c r="V6" s="10" t="n"/>
      <c r="W6" s="10" t="n"/>
      <c r="X6" s="10" t="n"/>
    </row>
    <row r="7">
      <c r="A7" s="33">
        <f>IF(Produits!$A$6="","",Produits!$A$6)</f>
        <v/>
      </c>
      <c r="B7" s="34">
        <f>IF(Produits!$A$6="","",Produits!$C$6)</f>
        <v/>
      </c>
      <c r="C7" s="34">
        <f>IF(Produits!$A$6="","",Produits!$D$6)</f>
        <v/>
      </c>
      <c r="D7" s="31">
        <f>DATE(2026,10,2)</f>
        <v/>
      </c>
      <c r="E7" s="26" t="n">
        <v>8</v>
      </c>
      <c r="F7" s="26" t="n">
        <v>10</v>
      </c>
      <c r="G7" s="26" t="n">
        <v>7</v>
      </c>
      <c r="H7" s="31">
        <f>DATE(2026,10,9)</f>
        <v/>
      </c>
      <c r="I7" s="26" t="n">
        <v>5.5</v>
      </c>
      <c r="J7" s="26" t="n">
        <v>10</v>
      </c>
      <c r="K7" s="26" t="n">
        <v>10</v>
      </c>
      <c r="L7" s="32" t="n"/>
      <c r="M7" s="29" t="n"/>
      <c r="N7" s="29" t="n"/>
      <c r="O7" s="29" t="n"/>
      <c r="P7" s="32" t="n"/>
      <c r="Q7" s="29" t="n"/>
      <c r="R7" s="29" t="n"/>
      <c r="S7" s="29" t="n"/>
      <c r="T7" s="22">
        <f>IF(COUNT(F7,J7,N7,R7)=0,"",SUM(F7,J7,N7,R7))</f>
        <v/>
      </c>
      <c r="U7" s="22">
        <f>IF(COUNT(G7,K7,O7,S7)=0,"",SUM(G7,K7,O7,S7))</f>
        <v/>
      </c>
      <c r="V7" s="22">
        <f>IF(OR(T7="",U7=""),"",U7-T7)</f>
        <v/>
      </c>
      <c r="W7" s="22">
        <f>IF(Q7&lt;&gt;"",Q7,IF(M7&lt;&gt;"",M7,IF(I7&lt;&gt;"",I7,IF(E7&lt;&gt;"",E7,""))))</f>
        <v/>
      </c>
      <c r="X7" s="18">
        <f>IF(U7="","",U7*N(Produits!$E$6))</f>
        <v/>
      </c>
    </row>
    <row r="8">
      <c r="A8" s="33">
        <f>IF(Produits!$A$7="","",Produits!$A$7)</f>
        <v/>
      </c>
      <c r="B8" s="34">
        <f>IF(Produits!$A$7="","",Produits!$C$7)</f>
        <v/>
      </c>
      <c r="C8" s="34">
        <f>IF(Produits!$A$7="","",Produits!$D$7)</f>
        <v/>
      </c>
      <c r="D8" s="31">
        <f>DATE(2026,10,2)</f>
        <v/>
      </c>
      <c r="E8" s="26" t="n">
        <v>4.8</v>
      </c>
      <c r="F8" s="26" t="n">
        <v>6</v>
      </c>
      <c r="G8" s="26" t="n">
        <v>6</v>
      </c>
      <c r="H8" s="31">
        <f>DATE(2026,10,9)</f>
        <v/>
      </c>
      <c r="I8" s="26" t="n">
        <v>3.3</v>
      </c>
      <c r="J8" s="26" t="n">
        <v>6</v>
      </c>
      <c r="K8" s="26" t="n">
        <v>6</v>
      </c>
      <c r="L8" s="32" t="n"/>
      <c r="M8" s="29" t="n"/>
      <c r="N8" s="29" t="n"/>
      <c r="O8" s="29" t="n"/>
      <c r="P8" s="32" t="n"/>
      <c r="Q8" s="29" t="n"/>
      <c r="R8" s="29" t="n"/>
      <c r="S8" s="29" t="n"/>
      <c r="T8" s="22">
        <f>IF(COUNT(F8,J8,N8,R8)=0,"",SUM(F8,J8,N8,R8))</f>
        <v/>
      </c>
      <c r="U8" s="22">
        <f>IF(COUNT(G8,K8,O8,S8)=0,"",SUM(G8,K8,O8,S8))</f>
        <v/>
      </c>
      <c r="V8" s="22">
        <f>IF(OR(T8="",U8=""),"",U8-T8)</f>
        <v/>
      </c>
      <c r="W8" s="22">
        <f>IF(Q8&lt;&gt;"",Q8,IF(M8&lt;&gt;"",M8,IF(I8&lt;&gt;"",I8,IF(E8&lt;&gt;"",E8,""))))</f>
        <v/>
      </c>
      <c r="X8" s="18">
        <f>IF(U8="","",U8*N(Produits!$E$7))</f>
        <v/>
      </c>
    </row>
    <row r="9">
      <c r="A9" s="33">
        <f>IF(Produits!$A$8="","",Produits!$A$8)</f>
        <v/>
      </c>
      <c r="B9" s="34">
        <f>IF(Produits!$A$8="","",Produits!$C$8)</f>
        <v/>
      </c>
      <c r="C9" s="34">
        <f>IF(Produits!$A$8="","",Produits!$D$8)</f>
        <v/>
      </c>
      <c r="D9" s="31">
        <f>DATE(2026,10,2)</f>
        <v/>
      </c>
      <c r="E9" s="26" t="n">
        <v>8</v>
      </c>
      <c r="F9" s="26" t="n">
        <v>10</v>
      </c>
      <c r="G9" s="26" t="n">
        <v>10</v>
      </c>
      <c r="H9" s="31">
        <f>DATE(2026,10,9)</f>
        <v/>
      </c>
      <c r="I9" s="26" t="n">
        <v>5.5</v>
      </c>
      <c r="J9" s="26" t="n">
        <v>10</v>
      </c>
      <c r="K9" s="26" t="n">
        <v>10</v>
      </c>
      <c r="L9" s="32" t="n"/>
      <c r="M9" s="29" t="n"/>
      <c r="N9" s="29" t="n"/>
      <c r="O9" s="29" t="n"/>
      <c r="P9" s="32" t="n"/>
      <c r="Q9" s="29" t="n"/>
      <c r="R9" s="29" t="n"/>
      <c r="S9" s="29" t="n"/>
      <c r="T9" s="22">
        <f>IF(COUNT(F9,J9,N9,R9)=0,"",SUM(F9,J9,N9,R9))</f>
        <v/>
      </c>
      <c r="U9" s="22">
        <f>IF(COUNT(G9,K9,O9,S9)=0,"",SUM(G9,K9,O9,S9))</f>
        <v/>
      </c>
      <c r="V9" s="22">
        <f>IF(OR(T9="",U9=""),"",U9-T9)</f>
        <v/>
      </c>
      <c r="W9" s="22">
        <f>IF(Q9&lt;&gt;"",Q9,IF(M9&lt;&gt;"",M9,IF(I9&lt;&gt;"",I9,IF(E9&lt;&gt;"",E9,""))))</f>
        <v/>
      </c>
      <c r="X9" s="18">
        <f>IF(U9="","",U9*N(Produits!$E$8))</f>
        <v/>
      </c>
    </row>
    <row r="10">
      <c r="A10" s="33">
        <f>IF(Produits!$A$9="","",Produits!$A$9)</f>
        <v/>
      </c>
      <c r="B10" s="34">
        <f>IF(Produits!$A$9="","",Produits!$C$9)</f>
        <v/>
      </c>
      <c r="C10" s="34">
        <f>IF(Produits!$A$9="","",Produits!$D$9)</f>
        <v/>
      </c>
      <c r="D10" s="31">
        <f>DATE(2026,10,2)</f>
        <v/>
      </c>
      <c r="E10" s="26" t="n">
        <v>3.2</v>
      </c>
      <c r="F10" s="26" t="n">
        <v>4</v>
      </c>
      <c r="G10" s="26" t="n">
        <v>4</v>
      </c>
      <c r="H10" s="31">
        <f>DATE(2026,10,9)</f>
        <v/>
      </c>
      <c r="I10" s="26" t="n">
        <v>2.2</v>
      </c>
      <c r="J10" s="26" t="n">
        <v>4</v>
      </c>
      <c r="K10" s="26" t="n">
        <v>4</v>
      </c>
      <c r="L10" s="32" t="n"/>
      <c r="M10" s="29" t="n"/>
      <c r="N10" s="29" t="n"/>
      <c r="O10" s="29" t="n"/>
      <c r="P10" s="32" t="n"/>
      <c r="Q10" s="29" t="n"/>
      <c r="R10" s="29" t="n"/>
      <c r="S10" s="29" t="n"/>
      <c r="T10" s="22">
        <f>IF(COUNT(F10,J10,N10,R10)=0,"",SUM(F10,J10,N10,R10))</f>
        <v/>
      </c>
      <c r="U10" s="22">
        <f>IF(COUNT(G10,K10,O10,S10)=0,"",SUM(G10,K10,O10,S10))</f>
        <v/>
      </c>
      <c r="V10" s="22">
        <f>IF(OR(T10="",U10=""),"",U10-T10)</f>
        <v/>
      </c>
      <c r="W10" s="22">
        <f>IF(Q10&lt;&gt;"",Q10,IF(M10&lt;&gt;"",M10,IF(I10&lt;&gt;"",I10,IF(E10&lt;&gt;"",E10,""))))</f>
        <v/>
      </c>
      <c r="X10" s="18">
        <f>IF(U10="","",U10*N(Produits!$E$9))</f>
        <v/>
      </c>
    </row>
    <row r="11">
      <c r="A11" s="33">
        <f>IF(Produits!$A$10="","",Produits!$A$10)</f>
        <v/>
      </c>
      <c r="B11" s="34">
        <f>IF(Produits!$A$10="","",Produits!$C$10)</f>
        <v/>
      </c>
      <c r="C11" s="34">
        <f>IF(Produits!$A$10="","",Produits!$D$10)</f>
        <v/>
      </c>
      <c r="D11" s="31">
        <f>DATE(2026,10,2)</f>
        <v/>
      </c>
      <c r="E11" s="26" t="n">
        <v>0.3</v>
      </c>
      <c r="F11" s="26" t="n">
        <v>0.4</v>
      </c>
      <c r="G11" s="26" t="n">
        <v>0.4</v>
      </c>
      <c r="H11" s="31">
        <f>DATE(2026,10,9)</f>
        <v/>
      </c>
      <c r="I11" s="26" t="n">
        <v>0.2</v>
      </c>
      <c r="J11" s="26" t="n">
        <v>0.4</v>
      </c>
      <c r="K11" s="26" t="n">
        <v>0.4</v>
      </c>
      <c r="L11" s="32" t="n"/>
      <c r="M11" s="29" t="n"/>
      <c r="N11" s="29" t="n"/>
      <c r="O11" s="29" t="n"/>
      <c r="P11" s="32" t="n"/>
      <c r="Q11" s="29" t="n"/>
      <c r="R11" s="29" t="n"/>
      <c r="S11" s="29" t="n"/>
      <c r="T11" s="22">
        <f>IF(COUNT(F11,J11,N11,R11)=0,"",SUM(F11,J11,N11,R11))</f>
        <v/>
      </c>
      <c r="U11" s="22">
        <f>IF(COUNT(G11,K11,O11,S11)=0,"",SUM(G11,K11,O11,S11))</f>
        <v/>
      </c>
      <c r="V11" s="22">
        <f>IF(OR(T11="",U11=""),"",U11-T11)</f>
        <v/>
      </c>
      <c r="W11" s="22">
        <f>IF(Q11&lt;&gt;"",Q11,IF(M11&lt;&gt;"",M11,IF(I11&lt;&gt;"",I11,IF(E11&lt;&gt;"",E11,""))))</f>
        <v/>
      </c>
      <c r="X11" s="18">
        <f>IF(U11="","",U11*N(Produits!$E$10))</f>
        <v/>
      </c>
    </row>
    <row r="12">
      <c r="A12" s="33">
        <f>IF(Produits!$A$11="","",Produits!$A$11)</f>
        <v/>
      </c>
      <c r="B12" s="34">
        <f>IF(Produits!$A$11="","",Produits!$C$11)</f>
        <v/>
      </c>
      <c r="C12" s="34">
        <f>IF(Produits!$A$11="","",Produits!$D$11)</f>
        <v/>
      </c>
      <c r="D12" s="31">
        <f>DATE(2026,10,2)</f>
        <v/>
      </c>
      <c r="E12" s="26" t="n">
        <v>0.8</v>
      </c>
      <c r="F12" s="26" t="n">
        <v>1</v>
      </c>
      <c r="G12" s="26" t="n">
        <v>1</v>
      </c>
      <c r="H12" s="31">
        <f>DATE(2026,10,9)</f>
        <v/>
      </c>
      <c r="I12" s="26" t="n">
        <v>0.6</v>
      </c>
      <c r="J12" s="26" t="n">
        <v>1</v>
      </c>
      <c r="K12" s="26" t="n">
        <v>1</v>
      </c>
      <c r="L12" s="32" t="n"/>
      <c r="M12" s="29" t="n"/>
      <c r="N12" s="29" t="n"/>
      <c r="O12" s="29" t="n"/>
      <c r="P12" s="32" t="n"/>
      <c r="Q12" s="29" t="n"/>
      <c r="R12" s="29" t="n"/>
      <c r="S12" s="29" t="n"/>
      <c r="T12" s="22">
        <f>IF(COUNT(F12,J12,N12,R12)=0,"",SUM(F12,J12,N12,R12))</f>
        <v/>
      </c>
      <c r="U12" s="22">
        <f>IF(COUNT(G12,K12,O12,S12)=0,"",SUM(G12,K12,O12,S12))</f>
        <v/>
      </c>
      <c r="V12" s="22">
        <f>IF(OR(T12="",U12=""),"",U12-T12)</f>
        <v/>
      </c>
      <c r="W12" s="22">
        <f>IF(Q12&lt;&gt;"",Q12,IF(M12&lt;&gt;"",M12,IF(I12&lt;&gt;"",I12,IF(E12&lt;&gt;"",E12,""))))</f>
        <v/>
      </c>
      <c r="X12" s="18">
        <f>IF(U12="","",U12*N(Produits!$E$11))</f>
        <v/>
      </c>
    </row>
    <row r="13">
      <c r="A13" s="33">
        <f>IF(Produits!$A$12="","",Produits!$A$12)</f>
        <v/>
      </c>
      <c r="B13" s="34">
        <f>IF(Produits!$A$12="","",Produits!$C$12)</f>
        <v/>
      </c>
      <c r="C13" s="34">
        <f>IF(Produits!$A$12="","",Produits!$D$12)</f>
        <v/>
      </c>
      <c r="D13" s="31">
        <f>DATE(2026,10,2)</f>
        <v/>
      </c>
      <c r="E13" s="26" t="n">
        <v>1.6</v>
      </c>
      <c r="F13" s="26" t="n">
        <v>2</v>
      </c>
      <c r="G13" s="26" t="n">
        <v>2</v>
      </c>
      <c r="H13" s="31">
        <f>DATE(2026,10,9)</f>
        <v/>
      </c>
      <c r="I13" s="26" t="n">
        <v>1.1</v>
      </c>
      <c r="J13" s="26" t="n">
        <v>2</v>
      </c>
      <c r="K13" s="26" t="n">
        <v>2</v>
      </c>
      <c r="L13" s="32" t="n"/>
      <c r="M13" s="29" t="n"/>
      <c r="N13" s="29" t="n"/>
      <c r="O13" s="29" t="n"/>
      <c r="P13" s="32" t="n"/>
      <c r="Q13" s="29" t="n"/>
      <c r="R13" s="29" t="n"/>
      <c r="S13" s="29" t="n"/>
      <c r="T13" s="22">
        <f>IF(COUNT(F13,J13,N13,R13)=0,"",SUM(F13,J13,N13,R13))</f>
        <v/>
      </c>
      <c r="U13" s="22">
        <f>IF(COUNT(G13,K13,O13,S13)=0,"",SUM(G13,K13,O13,S13))</f>
        <v/>
      </c>
      <c r="V13" s="22">
        <f>IF(OR(T13="",U13=""),"",U13-T13)</f>
        <v/>
      </c>
      <c r="W13" s="22">
        <f>IF(Q13&lt;&gt;"",Q13,IF(M13&lt;&gt;"",M13,IF(I13&lt;&gt;"",I13,IF(E13&lt;&gt;"",E13,""))))</f>
        <v/>
      </c>
      <c r="X13" s="18">
        <f>IF(U13="","",U13*N(Produits!$E$12))</f>
        <v/>
      </c>
    </row>
    <row r="14">
      <c r="A14" s="33">
        <f>IF(Produits!$A$13="","",Produits!$A$13)</f>
        <v/>
      </c>
      <c r="B14" s="34">
        <f>IF(Produits!$A$13="","",Produits!$C$13)</f>
        <v/>
      </c>
      <c r="C14" s="34">
        <f>IF(Produits!$A$13="","",Produits!$D$13)</f>
        <v/>
      </c>
      <c r="D14" s="31">
        <f>DATE(2026,10,2)</f>
        <v/>
      </c>
      <c r="E14" s="26" t="n">
        <v>1.6</v>
      </c>
      <c r="F14" s="26" t="n">
        <v>2</v>
      </c>
      <c r="G14" s="26" t="n">
        <v>2</v>
      </c>
      <c r="H14" s="31">
        <f>DATE(2026,10,9)</f>
        <v/>
      </c>
      <c r="I14" s="26" t="n">
        <v>1.1</v>
      </c>
      <c r="J14" s="26" t="n">
        <v>2</v>
      </c>
      <c r="K14" s="26" t="n">
        <v>2</v>
      </c>
      <c r="L14" s="32" t="n"/>
      <c r="M14" s="29" t="n"/>
      <c r="N14" s="29" t="n"/>
      <c r="O14" s="29" t="n"/>
      <c r="P14" s="32" t="n"/>
      <c r="Q14" s="29" t="n"/>
      <c r="R14" s="29" t="n"/>
      <c r="S14" s="29" t="n"/>
      <c r="T14" s="22">
        <f>IF(COUNT(F14,J14,N14,R14)=0,"",SUM(F14,J14,N14,R14))</f>
        <v/>
      </c>
      <c r="U14" s="22">
        <f>IF(COUNT(G14,K14,O14,S14)=0,"",SUM(G14,K14,O14,S14))</f>
        <v/>
      </c>
      <c r="V14" s="22">
        <f>IF(OR(T14="",U14=""),"",U14-T14)</f>
        <v/>
      </c>
      <c r="W14" s="22">
        <f>IF(Q14&lt;&gt;"",Q14,IF(M14&lt;&gt;"",M14,IF(I14&lt;&gt;"",I14,IF(E14&lt;&gt;"",E14,""))))</f>
        <v/>
      </c>
      <c r="X14" s="18">
        <f>IF(U14="","",U14*N(Produits!$E$13))</f>
        <v/>
      </c>
    </row>
    <row r="15">
      <c r="A15" s="33">
        <f>IF(Produits!$A$14="","",Produits!$A$14)</f>
        <v/>
      </c>
      <c r="B15" s="34">
        <f>IF(Produits!$A$14="","",Produits!$C$14)</f>
        <v/>
      </c>
      <c r="C15" s="34">
        <f>IF(Produits!$A$14="","",Produits!$D$14)</f>
        <v/>
      </c>
      <c r="D15" s="31">
        <f>DATE(2026,10,2)</f>
        <v/>
      </c>
      <c r="E15" s="26" t="n">
        <v>3.2</v>
      </c>
      <c r="F15" s="26" t="n">
        <v>4</v>
      </c>
      <c r="G15" s="26" t="n">
        <v>4</v>
      </c>
      <c r="H15" s="31">
        <f>DATE(2026,10,9)</f>
        <v/>
      </c>
      <c r="I15" s="26" t="n">
        <v>2.2</v>
      </c>
      <c r="J15" s="26" t="n">
        <v>4</v>
      </c>
      <c r="K15" s="26" t="n">
        <v>4</v>
      </c>
      <c r="L15" s="32" t="n"/>
      <c r="M15" s="29" t="n"/>
      <c r="N15" s="29" t="n"/>
      <c r="O15" s="29" t="n"/>
      <c r="P15" s="32" t="n"/>
      <c r="Q15" s="29" t="n"/>
      <c r="R15" s="29" t="n"/>
      <c r="S15" s="29" t="n"/>
      <c r="T15" s="22">
        <f>IF(COUNT(F15,J15,N15,R15)=0,"",SUM(F15,J15,N15,R15))</f>
        <v/>
      </c>
      <c r="U15" s="22">
        <f>IF(COUNT(G15,K15,O15,S15)=0,"",SUM(G15,K15,O15,S15))</f>
        <v/>
      </c>
      <c r="V15" s="22">
        <f>IF(OR(T15="",U15=""),"",U15-T15)</f>
        <v/>
      </c>
      <c r="W15" s="22">
        <f>IF(Q15&lt;&gt;"",Q15,IF(M15&lt;&gt;"",M15,IF(I15&lt;&gt;"",I15,IF(E15&lt;&gt;"",E15,""))))</f>
        <v/>
      </c>
      <c r="X15" s="18">
        <f>IF(U15="","",U15*N(Produits!$E$14))</f>
        <v/>
      </c>
    </row>
    <row r="16">
      <c r="A16" s="33">
        <f>IF(Produits!$A$15="","",Produits!$A$15)</f>
        <v/>
      </c>
      <c r="B16" s="34">
        <f>IF(Produits!$A$15="","",Produits!$C$15)</f>
        <v/>
      </c>
      <c r="C16" s="34">
        <f>IF(Produits!$A$15="","",Produits!$D$15)</f>
        <v/>
      </c>
      <c r="D16" s="31">
        <f>DATE(2026,10,2)</f>
        <v/>
      </c>
      <c r="E16" s="26" t="n">
        <v>1.6</v>
      </c>
      <c r="F16" s="26" t="n">
        <v>2</v>
      </c>
      <c r="G16" s="26" t="n">
        <v>2</v>
      </c>
      <c r="H16" s="31">
        <f>DATE(2026,10,9)</f>
        <v/>
      </c>
      <c r="I16" s="26" t="n">
        <v>1.1</v>
      </c>
      <c r="J16" s="26" t="n">
        <v>2</v>
      </c>
      <c r="K16" s="26" t="n">
        <v>2</v>
      </c>
      <c r="L16" s="32" t="n"/>
      <c r="M16" s="29" t="n"/>
      <c r="N16" s="29" t="n"/>
      <c r="O16" s="29" t="n"/>
      <c r="P16" s="32" t="n"/>
      <c r="Q16" s="29" t="n"/>
      <c r="R16" s="29" t="n"/>
      <c r="S16" s="29" t="n"/>
      <c r="T16" s="22">
        <f>IF(COUNT(F16,J16,N16,R16)=0,"",SUM(F16,J16,N16,R16))</f>
        <v/>
      </c>
      <c r="U16" s="22">
        <f>IF(COUNT(G16,K16,O16,S16)=0,"",SUM(G16,K16,O16,S16))</f>
        <v/>
      </c>
      <c r="V16" s="22">
        <f>IF(OR(T16="",U16=""),"",U16-T16)</f>
        <v/>
      </c>
      <c r="W16" s="22">
        <f>IF(Q16&lt;&gt;"",Q16,IF(M16&lt;&gt;"",M16,IF(I16&lt;&gt;"",I16,IF(E16&lt;&gt;"",E16,""))))</f>
        <v/>
      </c>
      <c r="X16" s="18">
        <f>IF(U16="","",U16*N(Produits!$E$15))</f>
        <v/>
      </c>
    </row>
    <row r="17">
      <c r="A17" s="33">
        <f>IF(Produits!$A$16="","",Produits!$A$16)</f>
        <v/>
      </c>
      <c r="B17" s="34">
        <f>IF(Produits!$A$16="","",Produits!$C$16)</f>
        <v/>
      </c>
      <c r="C17" s="34">
        <f>IF(Produits!$A$16="","",Produits!$D$16)</f>
        <v/>
      </c>
      <c r="D17" s="31">
        <f>DATE(2026,10,2)</f>
        <v/>
      </c>
      <c r="E17" s="26" t="n">
        <v>3.2</v>
      </c>
      <c r="F17" s="26" t="n">
        <v>4</v>
      </c>
      <c r="G17" s="26" t="n">
        <v>4</v>
      </c>
      <c r="H17" s="31">
        <f>DATE(2026,10,9)</f>
        <v/>
      </c>
      <c r="I17" s="26" t="n">
        <v>2.2</v>
      </c>
      <c r="J17" s="26" t="n">
        <v>4</v>
      </c>
      <c r="K17" s="26" t="n">
        <v>4</v>
      </c>
      <c r="L17" s="32" t="n"/>
      <c r="M17" s="29" t="n"/>
      <c r="N17" s="29" t="n"/>
      <c r="O17" s="29" t="n"/>
      <c r="P17" s="32" t="n"/>
      <c r="Q17" s="29" t="n"/>
      <c r="R17" s="29" t="n"/>
      <c r="S17" s="29" t="n"/>
      <c r="T17" s="22">
        <f>IF(COUNT(F17,J17,N17,R17)=0,"",SUM(F17,J17,N17,R17))</f>
        <v/>
      </c>
      <c r="U17" s="22">
        <f>IF(COUNT(G17,K17,O17,S17)=0,"",SUM(G17,K17,O17,S17))</f>
        <v/>
      </c>
      <c r="V17" s="22">
        <f>IF(OR(T17="",U17=""),"",U17-T17)</f>
        <v/>
      </c>
      <c r="W17" s="22">
        <f>IF(Q17&lt;&gt;"",Q17,IF(M17&lt;&gt;"",M17,IF(I17&lt;&gt;"",I17,IF(E17&lt;&gt;"",E17,""))))</f>
        <v/>
      </c>
      <c r="X17" s="18">
        <f>IF(U17="","",U17*N(Produits!$E$16))</f>
        <v/>
      </c>
    </row>
    <row r="18">
      <c r="A18" s="33">
        <f>IF(Produits!$A$17="","",Produits!$A$17)</f>
        <v/>
      </c>
      <c r="B18" s="34">
        <f>IF(Produits!$A$17="","",Produits!$C$17)</f>
        <v/>
      </c>
      <c r="C18" s="34">
        <f>IF(Produits!$A$17="","",Produits!$D$17)</f>
        <v/>
      </c>
      <c r="D18" s="31">
        <f>DATE(2026,10,2)</f>
        <v/>
      </c>
      <c r="E18" s="26" t="n">
        <v>0.8</v>
      </c>
      <c r="F18" s="26" t="n">
        <v>1</v>
      </c>
      <c r="G18" s="26" t="n">
        <v>1</v>
      </c>
      <c r="H18" s="31">
        <f>DATE(2026,10,9)</f>
        <v/>
      </c>
      <c r="I18" s="26" t="n">
        <v>0.6</v>
      </c>
      <c r="J18" s="26" t="n">
        <v>1</v>
      </c>
      <c r="K18" s="26" t="n">
        <v>1</v>
      </c>
      <c r="L18" s="32" t="n"/>
      <c r="M18" s="29" t="n"/>
      <c r="N18" s="29" t="n"/>
      <c r="O18" s="29" t="n"/>
      <c r="P18" s="32" t="n"/>
      <c r="Q18" s="29" t="n"/>
      <c r="R18" s="29" t="n"/>
      <c r="S18" s="29" t="n"/>
      <c r="T18" s="22">
        <f>IF(COUNT(F18,J18,N18,R18)=0,"",SUM(F18,J18,N18,R18))</f>
        <v/>
      </c>
      <c r="U18" s="22">
        <f>IF(COUNT(G18,K18,O18,S18)=0,"",SUM(G18,K18,O18,S18))</f>
        <v/>
      </c>
      <c r="V18" s="22">
        <f>IF(OR(T18="",U18=""),"",U18-T18)</f>
        <v/>
      </c>
      <c r="W18" s="22">
        <f>IF(Q18&lt;&gt;"",Q18,IF(M18&lt;&gt;"",M18,IF(I18&lt;&gt;"",I18,IF(E18&lt;&gt;"",E18,""))))</f>
        <v/>
      </c>
      <c r="X18" s="18">
        <f>IF(U18="","",U18*N(Produits!$E$17))</f>
        <v/>
      </c>
    </row>
    <row r="19">
      <c r="A19" s="33">
        <f>IF(Produits!$A$18="","",Produits!$A$18)</f>
        <v/>
      </c>
      <c r="B19" s="34">
        <f>IF(Produits!$A$18="","",Produits!$C$18)</f>
        <v/>
      </c>
      <c r="C19" s="34">
        <f>IF(Produits!$A$18="","",Produits!$D$18)</f>
        <v/>
      </c>
      <c r="D19" s="32" t="n"/>
      <c r="E19" s="29" t="n"/>
      <c r="F19" s="29" t="n"/>
      <c r="G19" s="29" t="n"/>
      <c r="H19" s="32" t="n"/>
      <c r="I19" s="29" t="n"/>
      <c r="J19" s="29" t="n"/>
      <c r="K19" s="29" t="n"/>
      <c r="L19" s="32" t="n"/>
      <c r="M19" s="29" t="n"/>
      <c r="N19" s="29" t="n"/>
      <c r="O19" s="29" t="n"/>
      <c r="P19" s="32" t="n"/>
      <c r="Q19" s="29" t="n"/>
      <c r="R19" s="29" t="n"/>
      <c r="S19" s="29" t="n"/>
      <c r="T19" s="22">
        <f>IF(COUNT(F19,J19,N19,R19)=0,"",SUM(F19,J19,N19,R19))</f>
        <v/>
      </c>
      <c r="U19" s="22">
        <f>IF(COUNT(G19,K19,O19,S19)=0,"",SUM(G19,K19,O19,S19))</f>
        <v/>
      </c>
      <c r="V19" s="22">
        <f>IF(OR(T19="",U19=""),"",U19-T19)</f>
        <v/>
      </c>
      <c r="W19" s="22">
        <f>IF(Q19&lt;&gt;"",Q19,IF(M19&lt;&gt;"",M19,IF(I19&lt;&gt;"",I19,IF(E19&lt;&gt;"",E19,""))))</f>
        <v/>
      </c>
      <c r="X19" s="18">
        <f>IF(U19="","",U19*N(Produits!$E$18))</f>
        <v/>
      </c>
    </row>
    <row r="20">
      <c r="A20" s="33">
        <f>IF(Produits!$A$19="","",Produits!$A$19)</f>
        <v/>
      </c>
      <c r="B20" s="34">
        <f>IF(Produits!$A$19="","",Produits!$C$19)</f>
        <v/>
      </c>
      <c r="C20" s="34">
        <f>IF(Produits!$A$19="","",Produits!$D$19)</f>
        <v/>
      </c>
      <c r="D20" s="32" t="n"/>
      <c r="E20" s="29" t="n"/>
      <c r="F20" s="29" t="n"/>
      <c r="G20" s="29" t="n"/>
      <c r="H20" s="32" t="n"/>
      <c r="I20" s="29" t="n"/>
      <c r="J20" s="29" t="n"/>
      <c r="K20" s="29" t="n"/>
      <c r="L20" s="32" t="n"/>
      <c r="M20" s="29" t="n"/>
      <c r="N20" s="29" t="n"/>
      <c r="O20" s="29" t="n"/>
      <c r="P20" s="32" t="n"/>
      <c r="Q20" s="29" t="n"/>
      <c r="R20" s="29" t="n"/>
      <c r="S20" s="29" t="n"/>
      <c r="T20" s="22">
        <f>IF(COUNT(F20,J20,N20,R20)=0,"",SUM(F20,J20,N20,R20))</f>
        <v/>
      </c>
      <c r="U20" s="22">
        <f>IF(COUNT(G20,K20,O20,S20)=0,"",SUM(G20,K20,O20,S20))</f>
        <v/>
      </c>
      <c r="V20" s="22">
        <f>IF(OR(T20="",U20=""),"",U20-T20)</f>
        <v/>
      </c>
      <c r="W20" s="22">
        <f>IF(Q20&lt;&gt;"",Q20,IF(M20&lt;&gt;"",M20,IF(I20&lt;&gt;"",I20,IF(E20&lt;&gt;"",E20,""))))</f>
        <v/>
      </c>
      <c r="X20" s="18">
        <f>IF(U20="","",U20*N(Produits!$E$19))</f>
        <v/>
      </c>
    </row>
    <row r="21">
      <c r="A21" s="33">
        <f>IF(Produits!$A$20="","",Produits!$A$20)</f>
        <v/>
      </c>
      <c r="B21" s="34">
        <f>IF(Produits!$A$20="","",Produits!$C$20)</f>
        <v/>
      </c>
      <c r="C21" s="34">
        <f>IF(Produits!$A$20="","",Produits!$D$20)</f>
        <v/>
      </c>
      <c r="D21" s="32" t="n"/>
      <c r="E21" s="29" t="n"/>
      <c r="F21" s="29" t="n"/>
      <c r="G21" s="29" t="n"/>
      <c r="H21" s="32" t="n"/>
      <c r="I21" s="29" t="n"/>
      <c r="J21" s="29" t="n"/>
      <c r="K21" s="29" t="n"/>
      <c r="L21" s="32" t="n"/>
      <c r="M21" s="29" t="n"/>
      <c r="N21" s="29" t="n"/>
      <c r="O21" s="29" t="n"/>
      <c r="P21" s="32" t="n"/>
      <c r="Q21" s="29" t="n"/>
      <c r="R21" s="29" t="n"/>
      <c r="S21" s="29" t="n"/>
      <c r="T21" s="22">
        <f>IF(COUNT(F21,J21,N21,R21)=0,"",SUM(F21,J21,N21,R21))</f>
        <v/>
      </c>
      <c r="U21" s="22">
        <f>IF(COUNT(G21,K21,O21,S21)=0,"",SUM(G21,K21,O21,S21))</f>
        <v/>
      </c>
      <c r="V21" s="22">
        <f>IF(OR(T21="",U21=""),"",U21-T21)</f>
        <v/>
      </c>
      <c r="W21" s="22">
        <f>IF(Q21&lt;&gt;"",Q21,IF(M21&lt;&gt;"",M21,IF(I21&lt;&gt;"",I21,IF(E21&lt;&gt;"",E21,""))))</f>
        <v/>
      </c>
      <c r="X21" s="18">
        <f>IF(U21="","",U21*N(Produits!$E$20))</f>
        <v/>
      </c>
    </row>
    <row r="22" ht="20" customHeight="1">
      <c r="A22" s="23" t="inlineStr">
        <is>
          <t>CHAMBRE FROIDE POSITIVE</t>
        </is>
      </c>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row>
    <row r="23">
      <c r="A23" s="33">
        <f>IF(Produits!$A$22="","",Produits!$A$22)</f>
        <v/>
      </c>
      <c r="B23" s="34">
        <f>IF(Produits!$A$22="","",Produits!$C$22)</f>
        <v/>
      </c>
      <c r="C23" s="34">
        <f>IF(Produits!$A$22="","",Produits!$D$22)</f>
        <v/>
      </c>
      <c r="D23" s="31">
        <f>DATE(2026,10,2)</f>
        <v/>
      </c>
      <c r="E23" s="26" t="n">
        <v>9.6</v>
      </c>
      <c r="F23" s="26" t="n">
        <v>12</v>
      </c>
      <c r="G23" s="26" t="n">
        <v>12</v>
      </c>
      <c r="H23" s="31">
        <f>DATE(2026,10,9)</f>
        <v/>
      </c>
      <c r="I23" s="26" t="n">
        <v>6.6</v>
      </c>
      <c r="J23" s="26" t="n">
        <v>12</v>
      </c>
      <c r="K23" s="26" t="n">
        <v>12</v>
      </c>
      <c r="L23" s="32" t="n"/>
      <c r="M23" s="29" t="n"/>
      <c r="N23" s="29" t="n"/>
      <c r="O23" s="29" t="n"/>
      <c r="P23" s="32" t="n"/>
      <c r="Q23" s="29" t="n"/>
      <c r="R23" s="29" t="n"/>
      <c r="S23" s="29" t="n"/>
      <c r="T23" s="22">
        <f>IF(COUNT(F23,J23,N23,R23)=0,"",SUM(F23,J23,N23,R23))</f>
        <v/>
      </c>
      <c r="U23" s="22">
        <f>IF(COUNT(G23,K23,O23,S23)=0,"",SUM(G23,K23,O23,S23))</f>
        <v/>
      </c>
      <c r="V23" s="22">
        <f>IF(OR(T23="",U23=""),"",U23-T23)</f>
        <v/>
      </c>
      <c r="W23" s="22">
        <f>IF(Q23&lt;&gt;"",Q23,IF(M23&lt;&gt;"",M23,IF(I23&lt;&gt;"",I23,IF(E23&lt;&gt;"",E23,""))))</f>
        <v/>
      </c>
      <c r="X23" s="18">
        <f>IF(U23="","",U23*N(Produits!$E$22))</f>
        <v/>
      </c>
    </row>
    <row r="24">
      <c r="A24" s="33">
        <f>IF(Produits!$A$23="","",Produits!$A$23)</f>
        <v/>
      </c>
      <c r="B24" s="34">
        <f>IF(Produits!$A$23="","",Produits!$C$23)</f>
        <v/>
      </c>
      <c r="C24" s="34">
        <f>IF(Produits!$A$23="","",Produits!$D$23)</f>
        <v/>
      </c>
      <c r="D24" s="31">
        <f>DATE(2026,10,2)</f>
        <v/>
      </c>
      <c r="E24" s="26" t="n">
        <v>6.4</v>
      </c>
      <c r="F24" s="26" t="n">
        <v>8</v>
      </c>
      <c r="G24" s="26" t="n">
        <v>8</v>
      </c>
      <c r="H24" s="31">
        <f>DATE(2026,10,9)</f>
        <v/>
      </c>
      <c r="I24" s="26" t="n">
        <v>4.4</v>
      </c>
      <c r="J24" s="26" t="n">
        <v>8</v>
      </c>
      <c r="K24" s="26" t="n">
        <v>8</v>
      </c>
      <c r="L24" s="32" t="n"/>
      <c r="M24" s="29" t="n"/>
      <c r="N24" s="29" t="n"/>
      <c r="O24" s="29" t="n"/>
      <c r="P24" s="32" t="n"/>
      <c r="Q24" s="29" t="n"/>
      <c r="R24" s="29" t="n"/>
      <c r="S24" s="29" t="n"/>
      <c r="T24" s="22">
        <f>IF(COUNT(F24,J24,N24,R24)=0,"",SUM(F24,J24,N24,R24))</f>
        <v/>
      </c>
      <c r="U24" s="22">
        <f>IF(COUNT(G24,K24,O24,S24)=0,"",SUM(G24,K24,O24,S24))</f>
        <v/>
      </c>
      <c r="V24" s="22">
        <f>IF(OR(T24="",U24=""),"",U24-T24)</f>
        <v/>
      </c>
      <c r="W24" s="22">
        <f>IF(Q24&lt;&gt;"",Q24,IF(M24&lt;&gt;"",M24,IF(I24&lt;&gt;"",I24,IF(E24&lt;&gt;"",E24,""))))</f>
        <v/>
      </c>
      <c r="X24" s="18">
        <f>IF(U24="","",U24*N(Produits!$E$23))</f>
        <v/>
      </c>
    </row>
    <row r="25">
      <c r="A25" s="33">
        <f>IF(Produits!$A$24="","",Produits!$A$24)</f>
        <v/>
      </c>
      <c r="B25" s="34">
        <f>IF(Produits!$A$24="","",Produits!$C$24)</f>
        <v/>
      </c>
      <c r="C25" s="34">
        <f>IF(Produits!$A$24="","",Produits!$D$24)</f>
        <v/>
      </c>
      <c r="D25" s="31">
        <f>DATE(2026,10,2)</f>
        <v/>
      </c>
      <c r="E25" s="26" t="n">
        <v>96</v>
      </c>
      <c r="F25" s="26" t="n">
        <v>120</v>
      </c>
      <c r="G25" s="26" t="n">
        <v>120</v>
      </c>
      <c r="H25" s="31">
        <f>DATE(2026,10,9)</f>
        <v/>
      </c>
      <c r="I25" s="26" t="n">
        <v>66</v>
      </c>
      <c r="J25" s="26" t="n">
        <v>120</v>
      </c>
      <c r="K25" s="26" t="n">
        <v>120</v>
      </c>
      <c r="L25" s="32" t="n"/>
      <c r="M25" s="29" t="n"/>
      <c r="N25" s="29" t="n"/>
      <c r="O25" s="29" t="n"/>
      <c r="P25" s="32" t="n"/>
      <c r="Q25" s="29" t="n"/>
      <c r="R25" s="29" t="n"/>
      <c r="S25" s="29" t="n"/>
      <c r="T25" s="22">
        <f>IF(COUNT(F25,J25,N25,R25)=0,"",SUM(F25,J25,N25,R25))</f>
        <v/>
      </c>
      <c r="U25" s="22">
        <f>IF(COUNT(G25,K25,O25,S25)=0,"",SUM(G25,K25,O25,S25))</f>
        <v/>
      </c>
      <c r="V25" s="22">
        <f>IF(OR(T25="",U25=""),"",U25-T25)</f>
        <v/>
      </c>
      <c r="W25" s="22">
        <f>IF(Q25&lt;&gt;"",Q25,IF(M25&lt;&gt;"",M25,IF(I25&lt;&gt;"",I25,IF(E25&lt;&gt;"",E25,""))))</f>
        <v/>
      </c>
      <c r="X25" s="18">
        <f>IF(U25="","",U25*N(Produits!$E$24))</f>
        <v/>
      </c>
    </row>
    <row r="26">
      <c r="A26" s="33">
        <f>IF(Produits!$A$25="","",Produits!$A$25)</f>
        <v/>
      </c>
      <c r="B26" s="34">
        <f>IF(Produits!$A$25="","",Produits!$C$25)</f>
        <v/>
      </c>
      <c r="C26" s="34">
        <f>IF(Produits!$A$25="","",Produits!$D$25)</f>
        <v/>
      </c>
      <c r="D26" s="31">
        <f>DATE(2026,10,2)</f>
        <v/>
      </c>
      <c r="E26" s="26" t="n">
        <v>8</v>
      </c>
      <c r="F26" s="26" t="n">
        <v>10</v>
      </c>
      <c r="G26" s="26" t="n">
        <v>10</v>
      </c>
      <c r="H26" s="31">
        <f>DATE(2026,10,9)</f>
        <v/>
      </c>
      <c r="I26" s="26" t="n">
        <v>5.5</v>
      </c>
      <c r="J26" s="26" t="n">
        <v>10</v>
      </c>
      <c r="K26" s="26" t="n">
        <v>10</v>
      </c>
      <c r="L26" s="32" t="n"/>
      <c r="M26" s="29" t="n"/>
      <c r="N26" s="29" t="n"/>
      <c r="O26" s="29" t="n"/>
      <c r="P26" s="32" t="n"/>
      <c r="Q26" s="29" t="n"/>
      <c r="R26" s="29" t="n"/>
      <c r="S26" s="29" t="n"/>
      <c r="T26" s="22">
        <f>IF(COUNT(F26,J26,N26,R26)=0,"",SUM(F26,J26,N26,R26))</f>
        <v/>
      </c>
      <c r="U26" s="22">
        <f>IF(COUNT(G26,K26,O26,S26)=0,"",SUM(G26,K26,O26,S26))</f>
        <v/>
      </c>
      <c r="V26" s="22">
        <f>IF(OR(T26="",U26=""),"",U26-T26)</f>
        <v/>
      </c>
      <c r="W26" s="22">
        <f>IF(Q26&lt;&gt;"",Q26,IF(M26&lt;&gt;"",M26,IF(I26&lt;&gt;"",I26,IF(E26&lt;&gt;"",E26,""))))</f>
        <v/>
      </c>
      <c r="X26" s="18">
        <f>IF(U26="","",U26*N(Produits!$E$25))</f>
        <v/>
      </c>
    </row>
    <row r="27">
      <c r="A27" s="33">
        <f>IF(Produits!$A$26="","",Produits!$A$26)</f>
        <v/>
      </c>
      <c r="B27" s="34">
        <f>IF(Produits!$A$26="","",Produits!$C$26)</f>
        <v/>
      </c>
      <c r="C27" s="34">
        <f>IF(Produits!$A$26="","",Produits!$D$26)</f>
        <v/>
      </c>
      <c r="D27" s="32" t="n"/>
      <c r="E27" s="29" t="n"/>
      <c r="F27" s="29" t="n"/>
      <c r="G27" s="29" t="n"/>
      <c r="H27" s="32" t="n"/>
      <c r="I27" s="29" t="n"/>
      <c r="J27" s="29" t="n"/>
      <c r="K27" s="29" t="n"/>
      <c r="L27" s="32" t="n"/>
      <c r="M27" s="29" t="n"/>
      <c r="N27" s="29" t="n"/>
      <c r="O27" s="29" t="n"/>
      <c r="P27" s="32" t="n"/>
      <c r="Q27" s="29" t="n"/>
      <c r="R27" s="29" t="n"/>
      <c r="S27" s="29" t="n"/>
      <c r="T27" s="22">
        <f>IF(COUNT(F27,J27,N27,R27)=0,"",SUM(F27,J27,N27,R27))</f>
        <v/>
      </c>
      <c r="U27" s="22">
        <f>IF(COUNT(G27,K27,O27,S27)=0,"",SUM(G27,K27,O27,S27))</f>
        <v/>
      </c>
      <c r="V27" s="22">
        <f>IF(OR(T27="",U27=""),"",U27-T27)</f>
        <v/>
      </c>
      <c r="W27" s="22">
        <f>IF(Q27&lt;&gt;"",Q27,IF(M27&lt;&gt;"",M27,IF(I27&lt;&gt;"",I27,IF(E27&lt;&gt;"",E27,""))))</f>
        <v/>
      </c>
      <c r="X27" s="18">
        <f>IF(U27="","",U27*N(Produits!$E$26))</f>
        <v/>
      </c>
    </row>
    <row r="28">
      <c r="A28" s="33">
        <f>IF(Produits!$A$27="","",Produits!$A$27)</f>
        <v/>
      </c>
      <c r="B28" s="34">
        <f>IF(Produits!$A$27="","",Produits!$C$27)</f>
        <v/>
      </c>
      <c r="C28" s="34">
        <f>IF(Produits!$A$27="","",Produits!$D$27)</f>
        <v/>
      </c>
      <c r="D28" s="32" t="n"/>
      <c r="E28" s="29" t="n"/>
      <c r="F28" s="29" t="n"/>
      <c r="G28" s="29" t="n"/>
      <c r="H28" s="32" t="n"/>
      <c r="I28" s="29" t="n"/>
      <c r="J28" s="29" t="n"/>
      <c r="K28" s="29" t="n"/>
      <c r="L28" s="32" t="n"/>
      <c r="M28" s="29" t="n"/>
      <c r="N28" s="29" t="n"/>
      <c r="O28" s="29" t="n"/>
      <c r="P28" s="32" t="n"/>
      <c r="Q28" s="29" t="n"/>
      <c r="R28" s="29" t="n"/>
      <c r="S28" s="29" t="n"/>
      <c r="T28" s="22">
        <f>IF(COUNT(F28,J28,N28,R28)=0,"",SUM(F28,J28,N28,R28))</f>
        <v/>
      </c>
      <c r="U28" s="22">
        <f>IF(COUNT(G28,K28,O28,S28)=0,"",SUM(G28,K28,O28,S28))</f>
        <v/>
      </c>
      <c r="V28" s="22">
        <f>IF(OR(T28="",U28=""),"",U28-T28)</f>
        <v/>
      </c>
      <c r="W28" s="22">
        <f>IF(Q28&lt;&gt;"",Q28,IF(M28&lt;&gt;"",M28,IF(I28&lt;&gt;"",I28,IF(E28&lt;&gt;"",E28,""))))</f>
        <v/>
      </c>
      <c r="X28" s="18">
        <f>IF(U28="","",U28*N(Produits!$E$27))</f>
        <v/>
      </c>
    </row>
    <row r="29">
      <c r="A29" s="33">
        <f>IF(Produits!$A$28="","",Produits!$A$28)</f>
        <v/>
      </c>
      <c r="B29" s="34">
        <f>IF(Produits!$A$28="","",Produits!$C$28)</f>
        <v/>
      </c>
      <c r="C29" s="34">
        <f>IF(Produits!$A$28="","",Produits!$D$28)</f>
        <v/>
      </c>
      <c r="D29" s="32" t="n"/>
      <c r="E29" s="29" t="n"/>
      <c r="F29" s="29" t="n"/>
      <c r="G29" s="29" t="n"/>
      <c r="H29" s="32" t="n"/>
      <c r="I29" s="29" t="n"/>
      <c r="J29" s="29" t="n"/>
      <c r="K29" s="29" t="n"/>
      <c r="L29" s="32" t="n"/>
      <c r="M29" s="29" t="n"/>
      <c r="N29" s="29" t="n"/>
      <c r="O29" s="29" t="n"/>
      <c r="P29" s="32" t="n"/>
      <c r="Q29" s="29" t="n"/>
      <c r="R29" s="29" t="n"/>
      <c r="S29" s="29" t="n"/>
      <c r="T29" s="22">
        <f>IF(COUNT(F29,J29,N29,R29)=0,"",SUM(F29,J29,N29,R29))</f>
        <v/>
      </c>
      <c r="U29" s="22">
        <f>IF(COUNT(G29,K29,O29,S29)=0,"",SUM(G29,K29,O29,S29))</f>
        <v/>
      </c>
      <c r="V29" s="22">
        <f>IF(OR(T29="",U29=""),"",U29-T29)</f>
        <v/>
      </c>
      <c r="W29" s="22">
        <f>IF(Q29&lt;&gt;"",Q29,IF(M29&lt;&gt;"",M29,IF(I29&lt;&gt;"",I29,IF(E29&lt;&gt;"",E29,""))))</f>
        <v/>
      </c>
      <c r="X29" s="18">
        <f>IF(U29="","",U29*N(Produits!$E$28))</f>
        <v/>
      </c>
    </row>
    <row r="30">
      <c r="A30" s="33">
        <f>IF(Produits!$A$29="","",Produits!$A$29)</f>
        <v/>
      </c>
      <c r="B30" s="34">
        <f>IF(Produits!$A$29="","",Produits!$C$29)</f>
        <v/>
      </c>
      <c r="C30" s="34">
        <f>IF(Produits!$A$29="","",Produits!$D$29)</f>
        <v/>
      </c>
      <c r="D30" s="32" t="n"/>
      <c r="E30" s="29" t="n"/>
      <c r="F30" s="29" t="n"/>
      <c r="G30" s="29" t="n"/>
      <c r="H30" s="32" t="n"/>
      <c r="I30" s="29" t="n"/>
      <c r="J30" s="29" t="n"/>
      <c r="K30" s="29" t="n"/>
      <c r="L30" s="32" t="n"/>
      <c r="M30" s="29" t="n"/>
      <c r="N30" s="29" t="n"/>
      <c r="O30" s="29" t="n"/>
      <c r="P30" s="32" t="n"/>
      <c r="Q30" s="29" t="n"/>
      <c r="R30" s="29" t="n"/>
      <c r="S30" s="29" t="n"/>
      <c r="T30" s="22">
        <f>IF(COUNT(F30,J30,N30,R30)=0,"",SUM(F30,J30,N30,R30))</f>
        <v/>
      </c>
      <c r="U30" s="22">
        <f>IF(COUNT(G30,K30,O30,S30)=0,"",SUM(G30,K30,O30,S30))</f>
        <v/>
      </c>
      <c r="V30" s="22">
        <f>IF(OR(T30="",U30=""),"",U30-T30)</f>
        <v/>
      </c>
      <c r="W30" s="22">
        <f>IF(Q30&lt;&gt;"",Q30,IF(M30&lt;&gt;"",M30,IF(I30&lt;&gt;"",I30,IF(E30&lt;&gt;"",E30,""))))</f>
        <v/>
      </c>
      <c r="X30" s="18">
        <f>IF(U30="","",U30*N(Produits!$E$29))</f>
        <v/>
      </c>
    </row>
    <row r="31">
      <c r="A31" s="33">
        <f>IF(Produits!$A$30="","",Produits!$A$30)</f>
        <v/>
      </c>
      <c r="B31" s="34">
        <f>IF(Produits!$A$30="","",Produits!$C$30)</f>
        <v/>
      </c>
      <c r="C31" s="34">
        <f>IF(Produits!$A$30="","",Produits!$D$30)</f>
        <v/>
      </c>
      <c r="D31" s="32" t="n"/>
      <c r="E31" s="29" t="n"/>
      <c r="F31" s="29" t="n"/>
      <c r="G31" s="29" t="n"/>
      <c r="H31" s="32" t="n"/>
      <c r="I31" s="29" t="n"/>
      <c r="J31" s="29" t="n"/>
      <c r="K31" s="29" t="n"/>
      <c r="L31" s="32" t="n"/>
      <c r="M31" s="29" t="n"/>
      <c r="N31" s="29" t="n"/>
      <c r="O31" s="29" t="n"/>
      <c r="P31" s="32" t="n"/>
      <c r="Q31" s="29" t="n"/>
      <c r="R31" s="29" t="n"/>
      <c r="S31" s="29" t="n"/>
      <c r="T31" s="22">
        <f>IF(COUNT(F31,J31,N31,R31)=0,"",SUM(F31,J31,N31,R31))</f>
        <v/>
      </c>
      <c r="U31" s="22">
        <f>IF(COUNT(G31,K31,O31,S31)=0,"",SUM(G31,K31,O31,S31))</f>
        <v/>
      </c>
      <c r="V31" s="22">
        <f>IF(OR(T31="",U31=""),"",U31-T31)</f>
        <v/>
      </c>
      <c r="W31" s="22">
        <f>IF(Q31&lt;&gt;"",Q31,IF(M31&lt;&gt;"",M31,IF(I31&lt;&gt;"",I31,IF(E31&lt;&gt;"",E31,""))))</f>
        <v/>
      </c>
      <c r="X31" s="18">
        <f>IF(U31="","",U31*N(Produits!$E$30))</f>
        <v/>
      </c>
    </row>
    <row r="32">
      <c r="A32" s="33">
        <f>IF(Produits!$A$31="","",Produits!$A$31)</f>
        <v/>
      </c>
      <c r="B32" s="34">
        <f>IF(Produits!$A$31="","",Produits!$C$31)</f>
        <v/>
      </c>
      <c r="C32" s="34">
        <f>IF(Produits!$A$31="","",Produits!$D$31)</f>
        <v/>
      </c>
      <c r="D32" s="32" t="n"/>
      <c r="E32" s="29" t="n"/>
      <c r="F32" s="29" t="n"/>
      <c r="G32" s="29" t="n"/>
      <c r="H32" s="32" t="n"/>
      <c r="I32" s="29" t="n"/>
      <c r="J32" s="29" t="n"/>
      <c r="K32" s="29" t="n"/>
      <c r="L32" s="32" t="n"/>
      <c r="M32" s="29" t="n"/>
      <c r="N32" s="29" t="n"/>
      <c r="O32" s="29" t="n"/>
      <c r="P32" s="32" t="n"/>
      <c r="Q32" s="29" t="n"/>
      <c r="R32" s="29" t="n"/>
      <c r="S32" s="29" t="n"/>
      <c r="T32" s="22">
        <f>IF(COUNT(F32,J32,N32,R32)=0,"",SUM(F32,J32,N32,R32))</f>
        <v/>
      </c>
      <c r="U32" s="22">
        <f>IF(COUNT(G32,K32,O32,S32)=0,"",SUM(G32,K32,O32,S32))</f>
        <v/>
      </c>
      <c r="V32" s="22">
        <f>IF(OR(T32="",U32=""),"",U32-T32)</f>
        <v/>
      </c>
      <c r="W32" s="22">
        <f>IF(Q32&lt;&gt;"",Q32,IF(M32&lt;&gt;"",M32,IF(I32&lt;&gt;"",I32,IF(E32&lt;&gt;"",E32,""))))</f>
        <v/>
      </c>
      <c r="X32" s="18">
        <f>IF(U32="","",U32*N(Produits!$E$31))</f>
        <v/>
      </c>
    </row>
    <row r="33">
      <c r="A33" s="33">
        <f>IF(Produits!$A$32="","",Produits!$A$32)</f>
        <v/>
      </c>
      <c r="B33" s="34">
        <f>IF(Produits!$A$32="","",Produits!$C$32)</f>
        <v/>
      </c>
      <c r="C33" s="34">
        <f>IF(Produits!$A$32="","",Produits!$D$32)</f>
        <v/>
      </c>
      <c r="D33" s="32" t="n"/>
      <c r="E33" s="29" t="n"/>
      <c r="F33" s="29" t="n"/>
      <c r="G33" s="29" t="n"/>
      <c r="H33" s="32" t="n"/>
      <c r="I33" s="29" t="n"/>
      <c r="J33" s="29" t="n"/>
      <c r="K33" s="29" t="n"/>
      <c r="L33" s="32" t="n"/>
      <c r="M33" s="29" t="n"/>
      <c r="N33" s="29" t="n"/>
      <c r="O33" s="29" t="n"/>
      <c r="P33" s="32" t="n"/>
      <c r="Q33" s="29" t="n"/>
      <c r="R33" s="29" t="n"/>
      <c r="S33" s="29" t="n"/>
      <c r="T33" s="22">
        <f>IF(COUNT(F33,J33,N33,R33)=0,"",SUM(F33,J33,N33,R33))</f>
        <v/>
      </c>
      <c r="U33" s="22">
        <f>IF(COUNT(G33,K33,O33,S33)=0,"",SUM(G33,K33,O33,S33))</f>
        <v/>
      </c>
      <c r="V33" s="22">
        <f>IF(OR(T33="",U33=""),"",U33-T33)</f>
        <v/>
      </c>
      <c r="W33" s="22">
        <f>IF(Q33&lt;&gt;"",Q33,IF(M33&lt;&gt;"",M33,IF(I33&lt;&gt;"",I33,IF(E33&lt;&gt;"",E33,""))))</f>
        <v/>
      </c>
      <c r="X33" s="18">
        <f>IF(U33="","",U33*N(Produits!$E$32))</f>
        <v/>
      </c>
    </row>
    <row r="34">
      <c r="A34" s="33">
        <f>IF(Produits!$A$33="","",Produits!$A$33)</f>
        <v/>
      </c>
      <c r="B34" s="34">
        <f>IF(Produits!$A$33="","",Produits!$C$33)</f>
        <v/>
      </c>
      <c r="C34" s="34">
        <f>IF(Produits!$A$33="","",Produits!$D$33)</f>
        <v/>
      </c>
      <c r="D34" s="32" t="n"/>
      <c r="E34" s="29" t="n"/>
      <c r="F34" s="29" t="n"/>
      <c r="G34" s="29" t="n"/>
      <c r="H34" s="32" t="n"/>
      <c r="I34" s="29" t="n"/>
      <c r="J34" s="29" t="n"/>
      <c r="K34" s="29" t="n"/>
      <c r="L34" s="32" t="n"/>
      <c r="M34" s="29" t="n"/>
      <c r="N34" s="29" t="n"/>
      <c r="O34" s="29" t="n"/>
      <c r="P34" s="32" t="n"/>
      <c r="Q34" s="29" t="n"/>
      <c r="R34" s="29" t="n"/>
      <c r="S34" s="29" t="n"/>
      <c r="T34" s="22">
        <f>IF(COUNT(F34,J34,N34,R34)=0,"",SUM(F34,J34,N34,R34))</f>
        <v/>
      </c>
      <c r="U34" s="22">
        <f>IF(COUNT(G34,K34,O34,S34)=0,"",SUM(G34,K34,O34,S34))</f>
        <v/>
      </c>
      <c r="V34" s="22">
        <f>IF(OR(T34="",U34=""),"",U34-T34)</f>
        <v/>
      </c>
      <c r="W34" s="22">
        <f>IF(Q34&lt;&gt;"",Q34,IF(M34&lt;&gt;"",M34,IF(I34&lt;&gt;"",I34,IF(E34&lt;&gt;"",E34,""))))</f>
        <v/>
      </c>
      <c r="X34" s="18">
        <f>IF(U34="","",U34*N(Produits!$E$33))</f>
        <v/>
      </c>
    </row>
    <row r="35">
      <c r="A35" s="33">
        <f>IF(Produits!$A$34="","",Produits!$A$34)</f>
        <v/>
      </c>
      <c r="B35" s="34">
        <f>IF(Produits!$A$34="","",Produits!$C$34)</f>
        <v/>
      </c>
      <c r="C35" s="34">
        <f>IF(Produits!$A$34="","",Produits!$D$34)</f>
        <v/>
      </c>
      <c r="D35" s="32" t="n"/>
      <c r="E35" s="29" t="n"/>
      <c r="F35" s="29" t="n"/>
      <c r="G35" s="29" t="n"/>
      <c r="H35" s="32" t="n"/>
      <c r="I35" s="29" t="n"/>
      <c r="J35" s="29" t="n"/>
      <c r="K35" s="29" t="n"/>
      <c r="L35" s="32" t="n"/>
      <c r="M35" s="29" t="n"/>
      <c r="N35" s="29" t="n"/>
      <c r="O35" s="29" t="n"/>
      <c r="P35" s="32" t="n"/>
      <c r="Q35" s="29" t="n"/>
      <c r="R35" s="29" t="n"/>
      <c r="S35" s="29" t="n"/>
      <c r="T35" s="22">
        <f>IF(COUNT(F35,J35,N35,R35)=0,"",SUM(F35,J35,N35,R35))</f>
        <v/>
      </c>
      <c r="U35" s="22">
        <f>IF(COUNT(G35,K35,O35,S35)=0,"",SUM(G35,K35,O35,S35))</f>
        <v/>
      </c>
      <c r="V35" s="22">
        <f>IF(OR(T35="",U35=""),"",U35-T35)</f>
        <v/>
      </c>
      <c r="W35" s="22">
        <f>IF(Q35&lt;&gt;"",Q35,IF(M35&lt;&gt;"",M35,IF(I35&lt;&gt;"",I35,IF(E35&lt;&gt;"",E35,""))))</f>
        <v/>
      </c>
      <c r="X35" s="18">
        <f>IF(U35="","",U35*N(Produits!$E$34))</f>
        <v/>
      </c>
    </row>
    <row r="36">
      <c r="A36" s="33">
        <f>IF(Produits!$A$35="","",Produits!$A$35)</f>
        <v/>
      </c>
      <c r="B36" s="34">
        <f>IF(Produits!$A$35="","",Produits!$C$35)</f>
        <v/>
      </c>
      <c r="C36" s="34">
        <f>IF(Produits!$A$35="","",Produits!$D$35)</f>
        <v/>
      </c>
      <c r="D36" s="32" t="n"/>
      <c r="E36" s="29" t="n"/>
      <c r="F36" s="29" t="n"/>
      <c r="G36" s="29" t="n"/>
      <c r="H36" s="32" t="n"/>
      <c r="I36" s="29" t="n"/>
      <c r="J36" s="29" t="n"/>
      <c r="K36" s="29" t="n"/>
      <c r="L36" s="32" t="n"/>
      <c r="M36" s="29" t="n"/>
      <c r="N36" s="29" t="n"/>
      <c r="O36" s="29" t="n"/>
      <c r="P36" s="32" t="n"/>
      <c r="Q36" s="29" t="n"/>
      <c r="R36" s="29" t="n"/>
      <c r="S36" s="29" t="n"/>
      <c r="T36" s="22">
        <f>IF(COUNT(F36,J36,N36,R36)=0,"",SUM(F36,J36,N36,R36))</f>
        <v/>
      </c>
      <c r="U36" s="22">
        <f>IF(COUNT(G36,K36,O36,S36)=0,"",SUM(G36,K36,O36,S36))</f>
        <v/>
      </c>
      <c r="V36" s="22">
        <f>IF(OR(T36="",U36=""),"",U36-T36)</f>
        <v/>
      </c>
      <c r="W36" s="22">
        <f>IF(Q36&lt;&gt;"",Q36,IF(M36&lt;&gt;"",M36,IF(I36&lt;&gt;"",I36,IF(E36&lt;&gt;"",E36,""))))</f>
        <v/>
      </c>
      <c r="X36" s="18">
        <f>IF(U36="","",U36*N(Produits!$E$35))</f>
        <v/>
      </c>
    </row>
    <row r="37">
      <c r="A37" s="33">
        <f>IF(Produits!$A$36="","",Produits!$A$36)</f>
        <v/>
      </c>
      <c r="B37" s="34">
        <f>IF(Produits!$A$36="","",Produits!$C$36)</f>
        <v/>
      </c>
      <c r="C37" s="34">
        <f>IF(Produits!$A$36="","",Produits!$D$36)</f>
        <v/>
      </c>
      <c r="D37" s="32" t="n"/>
      <c r="E37" s="29" t="n"/>
      <c r="F37" s="29" t="n"/>
      <c r="G37" s="29" t="n"/>
      <c r="H37" s="32" t="n"/>
      <c r="I37" s="29" t="n"/>
      <c r="J37" s="29" t="n"/>
      <c r="K37" s="29" t="n"/>
      <c r="L37" s="32" t="n"/>
      <c r="M37" s="29" t="n"/>
      <c r="N37" s="29" t="n"/>
      <c r="O37" s="29" t="n"/>
      <c r="P37" s="32" t="n"/>
      <c r="Q37" s="29" t="n"/>
      <c r="R37" s="29" t="n"/>
      <c r="S37" s="29" t="n"/>
      <c r="T37" s="22">
        <f>IF(COUNT(F37,J37,N37,R37)=0,"",SUM(F37,J37,N37,R37))</f>
        <v/>
      </c>
      <c r="U37" s="22">
        <f>IF(COUNT(G37,K37,O37,S37)=0,"",SUM(G37,K37,O37,S37))</f>
        <v/>
      </c>
      <c r="V37" s="22">
        <f>IF(OR(T37="",U37=""),"",U37-T37)</f>
        <v/>
      </c>
      <c r="W37" s="22">
        <f>IF(Q37&lt;&gt;"",Q37,IF(M37&lt;&gt;"",M37,IF(I37&lt;&gt;"",I37,IF(E37&lt;&gt;"",E37,""))))</f>
        <v/>
      </c>
      <c r="X37" s="18">
        <f>IF(U37="","",U37*N(Produits!$E$36))</f>
        <v/>
      </c>
    </row>
    <row r="38" ht="20" customHeight="1">
      <c r="A38" s="23" t="inlineStr">
        <is>
          <t>CHAMBRE FROIDE NÉGATIVE</t>
        </is>
      </c>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row>
    <row r="39">
      <c r="A39" s="33">
        <f>IF(Produits!$A$38="","",Produits!$A$38)</f>
        <v/>
      </c>
      <c r="B39" s="34">
        <f>IF(Produits!$A$38="","",Produits!$C$38)</f>
        <v/>
      </c>
      <c r="C39" s="34">
        <f>IF(Produits!$A$38="","",Produits!$D$38)</f>
        <v/>
      </c>
      <c r="D39" s="31">
        <f>DATE(2026,10,2)</f>
        <v/>
      </c>
      <c r="E39" s="26" t="n">
        <v>3.2</v>
      </c>
      <c r="F39" s="26" t="n">
        <v>4</v>
      </c>
      <c r="G39" s="26" t="n">
        <v>4</v>
      </c>
      <c r="H39" s="31">
        <f>DATE(2026,10,9)</f>
        <v/>
      </c>
      <c r="I39" s="26" t="n">
        <v>2.2</v>
      </c>
      <c r="J39" s="26" t="n">
        <v>4</v>
      </c>
      <c r="K39" s="26" t="n">
        <v>4</v>
      </c>
      <c r="L39" s="32" t="n"/>
      <c r="M39" s="29" t="n"/>
      <c r="N39" s="29" t="n"/>
      <c r="O39" s="29" t="n"/>
      <c r="P39" s="32" t="n"/>
      <c r="Q39" s="29" t="n"/>
      <c r="R39" s="29" t="n"/>
      <c r="S39" s="29" t="n"/>
      <c r="T39" s="22">
        <f>IF(COUNT(F39,J39,N39,R39)=0,"",SUM(F39,J39,N39,R39))</f>
        <v/>
      </c>
      <c r="U39" s="22">
        <f>IF(COUNT(G39,K39,O39,S39)=0,"",SUM(G39,K39,O39,S39))</f>
        <v/>
      </c>
      <c r="V39" s="22">
        <f>IF(OR(T39="",U39=""),"",U39-T39)</f>
        <v/>
      </c>
      <c r="W39" s="22">
        <f>IF(Q39&lt;&gt;"",Q39,IF(M39&lt;&gt;"",M39,IF(I39&lt;&gt;"",I39,IF(E39&lt;&gt;"",E39,""))))</f>
        <v/>
      </c>
      <c r="X39" s="18">
        <f>IF(U39="","",U39*N(Produits!$E$38))</f>
        <v/>
      </c>
    </row>
    <row r="40">
      <c r="A40" s="33">
        <f>IF(Produits!$A$39="","",Produits!$A$39)</f>
        <v/>
      </c>
      <c r="B40" s="34">
        <f>IF(Produits!$A$39="","",Produits!$C$39)</f>
        <v/>
      </c>
      <c r="C40" s="34">
        <f>IF(Produits!$A$39="","",Produits!$D$39)</f>
        <v/>
      </c>
      <c r="D40" s="31">
        <f>DATE(2026,10,2)</f>
        <v/>
      </c>
      <c r="E40" s="26" t="n">
        <v>1.6</v>
      </c>
      <c r="F40" s="26" t="n">
        <v>2</v>
      </c>
      <c r="G40" s="26" t="n">
        <v>2</v>
      </c>
      <c r="H40" s="31">
        <f>DATE(2026,10,9)</f>
        <v/>
      </c>
      <c r="I40" s="26" t="n">
        <v>1.1</v>
      </c>
      <c r="J40" s="26" t="n">
        <v>2</v>
      </c>
      <c r="K40" s="26" t="n">
        <v>2</v>
      </c>
      <c r="L40" s="32" t="n"/>
      <c r="M40" s="29" t="n"/>
      <c r="N40" s="29" t="n"/>
      <c r="O40" s="29" t="n"/>
      <c r="P40" s="32" t="n"/>
      <c r="Q40" s="29" t="n"/>
      <c r="R40" s="29" t="n"/>
      <c r="S40" s="29" t="n"/>
      <c r="T40" s="22">
        <f>IF(COUNT(F40,J40,N40,R40)=0,"",SUM(F40,J40,N40,R40))</f>
        <v/>
      </c>
      <c r="U40" s="22">
        <f>IF(COUNT(G40,K40,O40,S40)=0,"",SUM(G40,K40,O40,S40))</f>
        <v/>
      </c>
      <c r="V40" s="22">
        <f>IF(OR(T40="",U40=""),"",U40-T40)</f>
        <v/>
      </c>
      <c r="W40" s="22">
        <f>IF(Q40&lt;&gt;"",Q40,IF(M40&lt;&gt;"",M40,IF(I40&lt;&gt;"",I40,IF(E40&lt;&gt;"",E40,""))))</f>
        <v/>
      </c>
      <c r="X40" s="18">
        <f>IF(U40="","",U40*N(Produits!$E$39))</f>
        <v/>
      </c>
    </row>
    <row r="41">
      <c r="A41" s="33">
        <f>IF(Produits!$A$40="","",Produits!$A$40)</f>
        <v/>
      </c>
      <c r="B41" s="34">
        <f>IF(Produits!$A$40="","",Produits!$C$40)</f>
        <v/>
      </c>
      <c r="C41" s="34">
        <f>IF(Produits!$A$40="","",Produits!$D$40)</f>
        <v/>
      </c>
      <c r="D41" s="32" t="n"/>
      <c r="E41" s="29" t="n"/>
      <c r="F41" s="29" t="n"/>
      <c r="G41" s="29" t="n"/>
      <c r="H41" s="32" t="n"/>
      <c r="I41" s="29" t="n"/>
      <c r="J41" s="29" t="n"/>
      <c r="K41" s="29" t="n"/>
      <c r="L41" s="32" t="n"/>
      <c r="M41" s="29" t="n"/>
      <c r="N41" s="29" t="n"/>
      <c r="O41" s="29" t="n"/>
      <c r="P41" s="32" t="n"/>
      <c r="Q41" s="29" t="n"/>
      <c r="R41" s="29" t="n"/>
      <c r="S41" s="29" t="n"/>
      <c r="T41" s="22">
        <f>IF(COUNT(F41,J41,N41,R41)=0,"",SUM(F41,J41,N41,R41))</f>
        <v/>
      </c>
      <c r="U41" s="22">
        <f>IF(COUNT(G41,K41,O41,S41)=0,"",SUM(G41,K41,O41,S41))</f>
        <v/>
      </c>
      <c r="V41" s="22">
        <f>IF(OR(T41="",U41=""),"",U41-T41)</f>
        <v/>
      </c>
      <c r="W41" s="22">
        <f>IF(Q41&lt;&gt;"",Q41,IF(M41&lt;&gt;"",M41,IF(I41&lt;&gt;"",I41,IF(E41&lt;&gt;"",E41,""))))</f>
        <v/>
      </c>
      <c r="X41" s="18">
        <f>IF(U41="","",U41*N(Produits!$E$40))</f>
        <v/>
      </c>
    </row>
    <row r="42">
      <c r="A42" s="33">
        <f>IF(Produits!$A$41="","",Produits!$A$41)</f>
        <v/>
      </c>
      <c r="B42" s="34">
        <f>IF(Produits!$A$41="","",Produits!$C$41)</f>
        <v/>
      </c>
      <c r="C42" s="34">
        <f>IF(Produits!$A$41="","",Produits!$D$41)</f>
        <v/>
      </c>
      <c r="D42" s="32" t="n"/>
      <c r="E42" s="29" t="n"/>
      <c r="F42" s="29" t="n"/>
      <c r="G42" s="29" t="n"/>
      <c r="H42" s="32" t="n"/>
      <c r="I42" s="29" t="n"/>
      <c r="J42" s="29" t="n"/>
      <c r="K42" s="29" t="n"/>
      <c r="L42" s="32" t="n"/>
      <c r="M42" s="29" t="n"/>
      <c r="N42" s="29" t="n"/>
      <c r="O42" s="29" t="n"/>
      <c r="P42" s="32" t="n"/>
      <c r="Q42" s="29" t="n"/>
      <c r="R42" s="29" t="n"/>
      <c r="S42" s="29" t="n"/>
      <c r="T42" s="22">
        <f>IF(COUNT(F42,J42,N42,R42)=0,"",SUM(F42,J42,N42,R42))</f>
        <v/>
      </c>
      <c r="U42" s="22">
        <f>IF(COUNT(G42,K42,O42,S42)=0,"",SUM(G42,K42,O42,S42))</f>
        <v/>
      </c>
      <c r="V42" s="22">
        <f>IF(OR(T42="",U42=""),"",U42-T42)</f>
        <v/>
      </c>
      <c r="W42" s="22">
        <f>IF(Q42&lt;&gt;"",Q42,IF(M42&lt;&gt;"",M42,IF(I42&lt;&gt;"",I42,IF(E42&lt;&gt;"",E42,""))))</f>
        <v/>
      </c>
      <c r="X42" s="18">
        <f>IF(U42="","",U42*N(Produits!$E$41))</f>
        <v/>
      </c>
    </row>
    <row r="43">
      <c r="A43" s="33">
        <f>IF(Produits!$A$42="","",Produits!$A$42)</f>
        <v/>
      </c>
      <c r="B43" s="34">
        <f>IF(Produits!$A$42="","",Produits!$C$42)</f>
        <v/>
      </c>
      <c r="C43" s="34">
        <f>IF(Produits!$A$42="","",Produits!$D$42)</f>
        <v/>
      </c>
      <c r="D43" s="32" t="n"/>
      <c r="E43" s="29" t="n"/>
      <c r="F43" s="29" t="n"/>
      <c r="G43" s="29" t="n"/>
      <c r="H43" s="32" t="n"/>
      <c r="I43" s="29" t="n"/>
      <c r="J43" s="29" t="n"/>
      <c r="K43" s="29" t="n"/>
      <c r="L43" s="32" t="n"/>
      <c r="M43" s="29" t="n"/>
      <c r="N43" s="29" t="n"/>
      <c r="O43" s="29" t="n"/>
      <c r="P43" s="32" t="n"/>
      <c r="Q43" s="29" t="n"/>
      <c r="R43" s="29" t="n"/>
      <c r="S43" s="29" t="n"/>
      <c r="T43" s="22">
        <f>IF(COUNT(F43,J43,N43,R43)=0,"",SUM(F43,J43,N43,R43))</f>
        <v/>
      </c>
      <c r="U43" s="22">
        <f>IF(COUNT(G43,K43,O43,S43)=0,"",SUM(G43,K43,O43,S43))</f>
        <v/>
      </c>
      <c r="V43" s="22">
        <f>IF(OR(T43="",U43=""),"",U43-T43)</f>
        <v/>
      </c>
      <c r="W43" s="22">
        <f>IF(Q43&lt;&gt;"",Q43,IF(M43&lt;&gt;"",M43,IF(I43&lt;&gt;"",I43,IF(E43&lt;&gt;"",E43,""))))</f>
        <v/>
      </c>
      <c r="X43" s="18">
        <f>IF(U43="","",U43*N(Produits!$E$42))</f>
        <v/>
      </c>
    </row>
    <row r="44">
      <c r="A44" s="33">
        <f>IF(Produits!$A$43="","",Produits!$A$43)</f>
        <v/>
      </c>
      <c r="B44" s="34">
        <f>IF(Produits!$A$43="","",Produits!$C$43)</f>
        <v/>
      </c>
      <c r="C44" s="34">
        <f>IF(Produits!$A$43="","",Produits!$D$43)</f>
        <v/>
      </c>
      <c r="D44" s="32" t="n"/>
      <c r="E44" s="29" t="n"/>
      <c r="F44" s="29" t="n"/>
      <c r="G44" s="29" t="n"/>
      <c r="H44" s="32" t="n"/>
      <c r="I44" s="29" t="n"/>
      <c r="J44" s="29" t="n"/>
      <c r="K44" s="29" t="n"/>
      <c r="L44" s="32" t="n"/>
      <c r="M44" s="29" t="n"/>
      <c r="N44" s="29" t="n"/>
      <c r="O44" s="29" t="n"/>
      <c r="P44" s="32" t="n"/>
      <c r="Q44" s="29" t="n"/>
      <c r="R44" s="29" t="n"/>
      <c r="S44" s="29" t="n"/>
      <c r="T44" s="22">
        <f>IF(COUNT(F44,J44,N44,R44)=0,"",SUM(F44,J44,N44,R44))</f>
        <v/>
      </c>
      <c r="U44" s="22">
        <f>IF(COUNT(G44,K44,O44,S44)=0,"",SUM(G44,K44,O44,S44))</f>
        <v/>
      </c>
      <c r="V44" s="22">
        <f>IF(OR(T44="",U44=""),"",U44-T44)</f>
        <v/>
      </c>
      <c r="W44" s="22">
        <f>IF(Q44&lt;&gt;"",Q44,IF(M44&lt;&gt;"",M44,IF(I44&lt;&gt;"",I44,IF(E44&lt;&gt;"",E44,""))))</f>
        <v/>
      </c>
      <c r="X44" s="18">
        <f>IF(U44="","",U44*N(Produits!$E$43))</f>
        <v/>
      </c>
    </row>
    <row r="45">
      <c r="A45" s="33">
        <f>IF(Produits!$A$44="","",Produits!$A$44)</f>
        <v/>
      </c>
      <c r="B45" s="34">
        <f>IF(Produits!$A$44="","",Produits!$C$44)</f>
        <v/>
      </c>
      <c r="C45" s="34">
        <f>IF(Produits!$A$44="","",Produits!$D$44)</f>
        <v/>
      </c>
      <c r="D45" s="32" t="n"/>
      <c r="E45" s="29" t="n"/>
      <c r="F45" s="29" t="n"/>
      <c r="G45" s="29" t="n"/>
      <c r="H45" s="32" t="n"/>
      <c r="I45" s="29" t="n"/>
      <c r="J45" s="29" t="n"/>
      <c r="K45" s="29" t="n"/>
      <c r="L45" s="32" t="n"/>
      <c r="M45" s="29" t="n"/>
      <c r="N45" s="29" t="n"/>
      <c r="O45" s="29" t="n"/>
      <c r="P45" s="32" t="n"/>
      <c r="Q45" s="29" t="n"/>
      <c r="R45" s="29" t="n"/>
      <c r="S45" s="29" t="n"/>
      <c r="T45" s="22">
        <f>IF(COUNT(F45,J45,N45,R45)=0,"",SUM(F45,J45,N45,R45))</f>
        <v/>
      </c>
      <c r="U45" s="22">
        <f>IF(COUNT(G45,K45,O45,S45)=0,"",SUM(G45,K45,O45,S45))</f>
        <v/>
      </c>
      <c r="V45" s="22">
        <f>IF(OR(T45="",U45=""),"",U45-T45)</f>
        <v/>
      </c>
      <c r="W45" s="22">
        <f>IF(Q45&lt;&gt;"",Q45,IF(M45&lt;&gt;"",M45,IF(I45&lt;&gt;"",I45,IF(E45&lt;&gt;"",E45,""))))</f>
        <v/>
      </c>
      <c r="X45" s="18">
        <f>IF(U45="","",U45*N(Produits!$E$44))</f>
        <v/>
      </c>
    </row>
    <row r="46">
      <c r="A46" s="33">
        <f>IF(Produits!$A$45="","",Produits!$A$45)</f>
        <v/>
      </c>
      <c r="B46" s="34">
        <f>IF(Produits!$A$45="","",Produits!$C$45)</f>
        <v/>
      </c>
      <c r="C46" s="34">
        <f>IF(Produits!$A$45="","",Produits!$D$45)</f>
        <v/>
      </c>
      <c r="D46" s="32" t="n"/>
      <c r="E46" s="29" t="n"/>
      <c r="F46" s="29" t="n"/>
      <c r="G46" s="29" t="n"/>
      <c r="H46" s="32" t="n"/>
      <c r="I46" s="29" t="n"/>
      <c r="J46" s="29" t="n"/>
      <c r="K46" s="29" t="n"/>
      <c r="L46" s="32" t="n"/>
      <c r="M46" s="29" t="n"/>
      <c r="N46" s="29" t="n"/>
      <c r="O46" s="29" t="n"/>
      <c r="P46" s="32" t="n"/>
      <c r="Q46" s="29" t="n"/>
      <c r="R46" s="29" t="n"/>
      <c r="S46" s="29" t="n"/>
      <c r="T46" s="22">
        <f>IF(COUNT(F46,J46,N46,R46)=0,"",SUM(F46,J46,N46,R46))</f>
        <v/>
      </c>
      <c r="U46" s="22">
        <f>IF(COUNT(G46,K46,O46,S46)=0,"",SUM(G46,K46,O46,S46))</f>
        <v/>
      </c>
      <c r="V46" s="22">
        <f>IF(OR(T46="",U46=""),"",U46-T46)</f>
        <v/>
      </c>
      <c r="W46" s="22">
        <f>IF(Q46&lt;&gt;"",Q46,IF(M46&lt;&gt;"",M46,IF(I46&lt;&gt;"",I46,IF(E46&lt;&gt;"",E46,""))))</f>
        <v/>
      </c>
      <c r="X46" s="18">
        <f>IF(U46="","",U46*N(Produits!$E$45))</f>
        <v/>
      </c>
    </row>
    <row r="47">
      <c r="A47" s="33">
        <f>IF(Produits!$A$46="","",Produits!$A$46)</f>
        <v/>
      </c>
      <c r="B47" s="34">
        <f>IF(Produits!$A$46="","",Produits!$C$46)</f>
        <v/>
      </c>
      <c r="C47" s="34">
        <f>IF(Produits!$A$46="","",Produits!$D$46)</f>
        <v/>
      </c>
      <c r="D47" s="32" t="n"/>
      <c r="E47" s="29" t="n"/>
      <c r="F47" s="29" t="n"/>
      <c r="G47" s="29" t="n"/>
      <c r="H47" s="32" t="n"/>
      <c r="I47" s="29" t="n"/>
      <c r="J47" s="29" t="n"/>
      <c r="K47" s="29" t="n"/>
      <c r="L47" s="32" t="n"/>
      <c r="M47" s="29" t="n"/>
      <c r="N47" s="29" t="n"/>
      <c r="O47" s="29" t="n"/>
      <c r="P47" s="32" t="n"/>
      <c r="Q47" s="29" t="n"/>
      <c r="R47" s="29" t="n"/>
      <c r="S47" s="29" t="n"/>
      <c r="T47" s="22">
        <f>IF(COUNT(F47,J47,N47,R47)=0,"",SUM(F47,J47,N47,R47))</f>
        <v/>
      </c>
      <c r="U47" s="22">
        <f>IF(COUNT(G47,K47,O47,S47)=0,"",SUM(G47,K47,O47,S47))</f>
        <v/>
      </c>
      <c r="V47" s="22">
        <f>IF(OR(T47="",U47=""),"",U47-T47)</f>
        <v/>
      </c>
      <c r="W47" s="22">
        <f>IF(Q47&lt;&gt;"",Q47,IF(M47&lt;&gt;"",M47,IF(I47&lt;&gt;"",I47,IF(E47&lt;&gt;"",E47,""))))</f>
        <v/>
      </c>
      <c r="X47" s="18">
        <f>IF(U47="","",U47*N(Produits!$E$46))</f>
        <v/>
      </c>
    </row>
    <row r="48">
      <c r="A48" s="33">
        <f>IF(Produits!$A$47="","",Produits!$A$47)</f>
        <v/>
      </c>
      <c r="B48" s="34">
        <f>IF(Produits!$A$47="","",Produits!$C$47)</f>
        <v/>
      </c>
      <c r="C48" s="34">
        <f>IF(Produits!$A$47="","",Produits!$D$47)</f>
        <v/>
      </c>
      <c r="D48" s="32" t="n"/>
      <c r="E48" s="29" t="n"/>
      <c r="F48" s="29" t="n"/>
      <c r="G48" s="29" t="n"/>
      <c r="H48" s="32" t="n"/>
      <c r="I48" s="29" t="n"/>
      <c r="J48" s="29" t="n"/>
      <c r="K48" s="29" t="n"/>
      <c r="L48" s="32" t="n"/>
      <c r="M48" s="29" t="n"/>
      <c r="N48" s="29" t="n"/>
      <c r="O48" s="29" t="n"/>
      <c r="P48" s="32" t="n"/>
      <c r="Q48" s="29" t="n"/>
      <c r="R48" s="29" t="n"/>
      <c r="S48" s="29" t="n"/>
      <c r="T48" s="22">
        <f>IF(COUNT(F48,J48,N48,R48)=0,"",SUM(F48,J48,N48,R48))</f>
        <v/>
      </c>
      <c r="U48" s="22">
        <f>IF(COUNT(G48,K48,O48,S48)=0,"",SUM(G48,K48,O48,S48))</f>
        <v/>
      </c>
      <c r="V48" s="22">
        <f>IF(OR(T48="",U48=""),"",U48-T48)</f>
        <v/>
      </c>
      <c r="W48" s="22">
        <f>IF(Q48&lt;&gt;"",Q48,IF(M48&lt;&gt;"",M48,IF(I48&lt;&gt;"",I48,IF(E48&lt;&gt;"",E48,""))))</f>
        <v/>
      </c>
      <c r="X48" s="18">
        <f>IF(U48="","",U48*N(Produits!$E$47))</f>
        <v/>
      </c>
    </row>
    <row r="49">
      <c r="A49" s="33">
        <f>IF(Produits!$A$48="","",Produits!$A$48)</f>
        <v/>
      </c>
      <c r="B49" s="34">
        <f>IF(Produits!$A$48="","",Produits!$C$48)</f>
        <v/>
      </c>
      <c r="C49" s="34">
        <f>IF(Produits!$A$48="","",Produits!$D$48)</f>
        <v/>
      </c>
      <c r="D49" s="32" t="n"/>
      <c r="E49" s="29" t="n"/>
      <c r="F49" s="29" t="n"/>
      <c r="G49" s="29" t="n"/>
      <c r="H49" s="32" t="n"/>
      <c r="I49" s="29" t="n"/>
      <c r="J49" s="29" t="n"/>
      <c r="K49" s="29" t="n"/>
      <c r="L49" s="32" t="n"/>
      <c r="M49" s="29" t="n"/>
      <c r="N49" s="29" t="n"/>
      <c r="O49" s="29" t="n"/>
      <c r="P49" s="32" t="n"/>
      <c r="Q49" s="29" t="n"/>
      <c r="R49" s="29" t="n"/>
      <c r="S49" s="29" t="n"/>
      <c r="T49" s="22">
        <f>IF(COUNT(F49,J49,N49,R49)=0,"",SUM(F49,J49,N49,R49))</f>
        <v/>
      </c>
      <c r="U49" s="22">
        <f>IF(COUNT(G49,K49,O49,S49)=0,"",SUM(G49,K49,O49,S49))</f>
        <v/>
      </c>
      <c r="V49" s="22">
        <f>IF(OR(T49="",U49=""),"",U49-T49)</f>
        <v/>
      </c>
      <c r="W49" s="22">
        <f>IF(Q49&lt;&gt;"",Q49,IF(M49&lt;&gt;"",M49,IF(I49&lt;&gt;"",I49,IF(E49&lt;&gt;"",E49,""))))</f>
        <v/>
      </c>
      <c r="X49" s="18">
        <f>IF(U49="","",U49*N(Produits!$E$48))</f>
        <v/>
      </c>
    </row>
    <row r="50">
      <c r="A50" s="33">
        <f>IF(Produits!$A$49="","",Produits!$A$49)</f>
        <v/>
      </c>
      <c r="B50" s="34">
        <f>IF(Produits!$A$49="","",Produits!$C$49)</f>
        <v/>
      </c>
      <c r="C50" s="34">
        <f>IF(Produits!$A$49="","",Produits!$D$49)</f>
        <v/>
      </c>
      <c r="D50" s="32" t="n"/>
      <c r="E50" s="29" t="n"/>
      <c r="F50" s="29" t="n"/>
      <c r="G50" s="29" t="n"/>
      <c r="H50" s="32" t="n"/>
      <c r="I50" s="29" t="n"/>
      <c r="J50" s="29" t="n"/>
      <c r="K50" s="29" t="n"/>
      <c r="L50" s="32" t="n"/>
      <c r="M50" s="29" t="n"/>
      <c r="N50" s="29" t="n"/>
      <c r="O50" s="29" t="n"/>
      <c r="P50" s="32" t="n"/>
      <c r="Q50" s="29" t="n"/>
      <c r="R50" s="29" t="n"/>
      <c r="S50" s="29" t="n"/>
      <c r="T50" s="22">
        <f>IF(COUNT(F50,J50,N50,R50)=0,"",SUM(F50,J50,N50,R50))</f>
        <v/>
      </c>
      <c r="U50" s="22">
        <f>IF(COUNT(G50,K50,O50,S50)=0,"",SUM(G50,K50,O50,S50))</f>
        <v/>
      </c>
      <c r="V50" s="22">
        <f>IF(OR(T50="",U50=""),"",U50-T50)</f>
        <v/>
      </c>
      <c r="W50" s="22">
        <f>IF(Q50&lt;&gt;"",Q50,IF(M50&lt;&gt;"",M50,IF(I50&lt;&gt;"",I50,IF(E50&lt;&gt;"",E50,""))))</f>
        <v/>
      </c>
      <c r="X50" s="18">
        <f>IF(U50="","",U50*N(Produits!$E$49))</f>
        <v/>
      </c>
    </row>
    <row r="51">
      <c r="A51" s="33">
        <f>IF(Produits!$A$50="","",Produits!$A$50)</f>
        <v/>
      </c>
      <c r="B51" s="34">
        <f>IF(Produits!$A$50="","",Produits!$C$50)</f>
        <v/>
      </c>
      <c r="C51" s="34">
        <f>IF(Produits!$A$50="","",Produits!$D$50)</f>
        <v/>
      </c>
      <c r="D51" s="32" t="n"/>
      <c r="E51" s="29" t="n"/>
      <c r="F51" s="29" t="n"/>
      <c r="G51" s="29" t="n"/>
      <c r="H51" s="32" t="n"/>
      <c r="I51" s="29" t="n"/>
      <c r="J51" s="29" t="n"/>
      <c r="K51" s="29" t="n"/>
      <c r="L51" s="32" t="n"/>
      <c r="M51" s="29" t="n"/>
      <c r="N51" s="29" t="n"/>
      <c r="O51" s="29" t="n"/>
      <c r="P51" s="32" t="n"/>
      <c r="Q51" s="29" t="n"/>
      <c r="R51" s="29" t="n"/>
      <c r="S51" s="29" t="n"/>
      <c r="T51" s="22">
        <f>IF(COUNT(F51,J51,N51,R51)=0,"",SUM(F51,J51,N51,R51))</f>
        <v/>
      </c>
      <c r="U51" s="22">
        <f>IF(COUNT(G51,K51,O51,S51)=0,"",SUM(G51,K51,O51,S51))</f>
        <v/>
      </c>
      <c r="V51" s="22">
        <f>IF(OR(T51="",U51=""),"",U51-T51)</f>
        <v/>
      </c>
      <c r="W51" s="22">
        <f>IF(Q51&lt;&gt;"",Q51,IF(M51&lt;&gt;"",M51,IF(I51&lt;&gt;"",I51,IF(E51&lt;&gt;"",E51,""))))</f>
        <v/>
      </c>
      <c r="X51" s="18">
        <f>IF(U51="","",U51*N(Produits!$E$50))</f>
        <v/>
      </c>
    </row>
    <row r="52">
      <c r="A52" s="33">
        <f>IF(Produits!$A$51="","",Produits!$A$51)</f>
        <v/>
      </c>
      <c r="B52" s="34">
        <f>IF(Produits!$A$51="","",Produits!$C$51)</f>
        <v/>
      </c>
      <c r="C52" s="34">
        <f>IF(Produits!$A$51="","",Produits!$D$51)</f>
        <v/>
      </c>
      <c r="D52" s="32" t="n"/>
      <c r="E52" s="29" t="n"/>
      <c r="F52" s="29" t="n"/>
      <c r="G52" s="29" t="n"/>
      <c r="H52" s="32" t="n"/>
      <c r="I52" s="29" t="n"/>
      <c r="J52" s="29" t="n"/>
      <c r="K52" s="29" t="n"/>
      <c r="L52" s="32" t="n"/>
      <c r="M52" s="29" t="n"/>
      <c r="N52" s="29" t="n"/>
      <c r="O52" s="29" t="n"/>
      <c r="P52" s="32" t="n"/>
      <c r="Q52" s="29" t="n"/>
      <c r="R52" s="29" t="n"/>
      <c r="S52" s="29" t="n"/>
      <c r="T52" s="22">
        <f>IF(COUNT(F52,J52,N52,R52)=0,"",SUM(F52,J52,N52,R52))</f>
        <v/>
      </c>
      <c r="U52" s="22">
        <f>IF(COUNT(G52,K52,O52,S52)=0,"",SUM(G52,K52,O52,S52))</f>
        <v/>
      </c>
      <c r="V52" s="22">
        <f>IF(OR(T52="",U52=""),"",U52-T52)</f>
        <v/>
      </c>
      <c r="W52" s="22">
        <f>IF(Q52&lt;&gt;"",Q52,IF(M52&lt;&gt;"",M52,IF(I52&lt;&gt;"",I52,IF(E52&lt;&gt;"",E52,""))))</f>
        <v/>
      </c>
      <c r="X52" s="18">
        <f>IF(U52="","",U52*N(Produits!$E$51))</f>
        <v/>
      </c>
    </row>
    <row r="53">
      <c r="A53" s="33">
        <f>IF(Produits!$A$52="","",Produits!$A$52)</f>
        <v/>
      </c>
      <c r="B53" s="34">
        <f>IF(Produits!$A$52="","",Produits!$C$52)</f>
        <v/>
      </c>
      <c r="C53" s="34">
        <f>IF(Produits!$A$52="","",Produits!$D$52)</f>
        <v/>
      </c>
      <c r="D53" s="32" t="n"/>
      <c r="E53" s="29" t="n"/>
      <c r="F53" s="29" t="n"/>
      <c r="G53" s="29" t="n"/>
      <c r="H53" s="32" t="n"/>
      <c r="I53" s="29" t="n"/>
      <c r="J53" s="29" t="n"/>
      <c r="K53" s="29" t="n"/>
      <c r="L53" s="32" t="n"/>
      <c r="M53" s="29" t="n"/>
      <c r="N53" s="29" t="n"/>
      <c r="O53" s="29" t="n"/>
      <c r="P53" s="32" t="n"/>
      <c r="Q53" s="29" t="n"/>
      <c r="R53" s="29" t="n"/>
      <c r="S53" s="29" t="n"/>
      <c r="T53" s="22">
        <f>IF(COUNT(F53,J53,N53,R53)=0,"",SUM(F53,J53,N53,R53))</f>
        <v/>
      </c>
      <c r="U53" s="22">
        <f>IF(COUNT(G53,K53,O53,S53)=0,"",SUM(G53,K53,O53,S53))</f>
        <v/>
      </c>
      <c r="V53" s="22">
        <f>IF(OR(T53="",U53=""),"",U53-T53)</f>
        <v/>
      </c>
      <c r="W53" s="22">
        <f>IF(Q53&lt;&gt;"",Q53,IF(M53&lt;&gt;"",M53,IF(I53&lt;&gt;"",I53,IF(E53&lt;&gt;"",E53,""))))</f>
        <v/>
      </c>
      <c r="X53" s="18">
        <f>IF(U53="","",U53*N(Produits!$E$52))</f>
        <v/>
      </c>
    </row>
    <row r="54" ht="20" customHeight="1">
      <c r="A54" s="23" t="inlineStr">
        <is>
          <t>MÉNAGER</t>
        </is>
      </c>
      <c r="B54" s="10" t="n"/>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row>
    <row r="55">
      <c r="A55" s="33">
        <f>IF(Produits!$A$54="","",Produits!$A$54)</f>
        <v/>
      </c>
      <c r="B55" s="34">
        <f>IF(Produits!$A$54="","",Produits!$C$54)</f>
        <v/>
      </c>
      <c r="C55" s="34">
        <f>IF(Produits!$A$54="","",Produits!$D$54)</f>
        <v/>
      </c>
      <c r="D55" s="31">
        <f>DATE(2026,10,2)</f>
        <v/>
      </c>
      <c r="E55" s="26" t="n">
        <v>3.2</v>
      </c>
      <c r="F55" s="26" t="n">
        <v>4</v>
      </c>
      <c r="G55" s="26" t="n">
        <v>4</v>
      </c>
      <c r="H55" s="31">
        <f>DATE(2026,10,9)</f>
        <v/>
      </c>
      <c r="I55" s="26" t="n">
        <v>2.2</v>
      </c>
      <c r="J55" s="26" t="n">
        <v>4</v>
      </c>
      <c r="K55" s="26" t="n">
        <v>4</v>
      </c>
      <c r="L55" s="32" t="n"/>
      <c r="M55" s="29" t="n"/>
      <c r="N55" s="29" t="n"/>
      <c r="O55" s="29" t="n"/>
      <c r="P55" s="32" t="n"/>
      <c r="Q55" s="29" t="n"/>
      <c r="R55" s="29" t="n"/>
      <c r="S55" s="29" t="n"/>
      <c r="T55" s="22">
        <f>IF(COUNT(F55,J55,N55,R55)=0,"",SUM(F55,J55,N55,R55))</f>
        <v/>
      </c>
      <c r="U55" s="22">
        <f>IF(COUNT(G55,K55,O55,S55)=0,"",SUM(G55,K55,O55,S55))</f>
        <v/>
      </c>
      <c r="V55" s="22">
        <f>IF(OR(T55="",U55=""),"",U55-T55)</f>
        <v/>
      </c>
      <c r="W55" s="22">
        <f>IF(Q55&lt;&gt;"",Q55,IF(M55&lt;&gt;"",M55,IF(I55&lt;&gt;"",I55,IF(E55&lt;&gt;"",E55,""))))</f>
        <v/>
      </c>
      <c r="X55" s="18">
        <f>IF(U55="","",U55*N(Produits!$E$54))</f>
        <v/>
      </c>
    </row>
    <row r="56">
      <c r="A56" s="33">
        <f>IF(Produits!$A$55="","",Produits!$A$55)</f>
        <v/>
      </c>
      <c r="B56" s="34">
        <f>IF(Produits!$A$55="","",Produits!$C$55)</f>
        <v/>
      </c>
      <c r="C56" s="34">
        <f>IF(Produits!$A$55="","",Produits!$D$55)</f>
        <v/>
      </c>
      <c r="D56" s="31">
        <f>DATE(2026,10,2)</f>
        <v/>
      </c>
      <c r="E56" s="26" t="n">
        <v>1.6</v>
      </c>
      <c r="F56" s="26" t="n">
        <v>2</v>
      </c>
      <c r="G56" s="26" t="n">
        <v>2</v>
      </c>
      <c r="H56" s="31">
        <f>DATE(2026,10,9)</f>
        <v/>
      </c>
      <c r="I56" s="26" t="n">
        <v>1.1</v>
      </c>
      <c r="J56" s="26" t="n">
        <v>2</v>
      </c>
      <c r="K56" s="26" t="n">
        <v>2</v>
      </c>
      <c r="L56" s="32" t="n"/>
      <c r="M56" s="29" t="n"/>
      <c r="N56" s="29" t="n"/>
      <c r="O56" s="29" t="n"/>
      <c r="P56" s="32" t="n"/>
      <c r="Q56" s="29" t="n"/>
      <c r="R56" s="29" t="n"/>
      <c r="S56" s="29" t="n"/>
      <c r="T56" s="22">
        <f>IF(COUNT(F56,J56,N56,R56)=0,"",SUM(F56,J56,N56,R56))</f>
        <v/>
      </c>
      <c r="U56" s="22">
        <f>IF(COUNT(G56,K56,O56,S56)=0,"",SUM(G56,K56,O56,S56))</f>
        <v/>
      </c>
      <c r="V56" s="22">
        <f>IF(OR(T56="",U56=""),"",U56-T56)</f>
        <v/>
      </c>
      <c r="W56" s="22">
        <f>IF(Q56&lt;&gt;"",Q56,IF(M56&lt;&gt;"",M56,IF(I56&lt;&gt;"",I56,IF(E56&lt;&gt;"",E56,""))))</f>
        <v/>
      </c>
      <c r="X56" s="18">
        <f>IF(U56="","",U56*N(Produits!$E$55))</f>
        <v/>
      </c>
    </row>
    <row r="57">
      <c r="A57" s="33">
        <f>IF(Produits!$A$56="","",Produits!$A$56)</f>
        <v/>
      </c>
      <c r="B57" s="34">
        <f>IF(Produits!$A$56="","",Produits!$C$56)</f>
        <v/>
      </c>
      <c r="C57" s="34">
        <f>IF(Produits!$A$56="","",Produits!$D$56)</f>
        <v/>
      </c>
      <c r="D57" s="31">
        <f>DATE(2026,10,2)</f>
        <v/>
      </c>
      <c r="E57" s="26" t="n">
        <v>3.2</v>
      </c>
      <c r="F57" s="26" t="n">
        <v>4</v>
      </c>
      <c r="G57" s="26" t="n">
        <v>4</v>
      </c>
      <c r="H57" s="31">
        <f>DATE(2026,10,9)</f>
        <v/>
      </c>
      <c r="I57" s="26" t="n">
        <v>2.2</v>
      </c>
      <c r="J57" s="26" t="n">
        <v>4</v>
      </c>
      <c r="K57" s="26" t="n">
        <v>4</v>
      </c>
      <c r="L57" s="32" t="n"/>
      <c r="M57" s="29" t="n"/>
      <c r="N57" s="29" t="n"/>
      <c r="O57" s="29" t="n"/>
      <c r="P57" s="32" t="n"/>
      <c r="Q57" s="29" t="n"/>
      <c r="R57" s="29" t="n"/>
      <c r="S57" s="29" t="n"/>
      <c r="T57" s="22">
        <f>IF(COUNT(F57,J57,N57,R57)=0,"",SUM(F57,J57,N57,R57))</f>
        <v/>
      </c>
      <c r="U57" s="22">
        <f>IF(COUNT(G57,K57,O57,S57)=0,"",SUM(G57,K57,O57,S57))</f>
        <v/>
      </c>
      <c r="V57" s="22">
        <f>IF(OR(T57="",U57=""),"",U57-T57)</f>
        <v/>
      </c>
      <c r="W57" s="22">
        <f>IF(Q57&lt;&gt;"",Q57,IF(M57&lt;&gt;"",M57,IF(I57&lt;&gt;"",I57,IF(E57&lt;&gt;"",E57,""))))</f>
        <v/>
      </c>
      <c r="X57" s="18">
        <f>IF(U57="","",U57*N(Produits!$E$56))</f>
        <v/>
      </c>
    </row>
    <row r="58">
      <c r="A58" s="33">
        <f>IF(Produits!$A$57="","",Produits!$A$57)</f>
        <v/>
      </c>
      <c r="B58" s="34">
        <f>IF(Produits!$A$57="","",Produits!$C$57)</f>
        <v/>
      </c>
      <c r="C58" s="34">
        <f>IF(Produits!$A$57="","",Produits!$D$57)</f>
        <v/>
      </c>
      <c r="D58" s="32" t="n"/>
      <c r="E58" s="29" t="n"/>
      <c r="F58" s="29" t="n"/>
      <c r="G58" s="29" t="n"/>
      <c r="H58" s="32" t="n"/>
      <c r="I58" s="29" t="n"/>
      <c r="J58" s="29" t="n"/>
      <c r="K58" s="29" t="n"/>
      <c r="L58" s="32" t="n"/>
      <c r="M58" s="29" t="n"/>
      <c r="N58" s="29" t="n"/>
      <c r="O58" s="29" t="n"/>
      <c r="P58" s="32" t="n"/>
      <c r="Q58" s="29" t="n"/>
      <c r="R58" s="29" t="n"/>
      <c r="S58" s="29" t="n"/>
      <c r="T58" s="22">
        <f>IF(COUNT(F58,J58,N58,R58)=0,"",SUM(F58,J58,N58,R58))</f>
        <v/>
      </c>
      <c r="U58" s="22">
        <f>IF(COUNT(G58,K58,O58,S58)=0,"",SUM(G58,K58,O58,S58))</f>
        <v/>
      </c>
      <c r="V58" s="22">
        <f>IF(OR(T58="",U58=""),"",U58-T58)</f>
        <v/>
      </c>
      <c r="W58" s="22">
        <f>IF(Q58&lt;&gt;"",Q58,IF(M58&lt;&gt;"",M58,IF(I58&lt;&gt;"",I58,IF(E58&lt;&gt;"",E58,""))))</f>
        <v/>
      </c>
      <c r="X58" s="18">
        <f>IF(U58="","",U58*N(Produits!$E$57))</f>
        <v/>
      </c>
    </row>
    <row r="59">
      <c r="A59" s="33">
        <f>IF(Produits!$A$58="","",Produits!$A$58)</f>
        <v/>
      </c>
      <c r="B59" s="34">
        <f>IF(Produits!$A$58="","",Produits!$C$58)</f>
        <v/>
      </c>
      <c r="C59" s="34">
        <f>IF(Produits!$A$58="","",Produits!$D$58)</f>
        <v/>
      </c>
      <c r="D59" s="32" t="n"/>
      <c r="E59" s="29" t="n"/>
      <c r="F59" s="29" t="n"/>
      <c r="G59" s="29" t="n"/>
      <c r="H59" s="32" t="n"/>
      <c r="I59" s="29" t="n"/>
      <c r="J59" s="29" t="n"/>
      <c r="K59" s="29" t="n"/>
      <c r="L59" s="32" t="n"/>
      <c r="M59" s="29" t="n"/>
      <c r="N59" s="29" t="n"/>
      <c r="O59" s="29" t="n"/>
      <c r="P59" s="32" t="n"/>
      <c r="Q59" s="29" t="n"/>
      <c r="R59" s="29" t="n"/>
      <c r="S59" s="29" t="n"/>
      <c r="T59" s="22">
        <f>IF(COUNT(F59,J59,N59,R59)=0,"",SUM(F59,J59,N59,R59))</f>
        <v/>
      </c>
      <c r="U59" s="22">
        <f>IF(COUNT(G59,K59,O59,S59)=0,"",SUM(G59,K59,O59,S59))</f>
        <v/>
      </c>
      <c r="V59" s="22">
        <f>IF(OR(T59="",U59=""),"",U59-T59)</f>
        <v/>
      </c>
      <c r="W59" s="22">
        <f>IF(Q59&lt;&gt;"",Q59,IF(M59&lt;&gt;"",M59,IF(I59&lt;&gt;"",I59,IF(E59&lt;&gt;"",E59,""))))</f>
        <v/>
      </c>
      <c r="X59" s="18">
        <f>IF(U59="","",U59*N(Produits!$E$58))</f>
        <v/>
      </c>
    </row>
    <row r="60">
      <c r="A60" s="33">
        <f>IF(Produits!$A$59="","",Produits!$A$59)</f>
        <v/>
      </c>
      <c r="B60" s="34">
        <f>IF(Produits!$A$59="","",Produits!$C$59)</f>
        <v/>
      </c>
      <c r="C60" s="34">
        <f>IF(Produits!$A$59="","",Produits!$D$59)</f>
        <v/>
      </c>
      <c r="D60" s="32" t="n"/>
      <c r="E60" s="29" t="n"/>
      <c r="F60" s="29" t="n"/>
      <c r="G60" s="29" t="n"/>
      <c r="H60" s="32" t="n"/>
      <c r="I60" s="29" t="n"/>
      <c r="J60" s="29" t="n"/>
      <c r="K60" s="29" t="n"/>
      <c r="L60" s="32" t="n"/>
      <c r="M60" s="29" t="n"/>
      <c r="N60" s="29" t="n"/>
      <c r="O60" s="29" t="n"/>
      <c r="P60" s="32" t="n"/>
      <c r="Q60" s="29" t="n"/>
      <c r="R60" s="29" t="n"/>
      <c r="S60" s="29" t="n"/>
      <c r="T60" s="22">
        <f>IF(COUNT(F60,J60,N60,R60)=0,"",SUM(F60,J60,N60,R60))</f>
        <v/>
      </c>
      <c r="U60" s="22">
        <f>IF(COUNT(G60,K60,O60,S60)=0,"",SUM(G60,K60,O60,S60))</f>
        <v/>
      </c>
      <c r="V60" s="22">
        <f>IF(OR(T60="",U60=""),"",U60-T60)</f>
        <v/>
      </c>
      <c r="W60" s="22">
        <f>IF(Q60&lt;&gt;"",Q60,IF(M60&lt;&gt;"",M60,IF(I60&lt;&gt;"",I60,IF(E60&lt;&gt;"",E60,""))))</f>
        <v/>
      </c>
      <c r="X60" s="18">
        <f>IF(U60="","",U60*N(Produits!$E$59))</f>
        <v/>
      </c>
    </row>
    <row r="61">
      <c r="A61" s="33">
        <f>IF(Produits!$A$60="","",Produits!$A$60)</f>
        <v/>
      </c>
      <c r="B61" s="34">
        <f>IF(Produits!$A$60="","",Produits!$C$60)</f>
        <v/>
      </c>
      <c r="C61" s="34">
        <f>IF(Produits!$A$60="","",Produits!$D$60)</f>
        <v/>
      </c>
      <c r="D61" s="32" t="n"/>
      <c r="E61" s="29" t="n"/>
      <c r="F61" s="29" t="n"/>
      <c r="G61" s="29" t="n"/>
      <c r="H61" s="32" t="n"/>
      <c r="I61" s="29" t="n"/>
      <c r="J61" s="29" t="n"/>
      <c r="K61" s="29" t="n"/>
      <c r="L61" s="32" t="n"/>
      <c r="M61" s="29" t="n"/>
      <c r="N61" s="29" t="n"/>
      <c r="O61" s="29" t="n"/>
      <c r="P61" s="32" t="n"/>
      <c r="Q61" s="29" t="n"/>
      <c r="R61" s="29" t="n"/>
      <c r="S61" s="29" t="n"/>
      <c r="T61" s="22">
        <f>IF(COUNT(F61,J61,N61,R61)=0,"",SUM(F61,J61,N61,R61))</f>
        <v/>
      </c>
      <c r="U61" s="22">
        <f>IF(COUNT(G61,K61,O61,S61)=0,"",SUM(G61,K61,O61,S61))</f>
        <v/>
      </c>
      <c r="V61" s="22">
        <f>IF(OR(T61="",U61=""),"",U61-T61)</f>
        <v/>
      </c>
      <c r="W61" s="22">
        <f>IF(Q61&lt;&gt;"",Q61,IF(M61&lt;&gt;"",M61,IF(I61&lt;&gt;"",I61,IF(E61&lt;&gt;"",E61,""))))</f>
        <v/>
      </c>
      <c r="X61" s="18">
        <f>IF(U61="","",U61*N(Produits!$E$60))</f>
        <v/>
      </c>
    </row>
    <row r="62">
      <c r="A62" s="33">
        <f>IF(Produits!$A$61="","",Produits!$A$61)</f>
        <v/>
      </c>
      <c r="B62" s="34">
        <f>IF(Produits!$A$61="","",Produits!$C$61)</f>
        <v/>
      </c>
      <c r="C62" s="34">
        <f>IF(Produits!$A$61="","",Produits!$D$61)</f>
        <v/>
      </c>
      <c r="D62" s="32" t="n"/>
      <c r="E62" s="29" t="n"/>
      <c r="F62" s="29" t="n"/>
      <c r="G62" s="29" t="n"/>
      <c r="H62" s="32" t="n"/>
      <c r="I62" s="29" t="n"/>
      <c r="J62" s="29" t="n"/>
      <c r="K62" s="29" t="n"/>
      <c r="L62" s="32" t="n"/>
      <c r="M62" s="29" t="n"/>
      <c r="N62" s="29" t="n"/>
      <c r="O62" s="29" t="n"/>
      <c r="P62" s="32" t="n"/>
      <c r="Q62" s="29" t="n"/>
      <c r="R62" s="29" t="n"/>
      <c r="S62" s="29" t="n"/>
      <c r="T62" s="22">
        <f>IF(COUNT(F62,J62,N62,R62)=0,"",SUM(F62,J62,N62,R62))</f>
        <v/>
      </c>
      <c r="U62" s="22">
        <f>IF(COUNT(G62,K62,O62,S62)=0,"",SUM(G62,K62,O62,S62))</f>
        <v/>
      </c>
      <c r="V62" s="22">
        <f>IF(OR(T62="",U62=""),"",U62-T62)</f>
        <v/>
      </c>
      <c r="W62" s="22">
        <f>IF(Q62&lt;&gt;"",Q62,IF(M62&lt;&gt;"",M62,IF(I62&lt;&gt;"",I62,IF(E62&lt;&gt;"",E62,""))))</f>
        <v/>
      </c>
      <c r="X62" s="18">
        <f>IF(U62="","",U62*N(Produits!$E$61))</f>
        <v/>
      </c>
    </row>
    <row r="63">
      <c r="A63" s="33">
        <f>IF(Produits!$A$62="","",Produits!$A$62)</f>
        <v/>
      </c>
      <c r="B63" s="34">
        <f>IF(Produits!$A$62="","",Produits!$C$62)</f>
        <v/>
      </c>
      <c r="C63" s="34">
        <f>IF(Produits!$A$62="","",Produits!$D$62)</f>
        <v/>
      </c>
      <c r="D63" s="32" t="n"/>
      <c r="E63" s="29" t="n"/>
      <c r="F63" s="29" t="n"/>
      <c r="G63" s="29" t="n"/>
      <c r="H63" s="32" t="n"/>
      <c r="I63" s="29" t="n"/>
      <c r="J63" s="29" t="n"/>
      <c r="K63" s="29" t="n"/>
      <c r="L63" s="32" t="n"/>
      <c r="M63" s="29" t="n"/>
      <c r="N63" s="29" t="n"/>
      <c r="O63" s="29" t="n"/>
      <c r="P63" s="32" t="n"/>
      <c r="Q63" s="29" t="n"/>
      <c r="R63" s="29" t="n"/>
      <c r="S63" s="29" t="n"/>
      <c r="T63" s="22">
        <f>IF(COUNT(F63,J63,N63,R63)=0,"",SUM(F63,J63,N63,R63))</f>
        <v/>
      </c>
      <c r="U63" s="22">
        <f>IF(COUNT(G63,K63,O63,S63)=0,"",SUM(G63,K63,O63,S63))</f>
        <v/>
      </c>
      <c r="V63" s="22">
        <f>IF(OR(T63="",U63=""),"",U63-T63)</f>
        <v/>
      </c>
      <c r="W63" s="22">
        <f>IF(Q63&lt;&gt;"",Q63,IF(M63&lt;&gt;"",M63,IF(I63&lt;&gt;"",I63,IF(E63&lt;&gt;"",E63,""))))</f>
        <v/>
      </c>
      <c r="X63" s="18">
        <f>IF(U63="","",U63*N(Produits!$E$62))</f>
        <v/>
      </c>
    </row>
    <row r="64">
      <c r="A64" s="33">
        <f>IF(Produits!$A$63="","",Produits!$A$63)</f>
        <v/>
      </c>
      <c r="B64" s="34">
        <f>IF(Produits!$A$63="","",Produits!$C$63)</f>
        <v/>
      </c>
      <c r="C64" s="34">
        <f>IF(Produits!$A$63="","",Produits!$D$63)</f>
        <v/>
      </c>
      <c r="D64" s="32" t="n"/>
      <c r="E64" s="29" t="n"/>
      <c r="F64" s="29" t="n"/>
      <c r="G64" s="29" t="n"/>
      <c r="H64" s="32" t="n"/>
      <c r="I64" s="29" t="n"/>
      <c r="J64" s="29" t="n"/>
      <c r="K64" s="29" t="n"/>
      <c r="L64" s="32" t="n"/>
      <c r="M64" s="29" t="n"/>
      <c r="N64" s="29" t="n"/>
      <c r="O64" s="29" t="n"/>
      <c r="P64" s="32" t="n"/>
      <c r="Q64" s="29" t="n"/>
      <c r="R64" s="29" t="n"/>
      <c r="S64" s="29" t="n"/>
      <c r="T64" s="22">
        <f>IF(COUNT(F64,J64,N64,R64)=0,"",SUM(F64,J64,N64,R64))</f>
        <v/>
      </c>
      <c r="U64" s="22">
        <f>IF(COUNT(G64,K64,O64,S64)=0,"",SUM(G64,K64,O64,S64))</f>
        <v/>
      </c>
      <c r="V64" s="22">
        <f>IF(OR(T64="",U64=""),"",U64-T64)</f>
        <v/>
      </c>
      <c r="W64" s="22">
        <f>IF(Q64&lt;&gt;"",Q64,IF(M64&lt;&gt;"",M64,IF(I64&lt;&gt;"",I64,IF(E64&lt;&gt;"",E64,""))))</f>
        <v/>
      </c>
      <c r="X64" s="18">
        <f>IF(U64="","",U64*N(Produits!$E$63))</f>
        <v/>
      </c>
    </row>
    <row r="65">
      <c r="A65" s="33">
        <f>IF(Produits!$A$64="","",Produits!$A$64)</f>
        <v/>
      </c>
      <c r="B65" s="34">
        <f>IF(Produits!$A$64="","",Produits!$C$64)</f>
        <v/>
      </c>
      <c r="C65" s="34">
        <f>IF(Produits!$A$64="","",Produits!$D$64)</f>
        <v/>
      </c>
      <c r="D65" s="32" t="n"/>
      <c r="E65" s="29" t="n"/>
      <c r="F65" s="29" t="n"/>
      <c r="G65" s="29" t="n"/>
      <c r="H65" s="32" t="n"/>
      <c r="I65" s="29" t="n"/>
      <c r="J65" s="29" t="n"/>
      <c r="K65" s="29" t="n"/>
      <c r="L65" s="32" t="n"/>
      <c r="M65" s="29" t="n"/>
      <c r="N65" s="29" t="n"/>
      <c r="O65" s="29" t="n"/>
      <c r="P65" s="32" t="n"/>
      <c r="Q65" s="29" t="n"/>
      <c r="R65" s="29" t="n"/>
      <c r="S65" s="29" t="n"/>
      <c r="T65" s="22">
        <f>IF(COUNT(F65,J65,N65,R65)=0,"",SUM(F65,J65,N65,R65))</f>
        <v/>
      </c>
      <c r="U65" s="22">
        <f>IF(COUNT(G65,K65,O65,S65)=0,"",SUM(G65,K65,O65,S65))</f>
        <v/>
      </c>
      <c r="V65" s="22">
        <f>IF(OR(T65="",U65=""),"",U65-T65)</f>
        <v/>
      </c>
      <c r="W65" s="22">
        <f>IF(Q65&lt;&gt;"",Q65,IF(M65&lt;&gt;"",M65,IF(I65&lt;&gt;"",I65,IF(E65&lt;&gt;"",E65,""))))</f>
        <v/>
      </c>
      <c r="X65" s="18">
        <f>IF(U65="","",U65*N(Produits!$E$64))</f>
        <v/>
      </c>
    </row>
    <row r="66">
      <c r="A66" s="33">
        <f>IF(Produits!$A$65="","",Produits!$A$65)</f>
        <v/>
      </c>
      <c r="B66" s="34">
        <f>IF(Produits!$A$65="","",Produits!$C$65)</f>
        <v/>
      </c>
      <c r="C66" s="34">
        <f>IF(Produits!$A$65="","",Produits!$D$65)</f>
        <v/>
      </c>
      <c r="D66" s="32" t="n"/>
      <c r="E66" s="29" t="n"/>
      <c r="F66" s="29" t="n"/>
      <c r="G66" s="29" t="n"/>
      <c r="H66" s="32" t="n"/>
      <c r="I66" s="29" t="n"/>
      <c r="J66" s="29" t="n"/>
      <c r="K66" s="29" t="n"/>
      <c r="L66" s="32" t="n"/>
      <c r="M66" s="29" t="n"/>
      <c r="N66" s="29" t="n"/>
      <c r="O66" s="29" t="n"/>
      <c r="P66" s="32" t="n"/>
      <c r="Q66" s="29" t="n"/>
      <c r="R66" s="29" t="n"/>
      <c r="S66" s="29" t="n"/>
      <c r="T66" s="22">
        <f>IF(COUNT(F66,J66,N66,R66)=0,"",SUM(F66,J66,N66,R66))</f>
        <v/>
      </c>
      <c r="U66" s="22">
        <f>IF(COUNT(G66,K66,O66,S66)=0,"",SUM(G66,K66,O66,S66))</f>
        <v/>
      </c>
      <c r="V66" s="22">
        <f>IF(OR(T66="",U66=""),"",U66-T66)</f>
        <v/>
      </c>
      <c r="W66" s="22">
        <f>IF(Q66&lt;&gt;"",Q66,IF(M66&lt;&gt;"",M66,IF(I66&lt;&gt;"",I66,IF(E66&lt;&gt;"",E66,""))))</f>
        <v/>
      </c>
      <c r="X66" s="18">
        <f>IF(U66="","",U66*N(Produits!$E$65))</f>
        <v/>
      </c>
    </row>
    <row r="67">
      <c r="A67" s="33">
        <f>IF(Produits!$A$66="","",Produits!$A$66)</f>
        <v/>
      </c>
      <c r="B67" s="34">
        <f>IF(Produits!$A$66="","",Produits!$C$66)</f>
        <v/>
      </c>
      <c r="C67" s="34">
        <f>IF(Produits!$A$66="","",Produits!$D$66)</f>
        <v/>
      </c>
      <c r="D67" s="32" t="n"/>
      <c r="E67" s="29" t="n"/>
      <c r="F67" s="29" t="n"/>
      <c r="G67" s="29" t="n"/>
      <c r="H67" s="32" t="n"/>
      <c r="I67" s="29" t="n"/>
      <c r="J67" s="29" t="n"/>
      <c r="K67" s="29" t="n"/>
      <c r="L67" s="32" t="n"/>
      <c r="M67" s="29" t="n"/>
      <c r="N67" s="29" t="n"/>
      <c r="O67" s="29" t="n"/>
      <c r="P67" s="32" t="n"/>
      <c r="Q67" s="29" t="n"/>
      <c r="R67" s="29" t="n"/>
      <c r="S67" s="29" t="n"/>
      <c r="T67" s="22">
        <f>IF(COUNT(F67,J67,N67,R67)=0,"",SUM(F67,J67,N67,R67))</f>
        <v/>
      </c>
      <c r="U67" s="22">
        <f>IF(COUNT(G67,K67,O67,S67)=0,"",SUM(G67,K67,O67,S67))</f>
        <v/>
      </c>
      <c r="V67" s="22">
        <f>IF(OR(T67="",U67=""),"",U67-T67)</f>
        <v/>
      </c>
      <c r="W67" s="22">
        <f>IF(Q67&lt;&gt;"",Q67,IF(M67&lt;&gt;"",M67,IF(I67&lt;&gt;"",I67,IF(E67&lt;&gt;"",E67,""))))</f>
        <v/>
      </c>
      <c r="X67" s="18">
        <f>IF(U67="","",U67*N(Produits!$E$66))</f>
        <v/>
      </c>
    </row>
    <row r="68">
      <c r="A68" s="33">
        <f>IF(Produits!$A$67="","",Produits!$A$67)</f>
        <v/>
      </c>
      <c r="B68" s="34">
        <f>IF(Produits!$A$67="","",Produits!$C$67)</f>
        <v/>
      </c>
      <c r="C68" s="34">
        <f>IF(Produits!$A$67="","",Produits!$D$67)</f>
        <v/>
      </c>
      <c r="D68" s="32" t="n"/>
      <c r="E68" s="29" t="n"/>
      <c r="F68" s="29" t="n"/>
      <c r="G68" s="29" t="n"/>
      <c r="H68" s="32" t="n"/>
      <c r="I68" s="29" t="n"/>
      <c r="J68" s="29" t="n"/>
      <c r="K68" s="29" t="n"/>
      <c r="L68" s="32" t="n"/>
      <c r="M68" s="29" t="n"/>
      <c r="N68" s="29" t="n"/>
      <c r="O68" s="29" t="n"/>
      <c r="P68" s="32" t="n"/>
      <c r="Q68" s="29" t="n"/>
      <c r="R68" s="29" t="n"/>
      <c r="S68" s="29" t="n"/>
      <c r="T68" s="22">
        <f>IF(COUNT(F68,J68,N68,R68)=0,"",SUM(F68,J68,N68,R68))</f>
        <v/>
      </c>
      <c r="U68" s="22">
        <f>IF(COUNT(G68,K68,O68,S68)=0,"",SUM(G68,K68,O68,S68))</f>
        <v/>
      </c>
      <c r="V68" s="22">
        <f>IF(OR(T68="",U68=""),"",U68-T68)</f>
        <v/>
      </c>
      <c r="W68" s="22">
        <f>IF(Q68&lt;&gt;"",Q68,IF(M68&lt;&gt;"",M68,IF(I68&lt;&gt;"",I68,IF(E68&lt;&gt;"",E68,""))))</f>
        <v/>
      </c>
      <c r="X68" s="18">
        <f>IF(U68="","",U68*N(Produits!$E$67))</f>
        <v/>
      </c>
    </row>
    <row r="69">
      <c r="A69" s="33">
        <f>IF(Produits!$A$68="","",Produits!$A$68)</f>
        <v/>
      </c>
      <c r="B69" s="34">
        <f>IF(Produits!$A$68="","",Produits!$C$68)</f>
        <v/>
      </c>
      <c r="C69" s="34">
        <f>IF(Produits!$A$68="","",Produits!$D$68)</f>
        <v/>
      </c>
      <c r="D69" s="32" t="n"/>
      <c r="E69" s="29" t="n"/>
      <c r="F69" s="29" t="n"/>
      <c r="G69" s="29" t="n"/>
      <c r="H69" s="32" t="n"/>
      <c r="I69" s="29" t="n"/>
      <c r="J69" s="29" t="n"/>
      <c r="K69" s="29" t="n"/>
      <c r="L69" s="32" t="n"/>
      <c r="M69" s="29" t="n"/>
      <c r="N69" s="29" t="n"/>
      <c r="O69" s="29" t="n"/>
      <c r="P69" s="32" t="n"/>
      <c r="Q69" s="29" t="n"/>
      <c r="R69" s="29" t="n"/>
      <c r="S69" s="29" t="n"/>
      <c r="T69" s="22">
        <f>IF(COUNT(F69,J69,N69,R69)=0,"",SUM(F69,J69,N69,R69))</f>
        <v/>
      </c>
      <c r="U69" s="22">
        <f>IF(COUNT(G69,K69,O69,S69)=0,"",SUM(G69,K69,O69,S69))</f>
        <v/>
      </c>
      <c r="V69" s="22">
        <f>IF(OR(T69="",U69=""),"",U69-T69)</f>
        <v/>
      </c>
      <c r="W69" s="22">
        <f>IF(Q69&lt;&gt;"",Q69,IF(M69&lt;&gt;"",M69,IF(I69&lt;&gt;"",I69,IF(E69&lt;&gt;"",E69,""))))</f>
        <v/>
      </c>
      <c r="X69" s="18">
        <f>IF(U69="","",U69*N(Produits!$E$68))</f>
        <v/>
      </c>
    </row>
    <row r="71">
      <c r="A71" s="15" t="inlineStr">
        <is>
          <t>Total des dépenses du mois</t>
        </is>
      </c>
      <c r="B71" s="19" t="n"/>
      <c r="C71" s="19" t="n"/>
      <c r="X71" s="35">
        <f>SUM(X7:X69)</f>
        <v/>
      </c>
    </row>
  </sheetData>
  <mergeCells count="14">
    <mergeCell ref="H4:K4"/>
    <mergeCell ref="A71:C71"/>
    <mergeCell ref="B4:B5"/>
    <mergeCell ref="C4:C5"/>
    <mergeCell ref="A4:A5"/>
    <mergeCell ref="T4:W4"/>
    <mergeCell ref="X4:X5"/>
    <mergeCell ref="A38:X38"/>
    <mergeCell ref="A54:X54"/>
    <mergeCell ref="L4:O4"/>
    <mergeCell ref="P4:S4"/>
    <mergeCell ref="A6:X6"/>
    <mergeCell ref="A22:X22"/>
    <mergeCell ref="D4:G4"/>
  </mergeCells>
  <conditionalFormatting sqref="V7:V69">
    <cfRule type="expression" priority="1" dxfId="0">
      <formula>AND(ISNUMBER(V7),V7&lt;0)</formula>
    </cfRule>
  </conditionalFormatting>
  <conditionalFormatting sqref="E7:E69">
    <cfRule type="expression" priority="2" dxfId="1">
      <formula>AND(ISNUMBER(E7),ISNUMBER($C7),E7&lt;=$C7)</formula>
    </cfRule>
  </conditionalFormatting>
  <conditionalFormatting sqref="G7:G69">
    <cfRule type="expression" priority="3" dxfId="0">
      <formula>AND(ISNUMBER(G7),ISNUMBER(F7),G7&lt;F7)</formula>
    </cfRule>
  </conditionalFormatting>
  <conditionalFormatting sqref="I7:I69">
    <cfRule type="expression" priority="4" dxfId="1">
      <formula>AND(ISNUMBER(I7),ISNUMBER($C7),I7&lt;=$C7)</formula>
    </cfRule>
  </conditionalFormatting>
  <conditionalFormatting sqref="K7:K69">
    <cfRule type="expression" priority="5" dxfId="0">
      <formula>AND(ISNUMBER(K7),ISNUMBER(J7),K7&lt;J7)</formula>
    </cfRule>
  </conditionalFormatting>
  <conditionalFormatting sqref="M7:M69">
    <cfRule type="expression" priority="6" dxfId="1">
      <formula>AND(ISNUMBER(M7),ISNUMBER($C7),M7&lt;=$C7)</formula>
    </cfRule>
  </conditionalFormatting>
  <conditionalFormatting sqref="O7:O69">
    <cfRule type="expression" priority="7" dxfId="0">
      <formula>AND(ISNUMBER(O7),ISNUMBER(N7),O7&lt;N7)</formula>
    </cfRule>
  </conditionalFormatting>
  <conditionalFormatting sqref="Q7:Q69">
    <cfRule type="expression" priority="8" dxfId="1">
      <formula>AND(ISNUMBER(Q7),ISNUMBER($C7),Q7&lt;=$C7)</formula>
    </cfRule>
  </conditionalFormatting>
  <conditionalFormatting sqref="S7:S69">
    <cfRule type="expression" priority="9" dxfId="0">
      <formula>AND(ISNUMBER(S7),ISNUMBER(R7),S7&lt;R7)</formula>
    </cfRule>
  </conditionalFormatting>
  <dataValidations count="4">
    <dataValidation sqref="E7:G69" showDropDown="0" showInputMessage="0" showErrorMessage="1" allowBlank="1" errorTitle="Valeur invalide" error="Entre un nombre positif (ou laisse vide)." type="decimal" operator="greaterThanOrEqual">
      <formula1>0</formula1>
    </dataValidation>
    <dataValidation sqref="I7:K69" showDropDown="0" showInputMessage="0" showErrorMessage="1" allowBlank="1" errorTitle="Valeur invalide" error="Entre un nombre positif (ou laisse vide)." type="decimal" operator="greaterThanOrEqual">
      <formula1>0</formula1>
    </dataValidation>
    <dataValidation sqref="M7:O69" showDropDown="0" showInputMessage="0" showErrorMessage="1" allowBlank="1" errorTitle="Valeur invalide" error="Entre un nombre positif (ou laisse vide)." type="decimal" operator="greaterThanOrEqual">
      <formula1>0</formula1>
    </dataValidation>
    <dataValidation sqref="Q7:S69"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X71"/>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24" customWidth="1" min="1" max="1"/>
    <col width="7" customWidth="1" min="2" max="2"/>
    <col width="7" customWidth="1" min="3" max="3"/>
    <col width="11" customWidth="1" min="4" max="4"/>
    <col width="10.5" customWidth="1" min="5" max="5"/>
    <col width="10.5" customWidth="1" min="6" max="6"/>
    <col width="10.5" customWidth="1" min="7" max="7"/>
    <col width="11" customWidth="1" min="8" max="8"/>
    <col width="10.5" customWidth="1" min="9" max="9"/>
    <col width="10.5" customWidth="1" min="10" max="10"/>
    <col width="10.5" customWidth="1" min="11" max="11"/>
    <col width="11" customWidth="1" min="12" max="12"/>
    <col width="10.5" customWidth="1" min="13" max="13"/>
    <col width="10.5" customWidth="1" min="14" max="14"/>
    <col width="10.5" customWidth="1" min="15" max="15"/>
    <col width="11" customWidth="1" min="16" max="16"/>
    <col width="10.5" customWidth="1" min="17" max="17"/>
    <col width="10.5" customWidth="1" min="18" max="18"/>
    <col width="10.5" customWidth="1" min="19" max="19"/>
    <col width="11" customWidth="1" min="20" max="20"/>
    <col width="11" customWidth="1" min="21" max="21"/>
    <col width="11" customWidth="1" min="22" max="22"/>
    <col width="11" customWidth="1" min="23" max="23"/>
    <col width="12" customWidth="1" min="24" max="24"/>
  </cols>
  <sheetData>
    <row r="1" ht="26" customHeight="1">
      <c r="A1" s="1" t="inlineStr">
        <is>
          <t>Novembre 2026</t>
        </is>
      </c>
    </row>
    <row r="2">
      <c r="A2" s="2" t="inlineStr">
        <is>
          <t>Date cmd = jour où tu passes la commande · Stock = ce qu'il reste · Commandé · Reçu = ce qui est arrivé</t>
        </is>
      </c>
    </row>
    <row r="4">
      <c r="A4" s="15" t="inlineStr">
        <is>
          <t>Produit</t>
        </is>
      </c>
      <c r="B4" s="15" t="inlineStr">
        <is>
          <t>Unité</t>
        </is>
      </c>
      <c r="C4" s="15" t="inlineStr">
        <is>
          <t>Mini</t>
        </is>
      </c>
      <c r="D4" s="15" t="inlineStr">
        <is>
          <t>Semaine 1</t>
        </is>
      </c>
      <c r="E4" s="19" t="n"/>
      <c r="F4" s="19" t="n"/>
      <c r="G4" s="19" t="n"/>
      <c r="H4" s="15" t="inlineStr">
        <is>
          <t>Semaine 2</t>
        </is>
      </c>
      <c r="I4" s="19" t="n"/>
      <c r="J4" s="19" t="n"/>
      <c r="K4" s="19" t="n"/>
      <c r="L4" s="15" t="inlineStr">
        <is>
          <t>Semaine 3</t>
        </is>
      </c>
      <c r="M4" s="19" t="n"/>
      <c r="N4" s="19" t="n"/>
      <c r="O4" s="19" t="n"/>
      <c r="P4" s="15" t="inlineStr">
        <is>
          <t>Semaine 4</t>
        </is>
      </c>
      <c r="Q4" s="19" t="n"/>
      <c r="R4" s="19" t="n"/>
      <c r="S4" s="19" t="n"/>
      <c r="T4" s="15" t="inlineStr">
        <is>
          <t>Total du mois</t>
        </is>
      </c>
      <c r="U4" s="19" t="n"/>
      <c r="V4" s="19" t="n"/>
      <c r="W4" s="19" t="n"/>
      <c r="X4" s="15" t="inlineStr">
        <is>
          <t>Dépense (€)</t>
        </is>
      </c>
    </row>
    <row r="5">
      <c r="A5" s="19" t="n"/>
      <c r="B5" s="19" t="n"/>
      <c r="C5" s="19" t="n"/>
      <c r="D5" s="8" t="inlineStr">
        <is>
          <t>Date cmd</t>
        </is>
      </c>
      <c r="E5" s="8" t="inlineStr">
        <is>
          <t>Stock</t>
        </is>
      </c>
      <c r="F5" s="8" t="inlineStr">
        <is>
          <t>Commandé</t>
        </is>
      </c>
      <c r="G5" s="8" t="inlineStr">
        <is>
          <t>Reçu</t>
        </is>
      </c>
      <c r="H5" s="8" t="inlineStr">
        <is>
          <t>Date cmd</t>
        </is>
      </c>
      <c r="I5" s="8" t="inlineStr">
        <is>
          <t>Stock</t>
        </is>
      </c>
      <c r="J5" s="8" t="inlineStr">
        <is>
          <t>Commandé</t>
        </is>
      </c>
      <c r="K5" s="8" t="inlineStr">
        <is>
          <t>Reçu</t>
        </is>
      </c>
      <c r="L5" s="8" t="inlineStr">
        <is>
          <t>Date cmd</t>
        </is>
      </c>
      <c r="M5" s="8" t="inlineStr">
        <is>
          <t>Stock</t>
        </is>
      </c>
      <c r="N5" s="8" t="inlineStr">
        <is>
          <t>Commandé</t>
        </is>
      </c>
      <c r="O5" s="8" t="inlineStr">
        <is>
          <t>Reçu</t>
        </is>
      </c>
      <c r="P5" s="8" t="inlineStr">
        <is>
          <t>Date cmd</t>
        </is>
      </c>
      <c r="Q5" s="8" t="inlineStr">
        <is>
          <t>Stock</t>
        </is>
      </c>
      <c r="R5" s="8" t="inlineStr">
        <is>
          <t>Commandé</t>
        </is>
      </c>
      <c r="S5" s="8" t="inlineStr">
        <is>
          <t>Reçu</t>
        </is>
      </c>
      <c r="T5" s="8" t="inlineStr">
        <is>
          <t>Commandé</t>
        </is>
      </c>
      <c r="U5" s="8" t="inlineStr">
        <is>
          <t>Reçu</t>
        </is>
      </c>
      <c r="V5" s="8" t="inlineStr">
        <is>
          <t>Écart</t>
        </is>
      </c>
      <c r="W5" s="8" t="inlineStr">
        <is>
          <t>Dernier stock</t>
        </is>
      </c>
      <c r="X5" s="19" t="n"/>
    </row>
    <row r="6" ht="20" customHeight="1">
      <c r="A6" s="23" t="inlineStr">
        <is>
          <t>RÉSERVE SÈCHE</t>
        </is>
      </c>
      <c r="B6" s="10" t="n"/>
      <c r="C6" s="10" t="n"/>
      <c r="D6" s="10" t="n"/>
      <c r="E6" s="10" t="n"/>
      <c r="F6" s="10" t="n"/>
      <c r="G6" s="10" t="n"/>
      <c r="H6" s="10" t="n"/>
      <c r="I6" s="10" t="n"/>
      <c r="J6" s="10" t="n"/>
      <c r="K6" s="10" t="n"/>
      <c r="L6" s="10" t="n"/>
      <c r="M6" s="10" t="n"/>
      <c r="N6" s="10" t="n"/>
      <c r="O6" s="10" t="n"/>
      <c r="P6" s="10" t="n"/>
      <c r="Q6" s="10" t="n"/>
      <c r="R6" s="10" t="n"/>
      <c r="S6" s="10" t="n"/>
      <c r="T6" s="10" t="n"/>
      <c r="U6" s="10" t="n"/>
      <c r="V6" s="10" t="n"/>
      <c r="W6" s="10" t="n"/>
      <c r="X6" s="10" t="n"/>
    </row>
    <row r="7">
      <c r="A7" s="33">
        <f>IF(Produits!$A$6="","",Produits!$A$6)</f>
        <v/>
      </c>
      <c r="B7" s="34">
        <f>IF(Produits!$A$6="","",Produits!$C$6)</f>
        <v/>
      </c>
      <c r="C7" s="34">
        <f>IF(Produits!$A$6="","",Produits!$D$6)</f>
        <v/>
      </c>
      <c r="D7" s="32" t="n"/>
      <c r="E7" s="29" t="n"/>
      <c r="F7" s="29" t="n"/>
      <c r="G7" s="29" t="n"/>
      <c r="H7" s="32" t="n"/>
      <c r="I7" s="29" t="n"/>
      <c r="J7" s="29" t="n"/>
      <c r="K7" s="29" t="n"/>
      <c r="L7" s="32" t="n"/>
      <c r="M7" s="29" t="n"/>
      <c r="N7" s="29" t="n"/>
      <c r="O7" s="29" t="n"/>
      <c r="P7" s="32" t="n"/>
      <c r="Q7" s="29" t="n"/>
      <c r="R7" s="29" t="n"/>
      <c r="S7" s="29" t="n"/>
      <c r="T7" s="22">
        <f>IF(COUNT(F7,J7,N7,R7)=0,"",SUM(F7,J7,N7,R7))</f>
        <v/>
      </c>
      <c r="U7" s="22">
        <f>IF(COUNT(G7,K7,O7,S7)=0,"",SUM(G7,K7,O7,S7))</f>
        <v/>
      </c>
      <c r="V7" s="22">
        <f>IF(OR(T7="",U7=""),"",U7-T7)</f>
        <v/>
      </c>
      <c r="W7" s="22">
        <f>IF(Q7&lt;&gt;"",Q7,IF(M7&lt;&gt;"",M7,IF(I7&lt;&gt;"",I7,IF(E7&lt;&gt;"",E7,""))))</f>
        <v/>
      </c>
      <c r="X7" s="18">
        <f>IF(U7="","",U7*N(Produits!$E$6))</f>
        <v/>
      </c>
    </row>
    <row r="8">
      <c r="A8" s="33">
        <f>IF(Produits!$A$7="","",Produits!$A$7)</f>
        <v/>
      </c>
      <c r="B8" s="34">
        <f>IF(Produits!$A$7="","",Produits!$C$7)</f>
        <v/>
      </c>
      <c r="C8" s="34">
        <f>IF(Produits!$A$7="","",Produits!$D$7)</f>
        <v/>
      </c>
      <c r="D8" s="32" t="n"/>
      <c r="E8" s="29" t="n"/>
      <c r="F8" s="29" t="n"/>
      <c r="G8" s="29" t="n"/>
      <c r="H8" s="32" t="n"/>
      <c r="I8" s="29" t="n"/>
      <c r="J8" s="29" t="n"/>
      <c r="K8" s="29" t="n"/>
      <c r="L8" s="32" t="n"/>
      <c r="M8" s="29" t="n"/>
      <c r="N8" s="29" t="n"/>
      <c r="O8" s="29" t="n"/>
      <c r="P8" s="32" t="n"/>
      <c r="Q8" s="29" t="n"/>
      <c r="R8" s="29" t="n"/>
      <c r="S8" s="29" t="n"/>
      <c r="T8" s="22">
        <f>IF(COUNT(F8,J8,N8,R8)=0,"",SUM(F8,J8,N8,R8))</f>
        <v/>
      </c>
      <c r="U8" s="22">
        <f>IF(COUNT(G8,K8,O8,S8)=0,"",SUM(G8,K8,O8,S8))</f>
        <v/>
      </c>
      <c r="V8" s="22">
        <f>IF(OR(T8="",U8=""),"",U8-T8)</f>
        <v/>
      </c>
      <c r="W8" s="22">
        <f>IF(Q8&lt;&gt;"",Q8,IF(M8&lt;&gt;"",M8,IF(I8&lt;&gt;"",I8,IF(E8&lt;&gt;"",E8,""))))</f>
        <v/>
      </c>
      <c r="X8" s="18">
        <f>IF(U8="","",U8*N(Produits!$E$7))</f>
        <v/>
      </c>
    </row>
    <row r="9">
      <c r="A9" s="33">
        <f>IF(Produits!$A$8="","",Produits!$A$8)</f>
        <v/>
      </c>
      <c r="B9" s="34">
        <f>IF(Produits!$A$8="","",Produits!$C$8)</f>
        <v/>
      </c>
      <c r="C9" s="34">
        <f>IF(Produits!$A$8="","",Produits!$D$8)</f>
        <v/>
      </c>
      <c r="D9" s="32" t="n"/>
      <c r="E9" s="29" t="n"/>
      <c r="F9" s="29" t="n"/>
      <c r="G9" s="29" t="n"/>
      <c r="H9" s="32" t="n"/>
      <c r="I9" s="29" t="n"/>
      <c r="J9" s="29" t="n"/>
      <c r="K9" s="29" t="n"/>
      <c r="L9" s="32" t="n"/>
      <c r="M9" s="29" t="n"/>
      <c r="N9" s="29" t="n"/>
      <c r="O9" s="29" t="n"/>
      <c r="P9" s="32" t="n"/>
      <c r="Q9" s="29" t="n"/>
      <c r="R9" s="29" t="n"/>
      <c r="S9" s="29" t="n"/>
      <c r="T9" s="22">
        <f>IF(COUNT(F9,J9,N9,R9)=0,"",SUM(F9,J9,N9,R9))</f>
        <v/>
      </c>
      <c r="U9" s="22">
        <f>IF(COUNT(G9,K9,O9,S9)=0,"",SUM(G9,K9,O9,S9))</f>
        <v/>
      </c>
      <c r="V9" s="22">
        <f>IF(OR(T9="",U9=""),"",U9-T9)</f>
        <v/>
      </c>
      <c r="W9" s="22">
        <f>IF(Q9&lt;&gt;"",Q9,IF(M9&lt;&gt;"",M9,IF(I9&lt;&gt;"",I9,IF(E9&lt;&gt;"",E9,""))))</f>
        <v/>
      </c>
      <c r="X9" s="18">
        <f>IF(U9="","",U9*N(Produits!$E$8))</f>
        <v/>
      </c>
    </row>
    <row r="10">
      <c r="A10" s="33">
        <f>IF(Produits!$A$9="","",Produits!$A$9)</f>
        <v/>
      </c>
      <c r="B10" s="34">
        <f>IF(Produits!$A$9="","",Produits!$C$9)</f>
        <v/>
      </c>
      <c r="C10" s="34">
        <f>IF(Produits!$A$9="","",Produits!$D$9)</f>
        <v/>
      </c>
      <c r="D10" s="32" t="n"/>
      <c r="E10" s="29" t="n"/>
      <c r="F10" s="29" t="n"/>
      <c r="G10" s="29" t="n"/>
      <c r="H10" s="32" t="n"/>
      <c r="I10" s="29" t="n"/>
      <c r="J10" s="29" t="n"/>
      <c r="K10" s="29" t="n"/>
      <c r="L10" s="32" t="n"/>
      <c r="M10" s="29" t="n"/>
      <c r="N10" s="29" t="n"/>
      <c r="O10" s="29" t="n"/>
      <c r="P10" s="32" t="n"/>
      <c r="Q10" s="29" t="n"/>
      <c r="R10" s="29" t="n"/>
      <c r="S10" s="29" t="n"/>
      <c r="T10" s="22">
        <f>IF(COUNT(F10,J10,N10,R10)=0,"",SUM(F10,J10,N10,R10))</f>
        <v/>
      </c>
      <c r="U10" s="22">
        <f>IF(COUNT(G10,K10,O10,S10)=0,"",SUM(G10,K10,O10,S10))</f>
        <v/>
      </c>
      <c r="V10" s="22">
        <f>IF(OR(T10="",U10=""),"",U10-T10)</f>
        <v/>
      </c>
      <c r="W10" s="22">
        <f>IF(Q10&lt;&gt;"",Q10,IF(M10&lt;&gt;"",M10,IF(I10&lt;&gt;"",I10,IF(E10&lt;&gt;"",E10,""))))</f>
        <v/>
      </c>
      <c r="X10" s="18">
        <f>IF(U10="","",U10*N(Produits!$E$9))</f>
        <v/>
      </c>
    </row>
    <row r="11">
      <c r="A11" s="33">
        <f>IF(Produits!$A$10="","",Produits!$A$10)</f>
        <v/>
      </c>
      <c r="B11" s="34">
        <f>IF(Produits!$A$10="","",Produits!$C$10)</f>
        <v/>
      </c>
      <c r="C11" s="34">
        <f>IF(Produits!$A$10="","",Produits!$D$10)</f>
        <v/>
      </c>
      <c r="D11" s="32" t="n"/>
      <c r="E11" s="29" t="n"/>
      <c r="F11" s="29" t="n"/>
      <c r="G11" s="29" t="n"/>
      <c r="H11" s="32" t="n"/>
      <c r="I11" s="29" t="n"/>
      <c r="J11" s="29" t="n"/>
      <c r="K11" s="29" t="n"/>
      <c r="L11" s="32" t="n"/>
      <c r="M11" s="29" t="n"/>
      <c r="N11" s="29" t="n"/>
      <c r="O11" s="29" t="n"/>
      <c r="P11" s="32" t="n"/>
      <c r="Q11" s="29" t="n"/>
      <c r="R11" s="29" t="n"/>
      <c r="S11" s="29" t="n"/>
      <c r="T11" s="22">
        <f>IF(COUNT(F11,J11,N11,R11)=0,"",SUM(F11,J11,N11,R11))</f>
        <v/>
      </c>
      <c r="U11" s="22">
        <f>IF(COUNT(G11,K11,O11,S11)=0,"",SUM(G11,K11,O11,S11))</f>
        <v/>
      </c>
      <c r="V11" s="22">
        <f>IF(OR(T11="",U11=""),"",U11-T11)</f>
        <v/>
      </c>
      <c r="W11" s="22">
        <f>IF(Q11&lt;&gt;"",Q11,IF(M11&lt;&gt;"",M11,IF(I11&lt;&gt;"",I11,IF(E11&lt;&gt;"",E11,""))))</f>
        <v/>
      </c>
      <c r="X11" s="18">
        <f>IF(U11="","",U11*N(Produits!$E$10))</f>
        <v/>
      </c>
    </row>
    <row r="12">
      <c r="A12" s="33">
        <f>IF(Produits!$A$11="","",Produits!$A$11)</f>
        <v/>
      </c>
      <c r="B12" s="34">
        <f>IF(Produits!$A$11="","",Produits!$C$11)</f>
        <v/>
      </c>
      <c r="C12" s="34">
        <f>IF(Produits!$A$11="","",Produits!$D$11)</f>
        <v/>
      </c>
      <c r="D12" s="32" t="n"/>
      <c r="E12" s="29" t="n"/>
      <c r="F12" s="29" t="n"/>
      <c r="G12" s="29" t="n"/>
      <c r="H12" s="32" t="n"/>
      <c r="I12" s="29" t="n"/>
      <c r="J12" s="29" t="n"/>
      <c r="K12" s="29" t="n"/>
      <c r="L12" s="32" t="n"/>
      <c r="M12" s="29" t="n"/>
      <c r="N12" s="29" t="n"/>
      <c r="O12" s="29" t="n"/>
      <c r="P12" s="32" t="n"/>
      <c r="Q12" s="29" t="n"/>
      <c r="R12" s="29" t="n"/>
      <c r="S12" s="29" t="n"/>
      <c r="T12" s="22">
        <f>IF(COUNT(F12,J12,N12,R12)=0,"",SUM(F12,J12,N12,R12))</f>
        <v/>
      </c>
      <c r="U12" s="22">
        <f>IF(COUNT(G12,K12,O12,S12)=0,"",SUM(G12,K12,O12,S12))</f>
        <v/>
      </c>
      <c r="V12" s="22">
        <f>IF(OR(T12="",U12=""),"",U12-T12)</f>
        <v/>
      </c>
      <c r="W12" s="22">
        <f>IF(Q12&lt;&gt;"",Q12,IF(M12&lt;&gt;"",M12,IF(I12&lt;&gt;"",I12,IF(E12&lt;&gt;"",E12,""))))</f>
        <v/>
      </c>
      <c r="X12" s="18">
        <f>IF(U12="","",U12*N(Produits!$E$11))</f>
        <v/>
      </c>
    </row>
    <row r="13">
      <c r="A13" s="33">
        <f>IF(Produits!$A$12="","",Produits!$A$12)</f>
        <v/>
      </c>
      <c r="B13" s="34">
        <f>IF(Produits!$A$12="","",Produits!$C$12)</f>
        <v/>
      </c>
      <c r="C13" s="34">
        <f>IF(Produits!$A$12="","",Produits!$D$12)</f>
        <v/>
      </c>
      <c r="D13" s="32" t="n"/>
      <c r="E13" s="29" t="n"/>
      <c r="F13" s="29" t="n"/>
      <c r="G13" s="29" t="n"/>
      <c r="H13" s="32" t="n"/>
      <c r="I13" s="29" t="n"/>
      <c r="J13" s="29" t="n"/>
      <c r="K13" s="29" t="n"/>
      <c r="L13" s="32" t="n"/>
      <c r="M13" s="29" t="n"/>
      <c r="N13" s="29" t="n"/>
      <c r="O13" s="29" t="n"/>
      <c r="P13" s="32" t="n"/>
      <c r="Q13" s="29" t="n"/>
      <c r="R13" s="29" t="n"/>
      <c r="S13" s="29" t="n"/>
      <c r="T13" s="22">
        <f>IF(COUNT(F13,J13,N13,R13)=0,"",SUM(F13,J13,N13,R13))</f>
        <v/>
      </c>
      <c r="U13" s="22">
        <f>IF(COUNT(G13,K13,O13,S13)=0,"",SUM(G13,K13,O13,S13))</f>
        <v/>
      </c>
      <c r="V13" s="22">
        <f>IF(OR(T13="",U13=""),"",U13-T13)</f>
        <v/>
      </c>
      <c r="W13" s="22">
        <f>IF(Q13&lt;&gt;"",Q13,IF(M13&lt;&gt;"",M13,IF(I13&lt;&gt;"",I13,IF(E13&lt;&gt;"",E13,""))))</f>
        <v/>
      </c>
      <c r="X13" s="18">
        <f>IF(U13="","",U13*N(Produits!$E$12))</f>
        <v/>
      </c>
    </row>
    <row r="14">
      <c r="A14" s="33">
        <f>IF(Produits!$A$13="","",Produits!$A$13)</f>
        <v/>
      </c>
      <c r="B14" s="34">
        <f>IF(Produits!$A$13="","",Produits!$C$13)</f>
        <v/>
      </c>
      <c r="C14" s="34">
        <f>IF(Produits!$A$13="","",Produits!$D$13)</f>
        <v/>
      </c>
      <c r="D14" s="32" t="n"/>
      <c r="E14" s="29" t="n"/>
      <c r="F14" s="29" t="n"/>
      <c r="G14" s="29" t="n"/>
      <c r="H14" s="32" t="n"/>
      <c r="I14" s="29" t="n"/>
      <c r="J14" s="29" t="n"/>
      <c r="K14" s="29" t="n"/>
      <c r="L14" s="32" t="n"/>
      <c r="M14" s="29" t="n"/>
      <c r="N14" s="29" t="n"/>
      <c r="O14" s="29" t="n"/>
      <c r="P14" s="32" t="n"/>
      <c r="Q14" s="29" t="n"/>
      <c r="R14" s="29" t="n"/>
      <c r="S14" s="29" t="n"/>
      <c r="T14" s="22">
        <f>IF(COUNT(F14,J14,N14,R14)=0,"",SUM(F14,J14,N14,R14))</f>
        <v/>
      </c>
      <c r="U14" s="22">
        <f>IF(COUNT(G14,K14,O14,S14)=0,"",SUM(G14,K14,O14,S14))</f>
        <v/>
      </c>
      <c r="V14" s="22">
        <f>IF(OR(T14="",U14=""),"",U14-T14)</f>
        <v/>
      </c>
      <c r="W14" s="22">
        <f>IF(Q14&lt;&gt;"",Q14,IF(M14&lt;&gt;"",M14,IF(I14&lt;&gt;"",I14,IF(E14&lt;&gt;"",E14,""))))</f>
        <v/>
      </c>
      <c r="X14" s="18">
        <f>IF(U14="","",U14*N(Produits!$E$13))</f>
        <v/>
      </c>
    </row>
    <row r="15">
      <c r="A15" s="33">
        <f>IF(Produits!$A$14="","",Produits!$A$14)</f>
        <v/>
      </c>
      <c r="B15" s="34">
        <f>IF(Produits!$A$14="","",Produits!$C$14)</f>
        <v/>
      </c>
      <c r="C15" s="34">
        <f>IF(Produits!$A$14="","",Produits!$D$14)</f>
        <v/>
      </c>
      <c r="D15" s="32" t="n"/>
      <c r="E15" s="29" t="n"/>
      <c r="F15" s="29" t="n"/>
      <c r="G15" s="29" t="n"/>
      <c r="H15" s="32" t="n"/>
      <c r="I15" s="29" t="n"/>
      <c r="J15" s="29" t="n"/>
      <c r="K15" s="29" t="n"/>
      <c r="L15" s="32" t="n"/>
      <c r="M15" s="29" t="n"/>
      <c r="N15" s="29" t="n"/>
      <c r="O15" s="29" t="n"/>
      <c r="P15" s="32" t="n"/>
      <c r="Q15" s="29" t="n"/>
      <c r="R15" s="29" t="n"/>
      <c r="S15" s="29" t="n"/>
      <c r="T15" s="22">
        <f>IF(COUNT(F15,J15,N15,R15)=0,"",SUM(F15,J15,N15,R15))</f>
        <v/>
      </c>
      <c r="U15" s="22">
        <f>IF(COUNT(G15,K15,O15,S15)=0,"",SUM(G15,K15,O15,S15))</f>
        <v/>
      </c>
      <c r="V15" s="22">
        <f>IF(OR(T15="",U15=""),"",U15-T15)</f>
        <v/>
      </c>
      <c r="W15" s="22">
        <f>IF(Q15&lt;&gt;"",Q15,IF(M15&lt;&gt;"",M15,IF(I15&lt;&gt;"",I15,IF(E15&lt;&gt;"",E15,""))))</f>
        <v/>
      </c>
      <c r="X15" s="18">
        <f>IF(U15="","",U15*N(Produits!$E$14))</f>
        <v/>
      </c>
    </row>
    <row r="16">
      <c r="A16" s="33">
        <f>IF(Produits!$A$15="","",Produits!$A$15)</f>
        <v/>
      </c>
      <c r="B16" s="34">
        <f>IF(Produits!$A$15="","",Produits!$C$15)</f>
        <v/>
      </c>
      <c r="C16" s="34">
        <f>IF(Produits!$A$15="","",Produits!$D$15)</f>
        <v/>
      </c>
      <c r="D16" s="32" t="n"/>
      <c r="E16" s="29" t="n"/>
      <c r="F16" s="29" t="n"/>
      <c r="G16" s="29" t="n"/>
      <c r="H16" s="32" t="n"/>
      <c r="I16" s="29" t="n"/>
      <c r="J16" s="29" t="n"/>
      <c r="K16" s="29" t="n"/>
      <c r="L16" s="32" t="n"/>
      <c r="M16" s="29" t="n"/>
      <c r="N16" s="29" t="n"/>
      <c r="O16" s="29" t="n"/>
      <c r="P16" s="32" t="n"/>
      <c r="Q16" s="29" t="n"/>
      <c r="R16" s="29" t="n"/>
      <c r="S16" s="29" t="n"/>
      <c r="T16" s="22">
        <f>IF(COUNT(F16,J16,N16,R16)=0,"",SUM(F16,J16,N16,R16))</f>
        <v/>
      </c>
      <c r="U16" s="22">
        <f>IF(COUNT(G16,K16,O16,S16)=0,"",SUM(G16,K16,O16,S16))</f>
        <v/>
      </c>
      <c r="V16" s="22">
        <f>IF(OR(T16="",U16=""),"",U16-T16)</f>
        <v/>
      </c>
      <c r="W16" s="22">
        <f>IF(Q16&lt;&gt;"",Q16,IF(M16&lt;&gt;"",M16,IF(I16&lt;&gt;"",I16,IF(E16&lt;&gt;"",E16,""))))</f>
        <v/>
      </c>
      <c r="X16" s="18">
        <f>IF(U16="","",U16*N(Produits!$E$15))</f>
        <v/>
      </c>
    </row>
    <row r="17">
      <c r="A17" s="33">
        <f>IF(Produits!$A$16="","",Produits!$A$16)</f>
        <v/>
      </c>
      <c r="B17" s="34">
        <f>IF(Produits!$A$16="","",Produits!$C$16)</f>
        <v/>
      </c>
      <c r="C17" s="34">
        <f>IF(Produits!$A$16="","",Produits!$D$16)</f>
        <v/>
      </c>
      <c r="D17" s="32" t="n"/>
      <c r="E17" s="29" t="n"/>
      <c r="F17" s="29" t="n"/>
      <c r="G17" s="29" t="n"/>
      <c r="H17" s="32" t="n"/>
      <c r="I17" s="29" t="n"/>
      <c r="J17" s="29" t="n"/>
      <c r="K17" s="29" t="n"/>
      <c r="L17" s="32" t="n"/>
      <c r="M17" s="29" t="n"/>
      <c r="N17" s="29" t="n"/>
      <c r="O17" s="29" t="n"/>
      <c r="P17" s="32" t="n"/>
      <c r="Q17" s="29" t="n"/>
      <c r="R17" s="29" t="n"/>
      <c r="S17" s="29" t="n"/>
      <c r="T17" s="22">
        <f>IF(COUNT(F17,J17,N17,R17)=0,"",SUM(F17,J17,N17,R17))</f>
        <v/>
      </c>
      <c r="U17" s="22">
        <f>IF(COUNT(G17,K17,O17,S17)=0,"",SUM(G17,K17,O17,S17))</f>
        <v/>
      </c>
      <c r="V17" s="22">
        <f>IF(OR(T17="",U17=""),"",U17-T17)</f>
        <v/>
      </c>
      <c r="W17" s="22">
        <f>IF(Q17&lt;&gt;"",Q17,IF(M17&lt;&gt;"",M17,IF(I17&lt;&gt;"",I17,IF(E17&lt;&gt;"",E17,""))))</f>
        <v/>
      </c>
      <c r="X17" s="18">
        <f>IF(U17="","",U17*N(Produits!$E$16))</f>
        <v/>
      </c>
    </row>
    <row r="18">
      <c r="A18" s="33">
        <f>IF(Produits!$A$17="","",Produits!$A$17)</f>
        <v/>
      </c>
      <c r="B18" s="34">
        <f>IF(Produits!$A$17="","",Produits!$C$17)</f>
        <v/>
      </c>
      <c r="C18" s="34">
        <f>IF(Produits!$A$17="","",Produits!$D$17)</f>
        <v/>
      </c>
      <c r="D18" s="32" t="n"/>
      <c r="E18" s="29" t="n"/>
      <c r="F18" s="29" t="n"/>
      <c r="G18" s="29" t="n"/>
      <c r="H18" s="32" t="n"/>
      <c r="I18" s="29" t="n"/>
      <c r="J18" s="29" t="n"/>
      <c r="K18" s="29" t="n"/>
      <c r="L18" s="32" t="n"/>
      <c r="M18" s="29" t="n"/>
      <c r="N18" s="29" t="n"/>
      <c r="O18" s="29" t="n"/>
      <c r="P18" s="32" t="n"/>
      <c r="Q18" s="29" t="n"/>
      <c r="R18" s="29" t="n"/>
      <c r="S18" s="29" t="n"/>
      <c r="T18" s="22">
        <f>IF(COUNT(F18,J18,N18,R18)=0,"",SUM(F18,J18,N18,R18))</f>
        <v/>
      </c>
      <c r="U18" s="22">
        <f>IF(COUNT(G18,K18,O18,S18)=0,"",SUM(G18,K18,O18,S18))</f>
        <v/>
      </c>
      <c r="V18" s="22">
        <f>IF(OR(T18="",U18=""),"",U18-T18)</f>
        <v/>
      </c>
      <c r="W18" s="22">
        <f>IF(Q18&lt;&gt;"",Q18,IF(M18&lt;&gt;"",M18,IF(I18&lt;&gt;"",I18,IF(E18&lt;&gt;"",E18,""))))</f>
        <v/>
      </c>
      <c r="X18" s="18">
        <f>IF(U18="","",U18*N(Produits!$E$17))</f>
        <v/>
      </c>
    </row>
    <row r="19">
      <c r="A19" s="33">
        <f>IF(Produits!$A$18="","",Produits!$A$18)</f>
        <v/>
      </c>
      <c r="B19" s="34">
        <f>IF(Produits!$A$18="","",Produits!$C$18)</f>
        <v/>
      </c>
      <c r="C19" s="34">
        <f>IF(Produits!$A$18="","",Produits!$D$18)</f>
        <v/>
      </c>
      <c r="D19" s="32" t="n"/>
      <c r="E19" s="29" t="n"/>
      <c r="F19" s="29" t="n"/>
      <c r="G19" s="29" t="n"/>
      <c r="H19" s="32" t="n"/>
      <c r="I19" s="29" t="n"/>
      <c r="J19" s="29" t="n"/>
      <c r="K19" s="29" t="n"/>
      <c r="L19" s="32" t="n"/>
      <c r="M19" s="29" t="n"/>
      <c r="N19" s="29" t="n"/>
      <c r="O19" s="29" t="n"/>
      <c r="P19" s="32" t="n"/>
      <c r="Q19" s="29" t="n"/>
      <c r="R19" s="29" t="n"/>
      <c r="S19" s="29" t="n"/>
      <c r="T19" s="22">
        <f>IF(COUNT(F19,J19,N19,R19)=0,"",SUM(F19,J19,N19,R19))</f>
        <v/>
      </c>
      <c r="U19" s="22">
        <f>IF(COUNT(G19,K19,O19,S19)=0,"",SUM(G19,K19,O19,S19))</f>
        <v/>
      </c>
      <c r="V19" s="22">
        <f>IF(OR(T19="",U19=""),"",U19-T19)</f>
        <v/>
      </c>
      <c r="W19" s="22">
        <f>IF(Q19&lt;&gt;"",Q19,IF(M19&lt;&gt;"",M19,IF(I19&lt;&gt;"",I19,IF(E19&lt;&gt;"",E19,""))))</f>
        <v/>
      </c>
      <c r="X19" s="18">
        <f>IF(U19="","",U19*N(Produits!$E$18))</f>
        <v/>
      </c>
    </row>
    <row r="20">
      <c r="A20" s="33">
        <f>IF(Produits!$A$19="","",Produits!$A$19)</f>
        <v/>
      </c>
      <c r="B20" s="34">
        <f>IF(Produits!$A$19="","",Produits!$C$19)</f>
        <v/>
      </c>
      <c r="C20" s="34">
        <f>IF(Produits!$A$19="","",Produits!$D$19)</f>
        <v/>
      </c>
      <c r="D20" s="32" t="n"/>
      <c r="E20" s="29" t="n"/>
      <c r="F20" s="29" t="n"/>
      <c r="G20" s="29" t="n"/>
      <c r="H20" s="32" t="n"/>
      <c r="I20" s="29" t="n"/>
      <c r="J20" s="29" t="n"/>
      <c r="K20" s="29" t="n"/>
      <c r="L20" s="32" t="n"/>
      <c r="M20" s="29" t="n"/>
      <c r="N20" s="29" t="n"/>
      <c r="O20" s="29" t="n"/>
      <c r="P20" s="32" t="n"/>
      <c r="Q20" s="29" t="n"/>
      <c r="R20" s="29" t="n"/>
      <c r="S20" s="29" t="n"/>
      <c r="T20" s="22">
        <f>IF(COUNT(F20,J20,N20,R20)=0,"",SUM(F20,J20,N20,R20))</f>
        <v/>
      </c>
      <c r="U20" s="22">
        <f>IF(COUNT(G20,K20,O20,S20)=0,"",SUM(G20,K20,O20,S20))</f>
        <v/>
      </c>
      <c r="V20" s="22">
        <f>IF(OR(T20="",U20=""),"",U20-T20)</f>
        <v/>
      </c>
      <c r="W20" s="22">
        <f>IF(Q20&lt;&gt;"",Q20,IF(M20&lt;&gt;"",M20,IF(I20&lt;&gt;"",I20,IF(E20&lt;&gt;"",E20,""))))</f>
        <v/>
      </c>
      <c r="X20" s="18">
        <f>IF(U20="","",U20*N(Produits!$E$19))</f>
        <v/>
      </c>
    </row>
    <row r="21">
      <c r="A21" s="33">
        <f>IF(Produits!$A$20="","",Produits!$A$20)</f>
        <v/>
      </c>
      <c r="B21" s="34">
        <f>IF(Produits!$A$20="","",Produits!$C$20)</f>
        <v/>
      </c>
      <c r="C21" s="34">
        <f>IF(Produits!$A$20="","",Produits!$D$20)</f>
        <v/>
      </c>
      <c r="D21" s="32" t="n"/>
      <c r="E21" s="29" t="n"/>
      <c r="F21" s="29" t="n"/>
      <c r="G21" s="29" t="n"/>
      <c r="H21" s="32" t="n"/>
      <c r="I21" s="29" t="n"/>
      <c r="J21" s="29" t="n"/>
      <c r="K21" s="29" t="n"/>
      <c r="L21" s="32" t="n"/>
      <c r="M21" s="29" t="n"/>
      <c r="N21" s="29" t="n"/>
      <c r="O21" s="29" t="n"/>
      <c r="P21" s="32" t="n"/>
      <c r="Q21" s="29" t="n"/>
      <c r="R21" s="29" t="n"/>
      <c r="S21" s="29" t="n"/>
      <c r="T21" s="22">
        <f>IF(COUNT(F21,J21,N21,R21)=0,"",SUM(F21,J21,N21,R21))</f>
        <v/>
      </c>
      <c r="U21" s="22">
        <f>IF(COUNT(G21,K21,O21,S21)=0,"",SUM(G21,K21,O21,S21))</f>
        <v/>
      </c>
      <c r="V21" s="22">
        <f>IF(OR(T21="",U21=""),"",U21-T21)</f>
        <v/>
      </c>
      <c r="W21" s="22">
        <f>IF(Q21&lt;&gt;"",Q21,IF(M21&lt;&gt;"",M21,IF(I21&lt;&gt;"",I21,IF(E21&lt;&gt;"",E21,""))))</f>
        <v/>
      </c>
      <c r="X21" s="18">
        <f>IF(U21="","",U21*N(Produits!$E$20))</f>
        <v/>
      </c>
    </row>
    <row r="22" ht="20" customHeight="1">
      <c r="A22" s="23" t="inlineStr">
        <is>
          <t>CHAMBRE FROIDE POSITIVE</t>
        </is>
      </c>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row>
    <row r="23">
      <c r="A23" s="33">
        <f>IF(Produits!$A$22="","",Produits!$A$22)</f>
        <v/>
      </c>
      <c r="B23" s="34">
        <f>IF(Produits!$A$22="","",Produits!$C$22)</f>
        <v/>
      </c>
      <c r="C23" s="34">
        <f>IF(Produits!$A$22="","",Produits!$D$22)</f>
        <v/>
      </c>
      <c r="D23" s="32" t="n"/>
      <c r="E23" s="29" t="n"/>
      <c r="F23" s="29" t="n"/>
      <c r="G23" s="29" t="n"/>
      <c r="H23" s="32" t="n"/>
      <c r="I23" s="29" t="n"/>
      <c r="J23" s="29" t="n"/>
      <c r="K23" s="29" t="n"/>
      <c r="L23" s="32" t="n"/>
      <c r="M23" s="29" t="n"/>
      <c r="N23" s="29" t="n"/>
      <c r="O23" s="29" t="n"/>
      <c r="P23" s="32" t="n"/>
      <c r="Q23" s="29" t="n"/>
      <c r="R23" s="29" t="n"/>
      <c r="S23" s="29" t="n"/>
      <c r="T23" s="22">
        <f>IF(COUNT(F23,J23,N23,R23)=0,"",SUM(F23,J23,N23,R23))</f>
        <v/>
      </c>
      <c r="U23" s="22">
        <f>IF(COUNT(G23,K23,O23,S23)=0,"",SUM(G23,K23,O23,S23))</f>
        <v/>
      </c>
      <c r="V23" s="22">
        <f>IF(OR(T23="",U23=""),"",U23-T23)</f>
        <v/>
      </c>
      <c r="W23" s="22">
        <f>IF(Q23&lt;&gt;"",Q23,IF(M23&lt;&gt;"",M23,IF(I23&lt;&gt;"",I23,IF(E23&lt;&gt;"",E23,""))))</f>
        <v/>
      </c>
      <c r="X23" s="18">
        <f>IF(U23="","",U23*N(Produits!$E$22))</f>
        <v/>
      </c>
    </row>
    <row r="24">
      <c r="A24" s="33">
        <f>IF(Produits!$A$23="","",Produits!$A$23)</f>
        <v/>
      </c>
      <c r="B24" s="34">
        <f>IF(Produits!$A$23="","",Produits!$C$23)</f>
        <v/>
      </c>
      <c r="C24" s="34">
        <f>IF(Produits!$A$23="","",Produits!$D$23)</f>
        <v/>
      </c>
      <c r="D24" s="32" t="n"/>
      <c r="E24" s="29" t="n"/>
      <c r="F24" s="29" t="n"/>
      <c r="G24" s="29" t="n"/>
      <c r="H24" s="32" t="n"/>
      <c r="I24" s="29" t="n"/>
      <c r="J24" s="29" t="n"/>
      <c r="K24" s="29" t="n"/>
      <c r="L24" s="32" t="n"/>
      <c r="M24" s="29" t="n"/>
      <c r="N24" s="29" t="n"/>
      <c r="O24" s="29" t="n"/>
      <c r="P24" s="32" t="n"/>
      <c r="Q24" s="29" t="n"/>
      <c r="R24" s="29" t="n"/>
      <c r="S24" s="29" t="n"/>
      <c r="T24" s="22">
        <f>IF(COUNT(F24,J24,N24,R24)=0,"",SUM(F24,J24,N24,R24))</f>
        <v/>
      </c>
      <c r="U24" s="22">
        <f>IF(COUNT(G24,K24,O24,S24)=0,"",SUM(G24,K24,O24,S24))</f>
        <v/>
      </c>
      <c r="V24" s="22">
        <f>IF(OR(T24="",U24=""),"",U24-T24)</f>
        <v/>
      </c>
      <c r="W24" s="22">
        <f>IF(Q24&lt;&gt;"",Q24,IF(M24&lt;&gt;"",M24,IF(I24&lt;&gt;"",I24,IF(E24&lt;&gt;"",E24,""))))</f>
        <v/>
      </c>
      <c r="X24" s="18">
        <f>IF(U24="","",U24*N(Produits!$E$23))</f>
        <v/>
      </c>
    </row>
    <row r="25">
      <c r="A25" s="33">
        <f>IF(Produits!$A$24="","",Produits!$A$24)</f>
        <v/>
      </c>
      <c r="B25" s="34">
        <f>IF(Produits!$A$24="","",Produits!$C$24)</f>
        <v/>
      </c>
      <c r="C25" s="34">
        <f>IF(Produits!$A$24="","",Produits!$D$24)</f>
        <v/>
      </c>
      <c r="D25" s="32" t="n"/>
      <c r="E25" s="29" t="n"/>
      <c r="F25" s="29" t="n"/>
      <c r="G25" s="29" t="n"/>
      <c r="H25" s="32" t="n"/>
      <c r="I25" s="29" t="n"/>
      <c r="J25" s="29" t="n"/>
      <c r="K25" s="29" t="n"/>
      <c r="L25" s="32" t="n"/>
      <c r="M25" s="29" t="n"/>
      <c r="N25" s="29" t="n"/>
      <c r="O25" s="29" t="n"/>
      <c r="P25" s="32" t="n"/>
      <c r="Q25" s="29" t="n"/>
      <c r="R25" s="29" t="n"/>
      <c r="S25" s="29" t="n"/>
      <c r="T25" s="22">
        <f>IF(COUNT(F25,J25,N25,R25)=0,"",SUM(F25,J25,N25,R25))</f>
        <v/>
      </c>
      <c r="U25" s="22">
        <f>IF(COUNT(G25,K25,O25,S25)=0,"",SUM(G25,K25,O25,S25))</f>
        <v/>
      </c>
      <c r="V25" s="22">
        <f>IF(OR(T25="",U25=""),"",U25-T25)</f>
        <v/>
      </c>
      <c r="W25" s="22">
        <f>IF(Q25&lt;&gt;"",Q25,IF(M25&lt;&gt;"",M25,IF(I25&lt;&gt;"",I25,IF(E25&lt;&gt;"",E25,""))))</f>
        <v/>
      </c>
      <c r="X25" s="18">
        <f>IF(U25="","",U25*N(Produits!$E$24))</f>
        <v/>
      </c>
    </row>
    <row r="26">
      <c r="A26" s="33">
        <f>IF(Produits!$A$25="","",Produits!$A$25)</f>
        <v/>
      </c>
      <c r="B26" s="34">
        <f>IF(Produits!$A$25="","",Produits!$C$25)</f>
        <v/>
      </c>
      <c r="C26" s="34">
        <f>IF(Produits!$A$25="","",Produits!$D$25)</f>
        <v/>
      </c>
      <c r="D26" s="32" t="n"/>
      <c r="E26" s="29" t="n"/>
      <c r="F26" s="29" t="n"/>
      <c r="G26" s="29" t="n"/>
      <c r="H26" s="32" t="n"/>
      <c r="I26" s="29" t="n"/>
      <c r="J26" s="29" t="n"/>
      <c r="K26" s="29" t="n"/>
      <c r="L26" s="32" t="n"/>
      <c r="M26" s="29" t="n"/>
      <c r="N26" s="29" t="n"/>
      <c r="O26" s="29" t="n"/>
      <c r="P26" s="32" t="n"/>
      <c r="Q26" s="29" t="n"/>
      <c r="R26" s="29" t="n"/>
      <c r="S26" s="29" t="n"/>
      <c r="T26" s="22">
        <f>IF(COUNT(F26,J26,N26,R26)=0,"",SUM(F26,J26,N26,R26))</f>
        <v/>
      </c>
      <c r="U26" s="22">
        <f>IF(COUNT(G26,K26,O26,S26)=0,"",SUM(G26,K26,O26,S26))</f>
        <v/>
      </c>
      <c r="V26" s="22">
        <f>IF(OR(T26="",U26=""),"",U26-T26)</f>
        <v/>
      </c>
      <c r="W26" s="22">
        <f>IF(Q26&lt;&gt;"",Q26,IF(M26&lt;&gt;"",M26,IF(I26&lt;&gt;"",I26,IF(E26&lt;&gt;"",E26,""))))</f>
        <v/>
      </c>
      <c r="X26" s="18">
        <f>IF(U26="","",U26*N(Produits!$E$25))</f>
        <v/>
      </c>
    </row>
    <row r="27">
      <c r="A27" s="33">
        <f>IF(Produits!$A$26="","",Produits!$A$26)</f>
        <v/>
      </c>
      <c r="B27" s="34">
        <f>IF(Produits!$A$26="","",Produits!$C$26)</f>
        <v/>
      </c>
      <c r="C27" s="34">
        <f>IF(Produits!$A$26="","",Produits!$D$26)</f>
        <v/>
      </c>
      <c r="D27" s="32" t="n"/>
      <c r="E27" s="29" t="n"/>
      <c r="F27" s="29" t="n"/>
      <c r="G27" s="29" t="n"/>
      <c r="H27" s="32" t="n"/>
      <c r="I27" s="29" t="n"/>
      <c r="J27" s="29" t="n"/>
      <c r="K27" s="29" t="n"/>
      <c r="L27" s="32" t="n"/>
      <c r="M27" s="29" t="n"/>
      <c r="N27" s="29" t="n"/>
      <c r="O27" s="29" t="n"/>
      <c r="P27" s="32" t="n"/>
      <c r="Q27" s="29" t="n"/>
      <c r="R27" s="29" t="n"/>
      <c r="S27" s="29" t="n"/>
      <c r="T27" s="22">
        <f>IF(COUNT(F27,J27,N27,R27)=0,"",SUM(F27,J27,N27,R27))</f>
        <v/>
      </c>
      <c r="U27" s="22">
        <f>IF(COUNT(G27,K27,O27,S27)=0,"",SUM(G27,K27,O27,S27))</f>
        <v/>
      </c>
      <c r="V27" s="22">
        <f>IF(OR(T27="",U27=""),"",U27-T27)</f>
        <v/>
      </c>
      <c r="W27" s="22">
        <f>IF(Q27&lt;&gt;"",Q27,IF(M27&lt;&gt;"",M27,IF(I27&lt;&gt;"",I27,IF(E27&lt;&gt;"",E27,""))))</f>
        <v/>
      </c>
      <c r="X27" s="18">
        <f>IF(U27="","",U27*N(Produits!$E$26))</f>
        <v/>
      </c>
    </row>
    <row r="28">
      <c r="A28" s="33">
        <f>IF(Produits!$A$27="","",Produits!$A$27)</f>
        <v/>
      </c>
      <c r="B28" s="34">
        <f>IF(Produits!$A$27="","",Produits!$C$27)</f>
        <v/>
      </c>
      <c r="C28" s="34">
        <f>IF(Produits!$A$27="","",Produits!$D$27)</f>
        <v/>
      </c>
      <c r="D28" s="32" t="n"/>
      <c r="E28" s="29" t="n"/>
      <c r="F28" s="29" t="n"/>
      <c r="G28" s="29" t="n"/>
      <c r="H28" s="32" t="n"/>
      <c r="I28" s="29" t="n"/>
      <c r="J28" s="29" t="n"/>
      <c r="K28" s="29" t="n"/>
      <c r="L28" s="32" t="n"/>
      <c r="M28" s="29" t="n"/>
      <c r="N28" s="29" t="n"/>
      <c r="O28" s="29" t="n"/>
      <c r="P28" s="32" t="n"/>
      <c r="Q28" s="29" t="n"/>
      <c r="R28" s="29" t="n"/>
      <c r="S28" s="29" t="n"/>
      <c r="T28" s="22">
        <f>IF(COUNT(F28,J28,N28,R28)=0,"",SUM(F28,J28,N28,R28))</f>
        <v/>
      </c>
      <c r="U28" s="22">
        <f>IF(COUNT(G28,K28,O28,S28)=0,"",SUM(G28,K28,O28,S28))</f>
        <v/>
      </c>
      <c r="V28" s="22">
        <f>IF(OR(T28="",U28=""),"",U28-T28)</f>
        <v/>
      </c>
      <c r="W28" s="22">
        <f>IF(Q28&lt;&gt;"",Q28,IF(M28&lt;&gt;"",M28,IF(I28&lt;&gt;"",I28,IF(E28&lt;&gt;"",E28,""))))</f>
        <v/>
      </c>
      <c r="X28" s="18">
        <f>IF(U28="","",U28*N(Produits!$E$27))</f>
        <v/>
      </c>
    </row>
    <row r="29">
      <c r="A29" s="33">
        <f>IF(Produits!$A$28="","",Produits!$A$28)</f>
        <v/>
      </c>
      <c r="B29" s="34">
        <f>IF(Produits!$A$28="","",Produits!$C$28)</f>
        <v/>
      </c>
      <c r="C29" s="34">
        <f>IF(Produits!$A$28="","",Produits!$D$28)</f>
        <v/>
      </c>
      <c r="D29" s="32" t="n"/>
      <c r="E29" s="29" t="n"/>
      <c r="F29" s="29" t="n"/>
      <c r="G29" s="29" t="n"/>
      <c r="H29" s="32" t="n"/>
      <c r="I29" s="29" t="n"/>
      <c r="J29" s="29" t="n"/>
      <c r="K29" s="29" t="n"/>
      <c r="L29" s="32" t="n"/>
      <c r="M29" s="29" t="n"/>
      <c r="N29" s="29" t="n"/>
      <c r="O29" s="29" t="n"/>
      <c r="P29" s="32" t="n"/>
      <c r="Q29" s="29" t="n"/>
      <c r="R29" s="29" t="n"/>
      <c r="S29" s="29" t="n"/>
      <c r="T29" s="22">
        <f>IF(COUNT(F29,J29,N29,R29)=0,"",SUM(F29,J29,N29,R29))</f>
        <v/>
      </c>
      <c r="U29" s="22">
        <f>IF(COUNT(G29,K29,O29,S29)=0,"",SUM(G29,K29,O29,S29))</f>
        <v/>
      </c>
      <c r="V29" s="22">
        <f>IF(OR(T29="",U29=""),"",U29-T29)</f>
        <v/>
      </c>
      <c r="W29" s="22">
        <f>IF(Q29&lt;&gt;"",Q29,IF(M29&lt;&gt;"",M29,IF(I29&lt;&gt;"",I29,IF(E29&lt;&gt;"",E29,""))))</f>
        <v/>
      </c>
      <c r="X29" s="18">
        <f>IF(U29="","",U29*N(Produits!$E$28))</f>
        <v/>
      </c>
    </row>
    <row r="30">
      <c r="A30" s="33">
        <f>IF(Produits!$A$29="","",Produits!$A$29)</f>
        <v/>
      </c>
      <c r="B30" s="34">
        <f>IF(Produits!$A$29="","",Produits!$C$29)</f>
        <v/>
      </c>
      <c r="C30" s="34">
        <f>IF(Produits!$A$29="","",Produits!$D$29)</f>
        <v/>
      </c>
      <c r="D30" s="32" t="n"/>
      <c r="E30" s="29" t="n"/>
      <c r="F30" s="29" t="n"/>
      <c r="G30" s="29" t="n"/>
      <c r="H30" s="32" t="n"/>
      <c r="I30" s="29" t="n"/>
      <c r="J30" s="29" t="n"/>
      <c r="K30" s="29" t="n"/>
      <c r="L30" s="32" t="n"/>
      <c r="M30" s="29" t="n"/>
      <c r="N30" s="29" t="n"/>
      <c r="O30" s="29" t="n"/>
      <c r="P30" s="32" t="n"/>
      <c r="Q30" s="29" t="n"/>
      <c r="R30" s="29" t="n"/>
      <c r="S30" s="29" t="n"/>
      <c r="T30" s="22">
        <f>IF(COUNT(F30,J30,N30,R30)=0,"",SUM(F30,J30,N30,R30))</f>
        <v/>
      </c>
      <c r="U30" s="22">
        <f>IF(COUNT(G30,K30,O30,S30)=0,"",SUM(G30,K30,O30,S30))</f>
        <v/>
      </c>
      <c r="V30" s="22">
        <f>IF(OR(T30="",U30=""),"",U30-T30)</f>
        <v/>
      </c>
      <c r="W30" s="22">
        <f>IF(Q30&lt;&gt;"",Q30,IF(M30&lt;&gt;"",M30,IF(I30&lt;&gt;"",I30,IF(E30&lt;&gt;"",E30,""))))</f>
        <v/>
      </c>
      <c r="X30" s="18">
        <f>IF(U30="","",U30*N(Produits!$E$29))</f>
        <v/>
      </c>
    </row>
    <row r="31">
      <c r="A31" s="33">
        <f>IF(Produits!$A$30="","",Produits!$A$30)</f>
        <v/>
      </c>
      <c r="B31" s="34">
        <f>IF(Produits!$A$30="","",Produits!$C$30)</f>
        <v/>
      </c>
      <c r="C31" s="34">
        <f>IF(Produits!$A$30="","",Produits!$D$30)</f>
        <v/>
      </c>
      <c r="D31" s="32" t="n"/>
      <c r="E31" s="29" t="n"/>
      <c r="F31" s="29" t="n"/>
      <c r="G31" s="29" t="n"/>
      <c r="H31" s="32" t="n"/>
      <c r="I31" s="29" t="n"/>
      <c r="J31" s="29" t="n"/>
      <c r="K31" s="29" t="n"/>
      <c r="L31" s="32" t="n"/>
      <c r="M31" s="29" t="n"/>
      <c r="N31" s="29" t="n"/>
      <c r="O31" s="29" t="n"/>
      <c r="P31" s="32" t="n"/>
      <c r="Q31" s="29" t="n"/>
      <c r="R31" s="29" t="n"/>
      <c r="S31" s="29" t="n"/>
      <c r="T31" s="22">
        <f>IF(COUNT(F31,J31,N31,R31)=0,"",SUM(F31,J31,N31,R31))</f>
        <v/>
      </c>
      <c r="U31" s="22">
        <f>IF(COUNT(G31,K31,O31,S31)=0,"",SUM(G31,K31,O31,S31))</f>
        <v/>
      </c>
      <c r="V31" s="22">
        <f>IF(OR(T31="",U31=""),"",U31-T31)</f>
        <v/>
      </c>
      <c r="W31" s="22">
        <f>IF(Q31&lt;&gt;"",Q31,IF(M31&lt;&gt;"",M31,IF(I31&lt;&gt;"",I31,IF(E31&lt;&gt;"",E31,""))))</f>
        <v/>
      </c>
      <c r="X31" s="18">
        <f>IF(U31="","",U31*N(Produits!$E$30))</f>
        <v/>
      </c>
    </row>
    <row r="32">
      <c r="A32" s="33">
        <f>IF(Produits!$A$31="","",Produits!$A$31)</f>
        <v/>
      </c>
      <c r="B32" s="34">
        <f>IF(Produits!$A$31="","",Produits!$C$31)</f>
        <v/>
      </c>
      <c r="C32" s="34">
        <f>IF(Produits!$A$31="","",Produits!$D$31)</f>
        <v/>
      </c>
      <c r="D32" s="32" t="n"/>
      <c r="E32" s="29" t="n"/>
      <c r="F32" s="29" t="n"/>
      <c r="G32" s="29" t="n"/>
      <c r="H32" s="32" t="n"/>
      <c r="I32" s="29" t="n"/>
      <c r="J32" s="29" t="n"/>
      <c r="K32" s="29" t="n"/>
      <c r="L32" s="32" t="n"/>
      <c r="M32" s="29" t="n"/>
      <c r="N32" s="29" t="n"/>
      <c r="O32" s="29" t="n"/>
      <c r="P32" s="32" t="n"/>
      <c r="Q32" s="29" t="n"/>
      <c r="R32" s="29" t="n"/>
      <c r="S32" s="29" t="n"/>
      <c r="T32" s="22">
        <f>IF(COUNT(F32,J32,N32,R32)=0,"",SUM(F32,J32,N32,R32))</f>
        <v/>
      </c>
      <c r="U32" s="22">
        <f>IF(COUNT(G32,K32,O32,S32)=0,"",SUM(G32,K32,O32,S32))</f>
        <v/>
      </c>
      <c r="V32" s="22">
        <f>IF(OR(T32="",U32=""),"",U32-T32)</f>
        <v/>
      </c>
      <c r="W32" s="22">
        <f>IF(Q32&lt;&gt;"",Q32,IF(M32&lt;&gt;"",M32,IF(I32&lt;&gt;"",I32,IF(E32&lt;&gt;"",E32,""))))</f>
        <v/>
      </c>
      <c r="X32" s="18">
        <f>IF(U32="","",U32*N(Produits!$E$31))</f>
        <v/>
      </c>
    </row>
    <row r="33">
      <c r="A33" s="33">
        <f>IF(Produits!$A$32="","",Produits!$A$32)</f>
        <v/>
      </c>
      <c r="B33" s="34">
        <f>IF(Produits!$A$32="","",Produits!$C$32)</f>
        <v/>
      </c>
      <c r="C33" s="34">
        <f>IF(Produits!$A$32="","",Produits!$D$32)</f>
        <v/>
      </c>
      <c r="D33" s="32" t="n"/>
      <c r="E33" s="29" t="n"/>
      <c r="F33" s="29" t="n"/>
      <c r="G33" s="29" t="n"/>
      <c r="H33" s="32" t="n"/>
      <c r="I33" s="29" t="n"/>
      <c r="J33" s="29" t="n"/>
      <c r="K33" s="29" t="n"/>
      <c r="L33" s="32" t="n"/>
      <c r="M33" s="29" t="n"/>
      <c r="N33" s="29" t="n"/>
      <c r="O33" s="29" t="n"/>
      <c r="P33" s="32" t="n"/>
      <c r="Q33" s="29" t="n"/>
      <c r="R33" s="29" t="n"/>
      <c r="S33" s="29" t="n"/>
      <c r="T33" s="22">
        <f>IF(COUNT(F33,J33,N33,R33)=0,"",SUM(F33,J33,N33,R33))</f>
        <v/>
      </c>
      <c r="U33" s="22">
        <f>IF(COUNT(G33,K33,O33,S33)=0,"",SUM(G33,K33,O33,S33))</f>
        <v/>
      </c>
      <c r="V33" s="22">
        <f>IF(OR(T33="",U33=""),"",U33-T33)</f>
        <v/>
      </c>
      <c r="W33" s="22">
        <f>IF(Q33&lt;&gt;"",Q33,IF(M33&lt;&gt;"",M33,IF(I33&lt;&gt;"",I33,IF(E33&lt;&gt;"",E33,""))))</f>
        <v/>
      </c>
      <c r="X33" s="18">
        <f>IF(U33="","",U33*N(Produits!$E$32))</f>
        <v/>
      </c>
    </row>
    <row r="34">
      <c r="A34" s="33">
        <f>IF(Produits!$A$33="","",Produits!$A$33)</f>
        <v/>
      </c>
      <c r="B34" s="34">
        <f>IF(Produits!$A$33="","",Produits!$C$33)</f>
        <v/>
      </c>
      <c r="C34" s="34">
        <f>IF(Produits!$A$33="","",Produits!$D$33)</f>
        <v/>
      </c>
      <c r="D34" s="32" t="n"/>
      <c r="E34" s="29" t="n"/>
      <c r="F34" s="29" t="n"/>
      <c r="G34" s="29" t="n"/>
      <c r="H34" s="32" t="n"/>
      <c r="I34" s="29" t="n"/>
      <c r="J34" s="29" t="n"/>
      <c r="K34" s="29" t="n"/>
      <c r="L34" s="32" t="n"/>
      <c r="M34" s="29" t="n"/>
      <c r="N34" s="29" t="n"/>
      <c r="O34" s="29" t="n"/>
      <c r="P34" s="32" t="n"/>
      <c r="Q34" s="29" t="n"/>
      <c r="R34" s="29" t="n"/>
      <c r="S34" s="29" t="n"/>
      <c r="T34" s="22">
        <f>IF(COUNT(F34,J34,N34,R34)=0,"",SUM(F34,J34,N34,R34))</f>
        <v/>
      </c>
      <c r="U34" s="22">
        <f>IF(COUNT(G34,K34,O34,S34)=0,"",SUM(G34,K34,O34,S34))</f>
        <v/>
      </c>
      <c r="V34" s="22">
        <f>IF(OR(T34="",U34=""),"",U34-T34)</f>
        <v/>
      </c>
      <c r="W34" s="22">
        <f>IF(Q34&lt;&gt;"",Q34,IF(M34&lt;&gt;"",M34,IF(I34&lt;&gt;"",I34,IF(E34&lt;&gt;"",E34,""))))</f>
        <v/>
      </c>
      <c r="X34" s="18">
        <f>IF(U34="","",U34*N(Produits!$E$33))</f>
        <v/>
      </c>
    </row>
    <row r="35">
      <c r="A35" s="33">
        <f>IF(Produits!$A$34="","",Produits!$A$34)</f>
        <v/>
      </c>
      <c r="B35" s="34">
        <f>IF(Produits!$A$34="","",Produits!$C$34)</f>
        <v/>
      </c>
      <c r="C35" s="34">
        <f>IF(Produits!$A$34="","",Produits!$D$34)</f>
        <v/>
      </c>
      <c r="D35" s="32" t="n"/>
      <c r="E35" s="29" t="n"/>
      <c r="F35" s="29" t="n"/>
      <c r="G35" s="29" t="n"/>
      <c r="H35" s="32" t="n"/>
      <c r="I35" s="29" t="n"/>
      <c r="J35" s="29" t="n"/>
      <c r="K35" s="29" t="n"/>
      <c r="L35" s="32" t="n"/>
      <c r="M35" s="29" t="n"/>
      <c r="N35" s="29" t="n"/>
      <c r="O35" s="29" t="n"/>
      <c r="P35" s="32" t="n"/>
      <c r="Q35" s="29" t="n"/>
      <c r="R35" s="29" t="n"/>
      <c r="S35" s="29" t="n"/>
      <c r="T35" s="22">
        <f>IF(COUNT(F35,J35,N35,R35)=0,"",SUM(F35,J35,N35,R35))</f>
        <v/>
      </c>
      <c r="U35" s="22">
        <f>IF(COUNT(G35,K35,O35,S35)=0,"",SUM(G35,K35,O35,S35))</f>
        <v/>
      </c>
      <c r="V35" s="22">
        <f>IF(OR(T35="",U35=""),"",U35-T35)</f>
        <v/>
      </c>
      <c r="W35" s="22">
        <f>IF(Q35&lt;&gt;"",Q35,IF(M35&lt;&gt;"",M35,IF(I35&lt;&gt;"",I35,IF(E35&lt;&gt;"",E35,""))))</f>
        <v/>
      </c>
      <c r="X35" s="18">
        <f>IF(U35="","",U35*N(Produits!$E$34))</f>
        <v/>
      </c>
    </row>
    <row r="36">
      <c r="A36" s="33">
        <f>IF(Produits!$A$35="","",Produits!$A$35)</f>
        <v/>
      </c>
      <c r="B36" s="34">
        <f>IF(Produits!$A$35="","",Produits!$C$35)</f>
        <v/>
      </c>
      <c r="C36" s="34">
        <f>IF(Produits!$A$35="","",Produits!$D$35)</f>
        <v/>
      </c>
      <c r="D36" s="32" t="n"/>
      <c r="E36" s="29" t="n"/>
      <c r="F36" s="29" t="n"/>
      <c r="G36" s="29" t="n"/>
      <c r="H36" s="32" t="n"/>
      <c r="I36" s="29" t="n"/>
      <c r="J36" s="29" t="n"/>
      <c r="K36" s="29" t="n"/>
      <c r="L36" s="32" t="n"/>
      <c r="M36" s="29" t="n"/>
      <c r="N36" s="29" t="n"/>
      <c r="O36" s="29" t="n"/>
      <c r="P36" s="32" t="n"/>
      <c r="Q36" s="29" t="n"/>
      <c r="R36" s="29" t="n"/>
      <c r="S36" s="29" t="n"/>
      <c r="T36" s="22">
        <f>IF(COUNT(F36,J36,N36,R36)=0,"",SUM(F36,J36,N36,R36))</f>
        <v/>
      </c>
      <c r="U36" s="22">
        <f>IF(COUNT(G36,K36,O36,S36)=0,"",SUM(G36,K36,O36,S36))</f>
        <v/>
      </c>
      <c r="V36" s="22">
        <f>IF(OR(T36="",U36=""),"",U36-T36)</f>
        <v/>
      </c>
      <c r="W36" s="22">
        <f>IF(Q36&lt;&gt;"",Q36,IF(M36&lt;&gt;"",M36,IF(I36&lt;&gt;"",I36,IF(E36&lt;&gt;"",E36,""))))</f>
        <v/>
      </c>
      <c r="X36" s="18">
        <f>IF(U36="","",U36*N(Produits!$E$35))</f>
        <v/>
      </c>
    </row>
    <row r="37">
      <c r="A37" s="33">
        <f>IF(Produits!$A$36="","",Produits!$A$36)</f>
        <v/>
      </c>
      <c r="B37" s="34">
        <f>IF(Produits!$A$36="","",Produits!$C$36)</f>
        <v/>
      </c>
      <c r="C37" s="34">
        <f>IF(Produits!$A$36="","",Produits!$D$36)</f>
        <v/>
      </c>
      <c r="D37" s="32" t="n"/>
      <c r="E37" s="29" t="n"/>
      <c r="F37" s="29" t="n"/>
      <c r="G37" s="29" t="n"/>
      <c r="H37" s="32" t="n"/>
      <c r="I37" s="29" t="n"/>
      <c r="J37" s="29" t="n"/>
      <c r="K37" s="29" t="n"/>
      <c r="L37" s="32" t="n"/>
      <c r="M37" s="29" t="n"/>
      <c r="N37" s="29" t="n"/>
      <c r="O37" s="29" t="n"/>
      <c r="P37" s="32" t="n"/>
      <c r="Q37" s="29" t="n"/>
      <c r="R37" s="29" t="n"/>
      <c r="S37" s="29" t="n"/>
      <c r="T37" s="22">
        <f>IF(COUNT(F37,J37,N37,R37)=0,"",SUM(F37,J37,N37,R37))</f>
        <v/>
      </c>
      <c r="U37" s="22">
        <f>IF(COUNT(G37,K37,O37,S37)=0,"",SUM(G37,K37,O37,S37))</f>
        <v/>
      </c>
      <c r="V37" s="22">
        <f>IF(OR(T37="",U37=""),"",U37-T37)</f>
        <v/>
      </c>
      <c r="W37" s="22">
        <f>IF(Q37&lt;&gt;"",Q37,IF(M37&lt;&gt;"",M37,IF(I37&lt;&gt;"",I37,IF(E37&lt;&gt;"",E37,""))))</f>
        <v/>
      </c>
      <c r="X37" s="18">
        <f>IF(U37="","",U37*N(Produits!$E$36))</f>
        <v/>
      </c>
    </row>
    <row r="38" ht="20" customHeight="1">
      <c r="A38" s="23" t="inlineStr">
        <is>
          <t>CHAMBRE FROIDE NÉGATIVE</t>
        </is>
      </c>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row>
    <row r="39">
      <c r="A39" s="33">
        <f>IF(Produits!$A$38="","",Produits!$A$38)</f>
        <v/>
      </c>
      <c r="B39" s="34">
        <f>IF(Produits!$A$38="","",Produits!$C$38)</f>
        <v/>
      </c>
      <c r="C39" s="34">
        <f>IF(Produits!$A$38="","",Produits!$D$38)</f>
        <v/>
      </c>
      <c r="D39" s="32" t="n"/>
      <c r="E39" s="29" t="n"/>
      <c r="F39" s="29" t="n"/>
      <c r="G39" s="29" t="n"/>
      <c r="H39" s="32" t="n"/>
      <c r="I39" s="29" t="n"/>
      <c r="J39" s="29" t="n"/>
      <c r="K39" s="29" t="n"/>
      <c r="L39" s="32" t="n"/>
      <c r="M39" s="29" t="n"/>
      <c r="N39" s="29" t="n"/>
      <c r="O39" s="29" t="n"/>
      <c r="P39" s="32" t="n"/>
      <c r="Q39" s="29" t="n"/>
      <c r="R39" s="29" t="n"/>
      <c r="S39" s="29" t="n"/>
      <c r="T39" s="22">
        <f>IF(COUNT(F39,J39,N39,R39)=0,"",SUM(F39,J39,N39,R39))</f>
        <v/>
      </c>
      <c r="U39" s="22">
        <f>IF(COUNT(G39,K39,O39,S39)=0,"",SUM(G39,K39,O39,S39))</f>
        <v/>
      </c>
      <c r="V39" s="22">
        <f>IF(OR(T39="",U39=""),"",U39-T39)</f>
        <v/>
      </c>
      <c r="W39" s="22">
        <f>IF(Q39&lt;&gt;"",Q39,IF(M39&lt;&gt;"",M39,IF(I39&lt;&gt;"",I39,IF(E39&lt;&gt;"",E39,""))))</f>
        <v/>
      </c>
      <c r="X39" s="18">
        <f>IF(U39="","",U39*N(Produits!$E$38))</f>
        <v/>
      </c>
    </row>
    <row r="40">
      <c r="A40" s="33">
        <f>IF(Produits!$A$39="","",Produits!$A$39)</f>
        <v/>
      </c>
      <c r="B40" s="34">
        <f>IF(Produits!$A$39="","",Produits!$C$39)</f>
        <v/>
      </c>
      <c r="C40" s="34">
        <f>IF(Produits!$A$39="","",Produits!$D$39)</f>
        <v/>
      </c>
      <c r="D40" s="32" t="n"/>
      <c r="E40" s="29" t="n"/>
      <c r="F40" s="29" t="n"/>
      <c r="G40" s="29" t="n"/>
      <c r="H40" s="32" t="n"/>
      <c r="I40" s="29" t="n"/>
      <c r="J40" s="29" t="n"/>
      <c r="K40" s="29" t="n"/>
      <c r="L40" s="32" t="n"/>
      <c r="M40" s="29" t="n"/>
      <c r="N40" s="29" t="n"/>
      <c r="O40" s="29" t="n"/>
      <c r="P40" s="32" t="n"/>
      <c r="Q40" s="29" t="n"/>
      <c r="R40" s="29" t="n"/>
      <c r="S40" s="29" t="n"/>
      <c r="T40" s="22">
        <f>IF(COUNT(F40,J40,N40,R40)=0,"",SUM(F40,J40,N40,R40))</f>
        <v/>
      </c>
      <c r="U40" s="22">
        <f>IF(COUNT(G40,K40,O40,S40)=0,"",SUM(G40,K40,O40,S40))</f>
        <v/>
      </c>
      <c r="V40" s="22">
        <f>IF(OR(T40="",U40=""),"",U40-T40)</f>
        <v/>
      </c>
      <c r="W40" s="22">
        <f>IF(Q40&lt;&gt;"",Q40,IF(M40&lt;&gt;"",M40,IF(I40&lt;&gt;"",I40,IF(E40&lt;&gt;"",E40,""))))</f>
        <v/>
      </c>
      <c r="X40" s="18">
        <f>IF(U40="","",U40*N(Produits!$E$39))</f>
        <v/>
      </c>
    </row>
    <row r="41">
      <c r="A41" s="33">
        <f>IF(Produits!$A$40="","",Produits!$A$40)</f>
        <v/>
      </c>
      <c r="B41" s="34">
        <f>IF(Produits!$A$40="","",Produits!$C$40)</f>
        <v/>
      </c>
      <c r="C41" s="34">
        <f>IF(Produits!$A$40="","",Produits!$D$40)</f>
        <v/>
      </c>
      <c r="D41" s="32" t="n"/>
      <c r="E41" s="29" t="n"/>
      <c r="F41" s="29" t="n"/>
      <c r="G41" s="29" t="n"/>
      <c r="H41" s="32" t="n"/>
      <c r="I41" s="29" t="n"/>
      <c r="J41" s="29" t="n"/>
      <c r="K41" s="29" t="n"/>
      <c r="L41" s="32" t="n"/>
      <c r="M41" s="29" t="n"/>
      <c r="N41" s="29" t="n"/>
      <c r="O41" s="29" t="n"/>
      <c r="P41" s="32" t="n"/>
      <c r="Q41" s="29" t="n"/>
      <c r="R41" s="29" t="n"/>
      <c r="S41" s="29" t="n"/>
      <c r="T41" s="22">
        <f>IF(COUNT(F41,J41,N41,R41)=0,"",SUM(F41,J41,N41,R41))</f>
        <v/>
      </c>
      <c r="U41" s="22">
        <f>IF(COUNT(G41,K41,O41,S41)=0,"",SUM(G41,K41,O41,S41))</f>
        <v/>
      </c>
      <c r="V41" s="22">
        <f>IF(OR(T41="",U41=""),"",U41-T41)</f>
        <v/>
      </c>
      <c r="W41" s="22">
        <f>IF(Q41&lt;&gt;"",Q41,IF(M41&lt;&gt;"",M41,IF(I41&lt;&gt;"",I41,IF(E41&lt;&gt;"",E41,""))))</f>
        <v/>
      </c>
      <c r="X41" s="18">
        <f>IF(U41="","",U41*N(Produits!$E$40))</f>
        <v/>
      </c>
    </row>
    <row r="42">
      <c r="A42" s="33">
        <f>IF(Produits!$A$41="","",Produits!$A$41)</f>
        <v/>
      </c>
      <c r="B42" s="34">
        <f>IF(Produits!$A$41="","",Produits!$C$41)</f>
        <v/>
      </c>
      <c r="C42" s="34">
        <f>IF(Produits!$A$41="","",Produits!$D$41)</f>
        <v/>
      </c>
      <c r="D42" s="32" t="n"/>
      <c r="E42" s="29" t="n"/>
      <c r="F42" s="29" t="n"/>
      <c r="G42" s="29" t="n"/>
      <c r="H42" s="32" t="n"/>
      <c r="I42" s="29" t="n"/>
      <c r="J42" s="29" t="n"/>
      <c r="K42" s="29" t="n"/>
      <c r="L42" s="32" t="n"/>
      <c r="M42" s="29" t="n"/>
      <c r="N42" s="29" t="n"/>
      <c r="O42" s="29" t="n"/>
      <c r="P42" s="32" t="n"/>
      <c r="Q42" s="29" t="n"/>
      <c r="R42" s="29" t="n"/>
      <c r="S42" s="29" t="n"/>
      <c r="T42" s="22">
        <f>IF(COUNT(F42,J42,N42,R42)=0,"",SUM(F42,J42,N42,R42))</f>
        <v/>
      </c>
      <c r="U42" s="22">
        <f>IF(COUNT(G42,K42,O42,S42)=0,"",SUM(G42,K42,O42,S42))</f>
        <v/>
      </c>
      <c r="V42" s="22">
        <f>IF(OR(T42="",U42=""),"",U42-T42)</f>
        <v/>
      </c>
      <c r="W42" s="22">
        <f>IF(Q42&lt;&gt;"",Q42,IF(M42&lt;&gt;"",M42,IF(I42&lt;&gt;"",I42,IF(E42&lt;&gt;"",E42,""))))</f>
        <v/>
      </c>
      <c r="X42" s="18">
        <f>IF(U42="","",U42*N(Produits!$E$41))</f>
        <v/>
      </c>
    </row>
    <row r="43">
      <c r="A43" s="33">
        <f>IF(Produits!$A$42="","",Produits!$A$42)</f>
        <v/>
      </c>
      <c r="B43" s="34">
        <f>IF(Produits!$A$42="","",Produits!$C$42)</f>
        <v/>
      </c>
      <c r="C43" s="34">
        <f>IF(Produits!$A$42="","",Produits!$D$42)</f>
        <v/>
      </c>
      <c r="D43" s="32" t="n"/>
      <c r="E43" s="29" t="n"/>
      <c r="F43" s="29" t="n"/>
      <c r="G43" s="29" t="n"/>
      <c r="H43" s="32" t="n"/>
      <c r="I43" s="29" t="n"/>
      <c r="J43" s="29" t="n"/>
      <c r="K43" s="29" t="n"/>
      <c r="L43" s="32" t="n"/>
      <c r="M43" s="29" t="n"/>
      <c r="N43" s="29" t="n"/>
      <c r="O43" s="29" t="n"/>
      <c r="P43" s="32" t="n"/>
      <c r="Q43" s="29" t="n"/>
      <c r="R43" s="29" t="n"/>
      <c r="S43" s="29" t="n"/>
      <c r="T43" s="22">
        <f>IF(COUNT(F43,J43,N43,R43)=0,"",SUM(F43,J43,N43,R43))</f>
        <v/>
      </c>
      <c r="U43" s="22">
        <f>IF(COUNT(G43,K43,O43,S43)=0,"",SUM(G43,K43,O43,S43))</f>
        <v/>
      </c>
      <c r="V43" s="22">
        <f>IF(OR(T43="",U43=""),"",U43-T43)</f>
        <v/>
      </c>
      <c r="W43" s="22">
        <f>IF(Q43&lt;&gt;"",Q43,IF(M43&lt;&gt;"",M43,IF(I43&lt;&gt;"",I43,IF(E43&lt;&gt;"",E43,""))))</f>
        <v/>
      </c>
      <c r="X43" s="18">
        <f>IF(U43="","",U43*N(Produits!$E$42))</f>
        <v/>
      </c>
    </row>
    <row r="44">
      <c r="A44" s="33">
        <f>IF(Produits!$A$43="","",Produits!$A$43)</f>
        <v/>
      </c>
      <c r="B44" s="34">
        <f>IF(Produits!$A$43="","",Produits!$C$43)</f>
        <v/>
      </c>
      <c r="C44" s="34">
        <f>IF(Produits!$A$43="","",Produits!$D$43)</f>
        <v/>
      </c>
      <c r="D44" s="32" t="n"/>
      <c r="E44" s="29" t="n"/>
      <c r="F44" s="29" t="n"/>
      <c r="G44" s="29" t="n"/>
      <c r="H44" s="32" t="n"/>
      <c r="I44" s="29" t="n"/>
      <c r="J44" s="29" t="n"/>
      <c r="K44" s="29" t="n"/>
      <c r="L44" s="32" t="n"/>
      <c r="M44" s="29" t="n"/>
      <c r="N44" s="29" t="n"/>
      <c r="O44" s="29" t="n"/>
      <c r="P44" s="32" t="n"/>
      <c r="Q44" s="29" t="n"/>
      <c r="R44" s="29" t="n"/>
      <c r="S44" s="29" t="n"/>
      <c r="T44" s="22">
        <f>IF(COUNT(F44,J44,N44,R44)=0,"",SUM(F44,J44,N44,R44))</f>
        <v/>
      </c>
      <c r="U44" s="22">
        <f>IF(COUNT(G44,K44,O44,S44)=0,"",SUM(G44,K44,O44,S44))</f>
        <v/>
      </c>
      <c r="V44" s="22">
        <f>IF(OR(T44="",U44=""),"",U44-T44)</f>
        <v/>
      </c>
      <c r="W44" s="22">
        <f>IF(Q44&lt;&gt;"",Q44,IF(M44&lt;&gt;"",M44,IF(I44&lt;&gt;"",I44,IF(E44&lt;&gt;"",E44,""))))</f>
        <v/>
      </c>
      <c r="X44" s="18">
        <f>IF(U44="","",U44*N(Produits!$E$43))</f>
        <v/>
      </c>
    </row>
    <row r="45">
      <c r="A45" s="33">
        <f>IF(Produits!$A$44="","",Produits!$A$44)</f>
        <v/>
      </c>
      <c r="B45" s="34">
        <f>IF(Produits!$A$44="","",Produits!$C$44)</f>
        <v/>
      </c>
      <c r="C45" s="34">
        <f>IF(Produits!$A$44="","",Produits!$D$44)</f>
        <v/>
      </c>
      <c r="D45" s="32" t="n"/>
      <c r="E45" s="29" t="n"/>
      <c r="F45" s="29" t="n"/>
      <c r="G45" s="29" t="n"/>
      <c r="H45" s="32" t="n"/>
      <c r="I45" s="29" t="n"/>
      <c r="J45" s="29" t="n"/>
      <c r="K45" s="29" t="n"/>
      <c r="L45" s="32" t="n"/>
      <c r="M45" s="29" t="n"/>
      <c r="N45" s="29" t="n"/>
      <c r="O45" s="29" t="n"/>
      <c r="P45" s="32" t="n"/>
      <c r="Q45" s="29" t="n"/>
      <c r="R45" s="29" t="n"/>
      <c r="S45" s="29" t="n"/>
      <c r="T45" s="22">
        <f>IF(COUNT(F45,J45,N45,R45)=0,"",SUM(F45,J45,N45,R45))</f>
        <v/>
      </c>
      <c r="U45" s="22">
        <f>IF(COUNT(G45,K45,O45,S45)=0,"",SUM(G45,K45,O45,S45))</f>
        <v/>
      </c>
      <c r="V45" s="22">
        <f>IF(OR(T45="",U45=""),"",U45-T45)</f>
        <v/>
      </c>
      <c r="W45" s="22">
        <f>IF(Q45&lt;&gt;"",Q45,IF(M45&lt;&gt;"",M45,IF(I45&lt;&gt;"",I45,IF(E45&lt;&gt;"",E45,""))))</f>
        <v/>
      </c>
      <c r="X45" s="18">
        <f>IF(U45="","",U45*N(Produits!$E$44))</f>
        <v/>
      </c>
    </row>
    <row r="46">
      <c r="A46" s="33">
        <f>IF(Produits!$A$45="","",Produits!$A$45)</f>
        <v/>
      </c>
      <c r="B46" s="34">
        <f>IF(Produits!$A$45="","",Produits!$C$45)</f>
        <v/>
      </c>
      <c r="C46" s="34">
        <f>IF(Produits!$A$45="","",Produits!$D$45)</f>
        <v/>
      </c>
      <c r="D46" s="32" t="n"/>
      <c r="E46" s="29" t="n"/>
      <c r="F46" s="29" t="n"/>
      <c r="G46" s="29" t="n"/>
      <c r="H46" s="32" t="n"/>
      <c r="I46" s="29" t="n"/>
      <c r="J46" s="29" t="n"/>
      <c r="K46" s="29" t="n"/>
      <c r="L46" s="32" t="n"/>
      <c r="M46" s="29" t="n"/>
      <c r="N46" s="29" t="n"/>
      <c r="O46" s="29" t="n"/>
      <c r="P46" s="32" t="n"/>
      <c r="Q46" s="29" t="n"/>
      <c r="R46" s="29" t="n"/>
      <c r="S46" s="29" t="n"/>
      <c r="T46" s="22">
        <f>IF(COUNT(F46,J46,N46,R46)=0,"",SUM(F46,J46,N46,R46))</f>
        <v/>
      </c>
      <c r="U46" s="22">
        <f>IF(COUNT(G46,K46,O46,S46)=0,"",SUM(G46,K46,O46,S46))</f>
        <v/>
      </c>
      <c r="V46" s="22">
        <f>IF(OR(T46="",U46=""),"",U46-T46)</f>
        <v/>
      </c>
      <c r="W46" s="22">
        <f>IF(Q46&lt;&gt;"",Q46,IF(M46&lt;&gt;"",M46,IF(I46&lt;&gt;"",I46,IF(E46&lt;&gt;"",E46,""))))</f>
        <v/>
      </c>
      <c r="X46" s="18">
        <f>IF(U46="","",U46*N(Produits!$E$45))</f>
        <v/>
      </c>
    </row>
    <row r="47">
      <c r="A47" s="33">
        <f>IF(Produits!$A$46="","",Produits!$A$46)</f>
        <v/>
      </c>
      <c r="B47" s="34">
        <f>IF(Produits!$A$46="","",Produits!$C$46)</f>
        <v/>
      </c>
      <c r="C47" s="34">
        <f>IF(Produits!$A$46="","",Produits!$D$46)</f>
        <v/>
      </c>
      <c r="D47" s="32" t="n"/>
      <c r="E47" s="29" t="n"/>
      <c r="F47" s="29" t="n"/>
      <c r="G47" s="29" t="n"/>
      <c r="H47" s="32" t="n"/>
      <c r="I47" s="29" t="n"/>
      <c r="J47" s="29" t="n"/>
      <c r="K47" s="29" t="n"/>
      <c r="L47" s="32" t="n"/>
      <c r="M47" s="29" t="n"/>
      <c r="N47" s="29" t="n"/>
      <c r="O47" s="29" t="n"/>
      <c r="P47" s="32" t="n"/>
      <c r="Q47" s="29" t="n"/>
      <c r="R47" s="29" t="n"/>
      <c r="S47" s="29" t="n"/>
      <c r="T47" s="22">
        <f>IF(COUNT(F47,J47,N47,R47)=0,"",SUM(F47,J47,N47,R47))</f>
        <v/>
      </c>
      <c r="U47" s="22">
        <f>IF(COUNT(G47,K47,O47,S47)=0,"",SUM(G47,K47,O47,S47))</f>
        <v/>
      </c>
      <c r="V47" s="22">
        <f>IF(OR(T47="",U47=""),"",U47-T47)</f>
        <v/>
      </c>
      <c r="W47" s="22">
        <f>IF(Q47&lt;&gt;"",Q47,IF(M47&lt;&gt;"",M47,IF(I47&lt;&gt;"",I47,IF(E47&lt;&gt;"",E47,""))))</f>
        <v/>
      </c>
      <c r="X47" s="18">
        <f>IF(U47="","",U47*N(Produits!$E$46))</f>
        <v/>
      </c>
    </row>
    <row r="48">
      <c r="A48" s="33">
        <f>IF(Produits!$A$47="","",Produits!$A$47)</f>
        <v/>
      </c>
      <c r="B48" s="34">
        <f>IF(Produits!$A$47="","",Produits!$C$47)</f>
        <v/>
      </c>
      <c r="C48" s="34">
        <f>IF(Produits!$A$47="","",Produits!$D$47)</f>
        <v/>
      </c>
      <c r="D48" s="32" t="n"/>
      <c r="E48" s="29" t="n"/>
      <c r="F48" s="29" t="n"/>
      <c r="G48" s="29" t="n"/>
      <c r="H48" s="32" t="n"/>
      <c r="I48" s="29" t="n"/>
      <c r="J48" s="29" t="n"/>
      <c r="K48" s="29" t="n"/>
      <c r="L48" s="32" t="n"/>
      <c r="M48" s="29" t="n"/>
      <c r="N48" s="29" t="n"/>
      <c r="O48" s="29" t="n"/>
      <c r="P48" s="32" t="n"/>
      <c r="Q48" s="29" t="n"/>
      <c r="R48" s="29" t="n"/>
      <c r="S48" s="29" t="n"/>
      <c r="T48" s="22">
        <f>IF(COUNT(F48,J48,N48,R48)=0,"",SUM(F48,J48,N48,R48))</f>
        <v/>
      </c>
      <c r="U48" s="22">
        <f>IF(COUNT(G48,K48,O48,S48)=0,"",SUM(G48,K48,O48,S48))</f>
        <v/>
      </c>
      <c r="V48" s="22">
        <f>IF(OR(T48="",U48=""),"",U48-T48)</f>
        <v/>
      </c>
      <c r="W48" s="22">
        <f>IF(Q48&lt;&gt;"",Q48,IF(M48&lt;&gt;"",M48,IF(I48&lt;&gt;"",I48,IF(E48&lt;&gt;"",E48,""))))</f>
        <v/>
      </c>
      <c r="X48" s="18">
        <f>IF(U48="","",U48*N(Produits!$E$47))</f>
        <v/>
      </c>
    </row>
    <row r="49">
      <c r="A49" s="33">
        <f>IF(Produits!$A$48="","",Produits!$A$48)</f>
        <v/>
      </c>
      <c r="B49" s="34">
        <f>IF(Produits!$A$48="","",Produits!$C$48)</f>
        <v/>
      </c>
      <c r="C49" s="34">
        <f>IF(Produits!$A$48="","",Produits!$D$48)</f>
        <v/>
      </c>
      <c r="D49" s="32" t="n"/>
      <c r="E49" s="29" t="n"/>
      <c r="F49" s="29" t="n"/>
      <c r="G49" s="29" t="n"/>
      <c r="H49" s="32" t="n"/>
      <c r="I49" s="29" t="n"/>
      <c r="J49" s="29" t="n"/>
      <c r="K49" s="29" t="n"/>
      <c r="L49" s="32" t="n"/>
      <c r="M49" s="29" t="n"/>
      <c r="N49" s="29" t="n"/>
      <c r="O49" s="29" t="n"/>
      <c r="P49" s="32" t="n"/>
      <c r="Q49" s="29" t="n"/>
      <c r="R49" s="29" t="n"/>
      <c r="S49" s="29" t="n"/>
      <c r="T49" s="22">
        <f>IF(COUNT(F49,J49,N49,R49)=0,"",SUM(F49,J49,N49,R49))</f>
        <v/>
      </c>
      <c r="U49" s="22">
        <f>IF(COUNT(G49,K49,O49,S49)=0,"",SUM(G49,K49,O49,S49))</f>
        <v/>
      </c>
      <c r="V49" s="22">
        <f>IF(OR(T49="",U49=""),"",U49-T49)</f>
        <v/>
      </c>
      <c r="W49" s="22">
        <f>IF(Q49&lt;&gt;"",Q49,IF(M49&lt;&gt;"",M49,IF(I49&lt;&gt;"",I49,IF(E49&lt;&gt;"",E49,""))))</f>
        <v/>
      </c>
      <c r="X49" s="18">
        <f>IF(U49="","",U49*N(Produits!$E$48))</f>
        <v/>
      </c>
    </row>
    <row r="50">
      <c r="A50" s="33">
        <f>IF(Produits!$A$49="","",Produits!$A$49)</f>
        <v/>
      </c>
      <c r="B50" s="34">
        <f>IF(Produits!$A$49="","",Produits!$C$49)</f>
        <v/>
      </c>
      <c r="C50" s="34">
        <f>IF(Produits!$A$49="","",Produits!$D$49)</f>
        <v/>
      </c>
      <c r="D50" s="32" t="n"/>
      <c r="E50" s="29" t="n"/>
      <c r="F50" s="29" t="n"/>
      <c r="G50" s="29" t="n"/>
      <c r="H50" s="32" t="n"/>
      <c r="I50" s="29" t="n"/>
      <c r="J50" s="29" t="n"/>
      <c r="K50" s="29" t="n"/>
      <c r="L50" s="32" t="n"/>
      <c r="M50" s="29" t="n"/>
      <c r="N50" s="29" t="n"/>
      <c r="O50" s="29" t="n"/>
      <c r="P50" s="32" t="n"/>
      <c r="Q50" s="29" t="n"/>
      <c r="R50" s="29" t="n"/>
      <c r="S50" s="29" t="n"/>
      <c r="T50" s="22">
        <f>IF(COUNT(F50,J50,N50,R50)=0,"",SUM(F50,J50,N50,R50))</f>
        <v/>
      </c>
      <c r="U50" s="22">
        <f>IF(COUNT(G50,K50,O50,S50)=0,"",SUM(G50,K50,O50,S50))</f>
        <v/>
      </c>
      <c r="V50" s="22">
        <f>IF(OR(T50="",U50=""),"",U50-T50)</f>
        <v/>
      </c>
      <c r="W50" s="22">
        <f>IF(Q50&lt;&gt;"",Q50,IF(M50&lt;&gt;"",M50,IF(I50&lt;&gt;"",I50,IF(E50&lt;&gt;"",E50,""))))</f>
        <v/>
      </c>
      <c r="X50" s="18">
        <f>IF(U50="","",U50*N(Produits!$E$49))</f>
        <v/>
      </c>
    </row>
    <row r="51">
      <c r="A51" s="33">
        <f>IF(Produits!$A$50="","",Produits!$A$50)</f>
        <v/>
      </c>
      <c r="B51" s="34">
        <f>IF(Produits!$A$50="","",Produits!$C$50)</f>
        <v/>
      </c>
      <c r="C51" s="34">
        <f>IF(Produits!$A$50="","",Produits!$D$50)</f>
        <v/>
      </c>
      <c r="D51" s="32" t="n"/>
      <c r="E51" s="29" t="n"/>
      <c r="F51" s="29" t="n"/>
      <c r="G51" s="29" t="n"/>
      <c r="H51" s="32" t="n"/>
      <c r="I51" s="29" t="n"/>
      <c r="J51" s="29" t="n"/>
      <c r="K51" s="29" t="n"/>
      <c r="L51" s="32" t="n"/>
      <c r="M51" s="29" t="n"/>
      <c r="N51" s="29" t="n"/>
      <c r="O51" s="29" t="n"/>
      <c r="P51" s="32" t="n"/>
      <c r="Q51" s="29" t="n"/>
      <c r="R51" s="29" t="n"/>
      <c r="S51" s="29" t="n"/>
      <c r="T51" s="22">
        <f>IF(COUNT(F51,J51,N51,R51)=0,"",SUM(F51,J51,N51,R51))</f>
        <v/>
      </c>
      <c r="U51" s="22">
        <f>IF(COUNT(G51,K51,O51,S51)=0,"",SUM(G51,K51,O51,S51))</f>
        <v/>
      </c>
      <c r="V51" s="22">
        <f>IF(OR(T51="",U51=""),"",U51-T51)</f>
        <v/>
      </c>
      <c r="W51" s="22">
        <f>IF(Q51&lt;&gt;"",Q51,IF(M51&lt;&gt;"",M51,IF(I51&lt;&gt;"",I51,IF(E51&lt;&gt;"",E51,""))))</f>
        <v/>
      </c>
      <c r="X51" s="18">
        <f>IF(U51="","",U51*N(Produits!$E$50))</f>
        <v/>
      </c>
    </row>
    <row r="52">
      <c r="A52" s="33">
        <f>IF(Produits!$A$51="","",Produits!$A$51)</f>
        <v/>
      </c>
      <c r="B52" s="34">
        <f>IF(Produits!$A$51="","",Produits!$C$51)</f>
        <v/>
      </c>
      <c r="C52" s="34">
        <f>IF(Produits!$A$51="","",Produits!$D$51)</f>
        <v/>
      </c>
      <c r="D52" s="32" t="n"/>
      <c r="E52" s="29" t="n"/>
      <c r="F52" s="29" t="n"/>
      <c r="G52" s="29" t="n"/>
      <c r="H52" s="32" t="n"/>
      <c r="I52" s="29" t="n"/>
      <c r="J52" s="29" t="n"/>
      <c r="K52" s="29" t="n"/>
      <c r="L52" s="32" t="n"/>
      <c r="M52" s="29" t="n"/>
      <c r="N52" s="29" t="n"/>
      <c r="O52" s="29" t="n"/>
      <c r="P52" s="32" t="n"/>
      <c r="Q52" s="29" t="n"/>
      <c r="R52" s="29" t="n"/>
      <c r="S52" s="29" t="n"/>
      <c r="T52" s="22">
        <f>IF(COUNT(F52,J52,N52,R52)=0,"",SUM(F52,J52,N52,R52))</f>
        <v/>
      </c>
      <c r="U52" s="22">
        <f>IF(COUNT(G52,K52,O52,S52)=0,"",SUM(G52,K52,O52,S52))</f>
        <v/>
      </c>
      <c r="V52" s="22">
        <f>IF(OR(T52="",U52=""),"",U52-T52)</f>
        <v/>
      </c>
      <c r="W52" s="22">
        <f>IF(Q52&lt;&gt;"",Q52,IF(M52&lt;&gt;"",M52,IF(I52&lt;&gt;"",I52,IF(E52&lt;&gt;"",E52,""))))</f>
        <v/>
      </c>
      <c r="X52" s="18">
        <f>IF(U52="","",U52*N(Produits!$E$51))</f>
        <v/>
      </c>
    </row>
    <row r="53">
      <c r="A53" s="33">
        <f>IF(Produits!$A$52="","",Produits!$A$52)</f>
        <v/>
      </c>
      <c r="B53" s="34">
        <f>IF(Produits!$A$52="","",Produits!$C$52)</f>
        <v/>
      </c>
      <c r="C53" s="34">
        <f>IF(Produits!$A$52="","",Produits!$D$52)</f>
        <v/>
      </c>
      <c r="D53" s="32" t="n"/>
      <c r="E53" s="29" t="n"/>
      <c r="F53" s="29" t="n"/>
      <c r="G53" s="29" t="n"/>
      <c r="H53" s="32" t="n"/>
      <c r="I53" s="29" t="n"/>
      <c r="J53" s="29" t="n"/>
      <c r="K53" s="29" t="n"/>
      <c r="L53" s="32" t="n"/>
      <c r="M53" s="29" t="n"/>
      <c r="N53" s="29" t="n"/>
      <c r="O53" s="29" t="n"/>
      <c r="P53" s="32" t="n"/>
      <c r="Q53" s="29" t="n"/>
      <c r="R53" s="29" t="n"/>
      <c r="S53" s="29" t="n"/>
      <c r="T53" s="22">
        <f>IF(COUNT(F53,J53,N53,R53)=0,"",SUM(F53,J53,N53,R53))</f>
        <v/>
      </c>
      <c r="U53" s="22">
        <f>IF(COUNT(G53,K53,O53,S53)=0,"",SUM(G53,K53,O53,S53))</f>
        <v/>
      </c>
      <c r="V53" s="22">
        <f>IF(OR(T53="",U53=""),"",U53-T53)</f>
        <v/>
      </c>
      <c r="W53" s="22">
        <f>IF(Q53&lt;&gt;"",Q53,IF(M53&lt;&gt;"",M53,IF(I53&lt;&gt;"",I53,IF(E53&lt;&gt;"",E53,""))))</f>
        <v/>
      </c>
      <c r="X53" s="18">
        <f>IF(U53="","",U53*N(Produits!$E$52))</f>
        <v/>
      </c>
    </row>
    <row r="54" ht="20" customHeight="1">
      <c r="A54" s="23" t="inlineStr">
        <is>
          <t>MÉNAGER</t>
        </is>
      </c>
      <c r="B54" s="10" t="n"/>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row>
    <row r="55">
      <c r="A55" s="33">
        <f>IF(Produits!$A$54="","",Produits!$A$54)</f>
        <v/>
      </c>
      <c r="B55" s="34">
        <f>IF(Produits!$A$54="","",Produits!$C$54)</f>
        <v/>
      </c>
      <c r="C55" s="34">
        <f>IF(Produits!$A$54="","",Produits!$D$54)</f>
        <v/>
      </c>
      <c r="D55" s="32" t="n"/>
      <c r="E55" s="29" t="n"/>
      <c r="F55" s="29" t="n"/>
      <c r="G55" s="29" t="n"/>
      <c r="H55" s="32" t="n"/>
      <c r="I55" s="29" t="n"/>
      <c r="J55" s="29" t="n"/>
      <c r="K55" s="29" t="n"/>
      <c r="L55" s="32" t="n"/>
      <c r="M55" s="29" t="n"/>
      <c r="N55" s="29" t="n"/>
      <c r="O55" s="29" t="n"/>
      <c r="P55" s="32" t="n"/>
      <c r="Q55" s="29" t="n"/>
      <c r="R55" s="29" t="n"/>
      <c r="S55" s="29" t="n"/>
      <c r="T55" s="22">
        <f>IF(COUNT(F55,J55,N55,R55)=0,"",SUM(F55,J55,N55,R55))</f>
        <v/>
      </c>
      <c r="U55" s="22">
        <f>IF(COUNT(G55,K55,O55,S55)=0,"",SUM(G55,K55,O55,S55))</f>
        <v/>
      </c>
      <c r="V55" s="22">
        <f>IF(OR(T55="",U55=""),"",U55-T55)</f>
        <v/>
      </c>
      <c r="W55" s="22">
        <f>IF(Q55&lt;&gt;"",Q55,IF(M55&lt;&gt;"",M55,IF(I55&lt;&gt;"",I55,IF(E55&lt;&gt;"",E55,""))))</f>
        <v/>
      </c>
      <c r="X55" s="18">
        <f>IF(U55="","",U55*N(Produits!$E$54))</f>
        <v/>
      </c>
    </row>
    <row r="56">
      <c r="A56" s="33">
        <f>IF(Produits!$A$55="","",Produits!$A$55)</f>
        <v/>
      </c>
      <c r="B56" s="34">
        <f>IF(Produits!$A$55="","",Produits!$C$55)</f>
        <v/>
      </c>
      <c r="C56" s="34">
        <f>IF(Produits!$A$55="","",Produits!$D$55)</f>
        <v/>
      </c>
      <c r="D56" s="32" t="n"/>
      <c r="E56" s="29" t="n"/>
      <c r="F56" s="29" t="n"/>
      <c r="G56" s="29" t="n"/>
      <c r="H56" s="32" t="n"/>
      <c r="I56" s="29" t="n"/>
      <c r="J56" s="29" t="n"/>
      <c r="K56" s="29" t="n"/>
      <c r="L56" s="32" t="n"/>
      <c r="M56" s="29" t="n"/>
      <c r="N56" s="29" t="n"/>
      <c r="O56" s="29" t="n"/>
      <c r="P56" s="32" t="n"/>
      <c r="Q56" s="29" t="n"/>
      <c r="R56" s="29" t="n"/>
      <c r="S56" s="29" t="n"/>
      <c r="T56" s="22">
        <f>IF(COUNT(F56,J56,N56,R56)=0,"",SUM(F56,J56,N56,R56))</f>
        <v/>
      </c>
      <c r="U56" s="22">
        <f>IF(COUNT(G56,K56,O56,S56)=0,"",SUM(G56,K56,O56,S56))</f>
        <v/>
      </c>
      <c r="V56" s="22">
        <f>IF(OR(T56="",U56=""),"",U56-T56)</f>
        <v/>
      </c>
      <c r="W56" s="22">
        <f>IF(Q56&lt;&gt;"",Q56,IF(M56&lt;&gt;"",M56,IF(I56&lt;&gt;"",I56,IF(E56&lt;&gt;"",E56,""))))</f>
        <v/>
      </c>
      <c r="X56" s="18">
        <f>IF(U56="","",U56*N(Produits!$E$55))</f>
        <v/>
      </c>
    </row>
    <row r="57">
      <c r="A57" s="33">
        <f>IF(Produits!$A$56="","",Produits!$A$56)</f>
        <v/>
      </c>
      <c r="B57" s="34">
        <f>IF(Produits!$A$56="","",Produits!$C$56)</f>
        <v/>
      </c>
      <c r="C57" s="34">
        <f>IF(Produits!$A$56="","",Produits!$D$56)</f>
        <v/>
      </c>
      <c r="D57" s="32" t="n"/>
      <c r="E57" s="29" t="n"/>
      <c r="F57" s="29" t="n"/>
      <c r="G57" s="29" t="n"/>
      <c r="H57" s="32" t="n"/>
      <c r="I57" s="29" t="n"/>
      <c r="J57" s="29" t="n"/>
      <c r="K57" s="29" t="n"/>
      <c r="L57" s="32" t="n"/>
      <c r="M57" s="29" t="n"/>
      <c r="N57" s="29" t="n"/>
      <c r="O57" s="29" t="n"/>
      <c r="P57" s="32" t="n"/>
      <c r="Q57" s="29" t="n"/>
      <c r="R57" s="29" t="n"/>
      <c r="S57" s="29" t="n"/>
      <c r="T57" s="22">
        <f>IF(COUNT(F57,J57,N57,R57)=0,"",SUM(F57,J57,N57,R57))</f>
        <v/>
      </c>
      <c r="U57" s="22">
        <f>IF(COUNT(G57,K57,O57,S57)=0,"",SUM(G57,K57,O57,S57))</f>
        <v/>
      </c>
      <c r="V57" s="22">
        <f>IF(OR(T57="",U57=""),"",U57-T57)</f>
        <v/>
      </c>
      <c r="W57" s="22">
        <f>IF(Q57&lt;&gt;"",Q57,IF(M57&lt;&gt;"",M57,IF(I57&lt;&gt;"",I57,IF(E57&lt;&gt;"",E57,""))))</f>
        <v/>
      </c>
      <c r="X57" s="18">
        <f>IF(U57="","",U57*N(Produits!$E$56))</f>
        <v/>
      </c>
    </row>
    <row r="58">
      <c r="A58" s="33">
        <f>IF(Produits!$A$57="","",Produits!$A$57)</f>
        <v/>
      </c>
      <c r="B58" s="34">
        <f>IF(Produits!$A$57="","",Produits!$C$57)</f>
        <v/>
      </c>
      <c r="C58" s="34">
        <f>IF(Produits!$A$57="","",Produits!$D$57)</f>
        <v/>
      </c>
      <c r="D58" s="32" t="n"/>
      <c r="E58" s="29" t="n"/>
      <c r="F58" s="29" t="n"/>
      <c r="G58" s="29" t="n"/>
      <c r="H58" s="32" t="n"/>
      <c r="I58" s="29" t="n"/>
      <c r="J58" s="29" t="n"/>
      <c r="K58" s="29" t="n"/>
      <c r="L58" s="32" t="n"/>
      <c r="M58" s="29" t="n"/>
      <c r="N58" s="29" t="n"/>
      <c r="O58" s="29" t="n"/>
      <c r="P58" s="32" t="n"/>
      <c r="Q58" s="29" t="n"/>
      <c r="R58" s="29" t="n"/>
      <c r="S58" s="29" t="n"/>
      <c r="T58" s="22">
        <f>IF(COUNT(F58,J58,N58,R58)=0,"",SUM(F58,J58,N58,R58))</f>
        <v/>
      </c>
      <c r="U58" s="22">
        <f>IF(COUNT(G58,K58,O58,S58)=0,"",SUM(G58,K58,O58,S58))</f>
        <v/>
      </c>
      <c r="V58" s="22">
        <f>IF(OR(T58="",U58=""),"",U58-T58)</f>
        <v/>
      </c>
      <c r="W58" s="22">
        <f>IF(Q58&lt;&gt;"",Q58,IF(M58&lt;&gt;"",M58,IF(I58&lt;&gt;"",I58,IF(E58&lt;&gt;"",E58,""))))</f>
        <v/>
      </c>
      <c r="X58" s="18">
        <f>IF(U58="","",U58*N(Produits!$E$57))</f>
        <v/>
      </c>
    </row>
    <row r="59">
      <c r="A59" s="33">
        <f>IF(Produits!$A$58="","",Produits!$A$58)</f>
        <v/>
      </c>
      <c r="B59" s="34">
        <f>IF(Produits!$A$58="","",Produits!$C$58)</f>
        <v/>
      </c>
      <c r="C59" s="34">
        <f>IF(Produits!$A$58="","",Produits!$D$58)</f>
        <v/>
      </c>
      <c r="D59" s="32" t="n"/>
      <c r="E59" s="29" t="n"/>
      <c r="F59" s="29" t="n"/>
      <c r="G59" s="29" t="n"/>
      <c r="H59" s="32" t="n"/>
      <c r="I59" s="29" t="n"/>
      <c r="J59" s="29" t="n"/>
      <c r="K59" s="29" t="n"/>
      <c r="L59" s="32" t="n"/>
      <c r="M59" s="29" t="n"/>
      <c r="N59" s="29" t="n"/>
      <c r="O59" s="29" t="n"/>
      <c r="P59" s="32" t="n"/>
      <c r="Q59" s="29" t="n"/>
      <c r="R59" s="29" t="n"/>
      <c r="S59" s="29" t="n"/>
      <c r="T59" s="22">
        <f>IF(COUNT(F59,J59,N59,R59)=0,"",SUM(F59,J59,N59,R59))</f>
        <v/>
      </c>
      <c r="U59" s="22">
        <f>IF(COUNT(G59,K59,O59,S59)=0,"",SUM(G59,K59,O59,S59))</f>
        <v/>
      </c>
      <c r="V59" s="22">
        <f>IF(OR(T59="",U59=""),"",U59-T59)</f>
        <v/>
      </c>
      <c r="W59" s="22">
        <f>IF(Q59&lt;&gt;"",Q59,IF(M59&lt;&gt;"",M59,IF(I59&lt;&gt;"",I59,IF(E59&lt;&gt;"",E59,""))))</f>
        <v/>
      </c>
      <c r="X59" s="18">
        <f>IF(U59="","",U59*N(Produits!$E$58))</f>
        <v/>
      </c>
    </row>
    <row r="60">
      <c r="A60" s="33">
        <f>IF(Produits!$A$59="","",Produits!$A$59)</f>
        <v/>
      </c>
      <c r="B60" s="34">
        <f>IF(Produits!$A$59="","",Produits!$C$59)</f>
        <v/>
      </c>
      <c r="C60" s="34">
        <f>IF(Produits!$A$59="","",Produits!$D$59)</f>
        <v/>
      </c>
      <c r="D60" s="32" t="n"/>
      <c r="E60" s="29" t="n"/>
      <c r="F60" s="29" t="n"/>
      <c r="G60" s="29" t="n"/>
      <c r="H60" s="32" t="n"/>
      <c r="I60" s="29" t="n"/>
      <c r="J60" s="29" t="n"/>
      <c r="K60" s="29" t="n"/>
      <c r="L60" s="32" t="n"/>
      <c r="M60" s="29" t="n"/>
      <c r="N60" s="29" t="n"/>
      <c r="O60" s="29" t="n"/>
      <c r="P60" s="32" t="n"/>
      <c r="Q60" s="29" t="n"/>
      <c r="R60" s="29" t="n"/>
      <c r="S60" s="29" t="n"/>
      <c r="T60" s="22">
        <f>IF(COUNT(F60,J60,N60,R60)=0,"",SUM(F60,J60,N60,R60))</f>
        <v/>
      </c>
      <c r="U60" s="22">
        <f>IF(COUNT(G60,K60,O60,S60)=0,"",SUM(G60,K60,O60,S60))</f>
        <v/>
      </c>
      <c r="V60" s="22">
        <f>IF(OR(T60="",U60=""),"",U60-T60)</f>
        <v/>
      </c>
      <c r="W60" s="22">
        <f>IF(Q60&lt;&gt;"",Q60,IF(M60&lt;&gt;"",M60,IF(I60&lt;&gt;"",I60,IF(E60&lt;&gt;"",E60,""))))</f>
        <v/>
      </c>
      <c r="X60" s="18">
        <f>IF(U60="","",U60*N(Produits!$E$59))</f>
        <v/>
      </c>
    </row>
    <row r="61">
      <c r="A61" s="33">
        <f>IF(Produits!$A$60="","",Produits!$A$60)</f>
        <v/>
      </c>
      <c r="B61" s="34">
        <f>IF(Produits!$A$60="","",Produits!$C$60)</f>
        <v/>
      </c>
      <c r="C61" s="34">
        <f>IF(Produits!$A$60="","",Produits!$D$60)</f>
        <v/>
      </c>
      <c r="D61" s="32" t="n"/>
      <c r="E61" s="29" t="n"/>
      <c r="F61" s="29" t="n"/>
      <c r="G61" s="29" t="n"/>
      <c r="H61" s="32" t="n"/>
      <c r="I61" s="29" t="n"/>
      <c r="J61" s="29" t="n"/>
      <c r="K61" s="29" t="n"/>
      <c r="L61" s="32" t="n"/>
      <c r="M61" s="29" t="n"/>
      <c r="N61" s="29" t="n"/>
      <c r="O61" s="29" t="n"/>
      <c r="P61" s="32" t="n"/>
      <c r="Q61" s="29" t="n"/>
      <c r="R61" s="29" t="n"/>
      <c r="S61" s="29" t="n"/>
      <c r="T61" s="22">
        <f>IF(COUNT(F61,J61,N61,R61)=0,"",SUM(F61,J61,N61,R61))</f>
        <v/>
      </c>
      <c r="U61" s="22">
        <f>IF(COUNT(G61,K61,O61,S61)=0,"",SUM(G61,K61,O61,S61))</f>
        <v/>
      </c>
      <c r="V61" s="22">
        <f>IF(OR(T61="",U61=""),"",U61-T61)</f>
        <v/>
      </c>
      <c r="W61" s="22">
        <f>IF(Q61&lt;&gt;"",Q61,IF(M61&lt;&gt;"",M61,IF(I61&lt;&gt;"",I61,IF(E61&lt;&gt;"",E61,""))))</f>
        <v/>
      </c>
      <c r="X61" s="18">
        <f>IF(U61="","",U61*N(Produits!$E$60))</f>
        <v/>
      </c>
    </row>
    <row r="62">
      <c r="A62" s="33">
        <f>IF(Produits!$A$61="","",Produits!$A$61)</f>
        <v/>
      </c>
      <c r="B62" s="34">
        <f>IF(Produits!$A$61="","",Produits!$C$61)</f>
        <v/>
      </c>
      <c r="C62" s="34">
        <f>IF(Produits!$A$61="","",Produits!$D$61)</f>
        <v/>
      </c>
      <c r="D62" s="32" t="n"/>
      <c r="E62" s="29" t="n"/>
      <c r="F62" s="29" t="n"/>
      <c r="G62" s="29" t="n"/>
      <c r="H62" s="32" t="n"/>
      <c r="I62" s="29" t="n"/>
      <c r="J62" s="29" t="n"/>
      <c r="K62" s="29" t="n"/>
      <c r="L62" s="32" t="n"/>
      <c r="M62" s="29" t="n"/>
      <c r="N62" s="29" t="n"/>
      <c r="O62" s="29" t="n"/>
      <c r="P62" s="32" t="n"/>
      <c r="Q62" s="29" t="n"/>
      <c r="R62" s="29" t="n"/>
      <c r="S62" s="29" t="n"/>
      <c r="T62" s="22">
        <f>IF(COUNT(F62,J62,N62,R62)=0,"",SUM(F62,J62,N62,R62))</f>
        <v/>
      </c>
      <c r="U62" s="22">
        <f>IF(COUNT(G62,K62,O62,S62)=0,"",SUM(G62,K62,O62,S62))</f>
        <v/>
      </c>
      <c r="V62" s="22">
        <f>IF(OR(T62="",U62=""),"",U62-T62)</f>
        <v/>
      </c>
      <c r="W62" s="22">
        <f>IF(Q62&lt;&gt;"",Q62,IF(M62&lt;&gt;"",M62,IF(I62&lt;&gt;"",I62,IF(E62&lt;&gt;"",E62,""))))</f>
        <v/>
      </c>
      <c r="X62" s="18">
        <f>IF(U62="","",U62*N(Produits!$E$61))</f>
        <v/>
      </c>
    </row>
    <row r="63">
      <c r="A63" s="33">
        <f>IF(Produits!$A$62="","",Produits!$A$62)</f>
        <v/>
      </c>
      <c r="B63" s="34">
        <f>IF(Produits!$A$62="","",Produits!$C$62)</f>
        <v/>
      </c>
      <c r="C63" s="34">
        <f>IF(Produits!$A$62="","",Produits!$D$62)</f>
        <v/>
      </c>
      <c r="D63" s="32" t="n"/>
      <c r="E63" s="29" t="n"/>
      <c r="F63" s="29" t="n"/>
      <c r="G63" s="29" t="n"/>
      <c r="H63" s="32" t="n"/>
      <c r="I63" s="29" t="n"/>
      <c r="J63" s="29" t="n"/>
      <c r="K63" s="29" t="n"/>
      <c r="L63" s="32" t="n"/>
      <c r="M63" s="29" t="n"/>
      <c r="N63" s="29" t="n"/>
      <c r="O63" s="29" t="n"/>
      <c r="P63" s="32" t="n"/>
      <c r="Q63" s="29" t="n"/>
      <c r="R63" s="29" t="n"/>
      <c r="S63" s="29" t="n"/>
      <c r="T63" s="22">
        <f>IF(COUNT(F63,J63,N63,R63)=0,"",SUM(F63,J63,N63,R63))</f>
        <v/>
      </c>
      <c r="U63" s="22">
        <f>IF(COUNT(G63,K63,O63,S63)=0,"",SUM(G63,K63,O63,S63))</f>
        <v/>
      </c>
      <c r="V63" s="22">
        <f>IF(OR(T63="",U63=""),"",U63-T63)</f>
        <v/>
      </c>
      <c r="W63" s="22">
        <f>IF(Q63&lt;&gt;"",Q63,IF(M63&lt;&gt;"",M63,IF(I63&lt;&gt;"",I63,IF(E63&lt;&gt;"",E63,""))))</f>
        <v/>
      </c>
      <c r="X63" s="18">
        <f>IF(U63="","",U63*N(Produits!$E$62))</f>
        <v/>
      </c>
    </row>
    <row r="64">
      <c r="A64" s="33">
        <f>IF(Produits!$A$63="","",Produits!$A$63)</f>
        <v/>
      </c>
      <c r="B64" s="34">
        <f>IF(Produits!$A$63="","",Produits!$C$63)</f>
        <v/>
      </c>
      <c r="C64" s="34">
        <f>IF(Produits!$A$63="","",Produits!$D$63)</f>
        <v/>
      </c>
      <c r="D64" s="32" t="n"/>
      <c r="E64" s="29" t="n"/>
      <c r="F64" s="29" t="n"/>
      <c r="G64" s="29" t="n"/>
      <c r="H64" s="32" t="n"/>
      <c r="I64" s="29" t="n"/>
      <c r="J64" s="29" t="n"/>
      <c r="K64" s="29" t="n"/>
      <c r="L64" s="32" t="n"/>
      <c r="M64" s="29" t="n"/>
      <c r="N64" s="29" t="n"/>
      <c r="O64" s="29" t="n"/>
      <c r="P64" s="32" t="n"/>
      <c r="Q64" s="29" t="n"/>
      <c r="R64" s="29" t="n"/>
      <c r="S64" s="29" t="n"/>
      <c r="T64" s="22">
        <f>IF(COUNT(F64,J64,N64,R64)=0,"",SUM(F64,J64,N64,R64))</f>
        <v/>
      </c>
      <c r="U64" s="22">
        <f>IF(COUNT(G64,K64,O64,S64)=0,"",SUM(G64,K64,O64,S64))</f>
        <v/>
      </c>
      <c r="V64" s="22">
        <f>IF(OR(T64="",U64=""),"",U64-T64)</f>
        <v/>
      </c>
      <c r="W64" s="22">
        <f>IF(Q64&lt;&gt;"",Q64,IF(M64&lt;&gt;"",M64,IF(I64&lt;&gt;"",I64,IF(E64&lt;&gt;"",E64,""))))</f>
        <v/>
      </c>
      <c r="X64" s="18">
        <f>IF(U64="","",U64*N(Produits!$E$63))</f>
        <v/>
      </c>
    </row>
    <row r="65">
      <c r="A65" s="33">
        <f>IF(Produits!$A$64="","",Produits!$A$64)</f>
        <v/>
      </c>
      <c r="B65" s="34">
        <f>IF(Produits!$A$64="","",Produits!$C$64)</f>
        <v/>
      </c>
      <c r="C65" s="34">
        <f>IF(Produits!$A$64="","",Produits!$D$64)</f>
        <v/>
      </c>
      <c r="D65" s="32" t="n"/>
      <c r="E65" s="29" t="n"/>
      <c r="F65" s="29" t="n"/>
      <c r="G65" s="29" t="n"/>
      <c r="H65" s="32" t="n"/>
      <c r="I65" s="29" t="n"/>
      <c r="J65" s="29" t="n"/>
      <c r="K65" s="29" t="n"/>
      <c r="L65" s="32" t="n"/>
      <c r="M65" s="29" t="n"/>
      <c r="N65" s="29" t="n"/>
      <c r="O65" s="29" t="n"/>
      <c r="P65" s="32" t="n"/>
      <c r="Q65" s="29" t="n"/>
      <c r="R65" s="29" t="n"/>
      <c r="S65" s="29" t="n"/>
      <c r="T65" s="22">
        <f>IF(COUNT(F65,J65,N65,R65)=0,"",SUM(F65,J65,N65,R65))</f>
        <v/>
      </c>
      <c r="U65" s="22">
        <f>IF(COUNT(G65,K65,O65,S65)=0,"",SUM(G65,K65,O65,S65))</f>
        <v/>
      </c>
      <c r="V65" s="22">
        <f>IF(OR(T65="",U65=""),"",U65-T65)</f>
        <v/>
      </c>
      <c r="W65" s="22">
        <f>IF(Q65&lt;&gt;"",Q65,IF(M65&lt;&gt;"",M65,IF(I65&lt;&gt;"",I65,IF(E65&lt;&gt;"",E65,""))))</f>
        <v/>
      </c>
      <c r="X65" s="18">
        <f>IF(U65="","",U65*N(Produits!$E$64))</f>
        <v/>
      </c>
    </row>
    <row r="66">
      <c r="A66" s="33">
        <f>IF(Produits!$A$65="","",Produits!$A$65)</f>
        <v/>
      </c>
      <c r="B66" s="34">
        <f>IF(Produits!$A$65="","",Produits!$C$65)</f>
        <v/>
      </c>
      <c r="C66" s="34">
        <f>IF(Produits!$A$65="","",Produits!$D$65)</f>
        <v/>
      </c>
      <c r="D66" s="32" t="n"/>
      <c r="E66" s="29" t="n"/>
      <c r="F66" s="29" t="n"/>
      <c r="G66" s="29" t="n"/>
      <c r="H66" s="32" t="n"/>
      <c r="I66" s="29" t="n"/>
      <c r="J66" s="29" t="n"/>
      <c r="K66" s="29" t="n"/>
      <c r="L66" s="32" t="n"/>
      <c r="M66" s="29" t="n"/>
      <c r="N66" s="29" t="n"/>
      <c r="O66" s="29" t="n"/>
      <c r="P66" s="32" t="n"/>
      <c r="Q66" s="29" t="n"/>
      <c r="R66" s="29" t="n"/>
      <c r="S66" s="29" t="n"/>
      <c r="T66" s="22">
        <f>IF(COUNT(F66,J66,N66,R66)=0,"",SUM(F66,J66,N66,R66))</f>
        <v/>
      </c>
      <c r="U66" s="22">
        <f>IF(COUNT(G66,K66,O66,S66)=0,"",SUM(G66,K66,O66,S66))</f>
        <v/>
      </c>
      <c r="V66" s="22">
        <f>IF(OR(T66="",U66=""),"",U66-T66)</f>
        <v/>
      </c>
      <c r="W66" s="22">
        <f>IF(Q66&lt;&gt;"",Q66,IF(M66&lt;&gt;"",M66,IF(I66&lt;&gt;"",I66,IF(E66&lt;&gt;"",E66,""))))</f>
        <v/>
      </c>
      <c r="X66" s="18">
        <f>IF(U66="","",U66*N(Produits!$E$65))</f>
        <v/>
      </c>
    </row>
    <row r="67">
      <c r="A67" s="33">
        <f>IF(Produits!$A$66="","",Produits!$A$66)</f>
        <v/>
      </c>
      <c r="B67" s="34">
        <f>IF(Produits!$A$66="","",Produits!$C$66)</f>
        <v/>
      </c>
      <c r="C67" s="34">
        <f>IF(Produits!$A$66="","",Produits!$D$66)</f>
        <v/>
      </c>
      <c r="D67" s="32" t="n"/>
      <c r="E67" s="29" t="n"/>
      <c r="F67" s="29" t="n"/>
      <c r="G67" s="29" t="n"/>
      <c r="H67" s="32" t="n"/>
      <c r="I67" s="29" t="n"/>
      <c r="J67" s="29" t="n"/>
      <c r="K67" s="29" t="n"/>
      <c r="L67" s="32" t="n"/>
      <c r="M67" s="29" t="n"/>
      <c r="N67" s="29" t="n"/>
      <c r="O67" s="29" t="n"/>
      <c r="P67" s="32" t="n"/>
      <c r="Q67" s="29" t="n"/>
      <c r="R67" s="29" t="n"/>
      <c r="S67" s="29" t="n"/>
      <c r="T67" s="22">
        <f>IF(COUNT(F67,J67,N67,R67)=0,"",SUM(F67,J67,N67,R67))</f>
        <v/>
      </c>
      <c r="U67" s="22">
        <f>IF(COUNT(G67,K67,O67,S67)=0,"",SUM(G67,K67,O67,S67))</f>
        <v/>
      </c>
      <c r="V67" s="22">
        <f>IF(OR(T67="",U67=""),"",U67-T67)</f>
        <v/>
      </c>
      <c r="W67" s="22">
        <f>IF(Q67&lt;&gt;"",Q67,IF(M67&lt;&gt;"",M67,IF(I67&lt;&gt;"",I67,IF(E67&lt;&gt;"",E67,""))))</f>
        <v/>
      </c>
      <c r="X67" s="18">
        <f>IF(U67="","",U67*N(Produits!$E$66))</f>
        <v/>
      </c>
    </row>
    <row r="68">
      <c r="A68" s="33">
        <f>IF(Produits!$A$67="","",Produits!$A$67)</f>
        <v/>
      </c>
      <c r="B68" s="34">
        <f>IF(Produits!$A$67="","",Produits!$C$67)</f>
        <v/>
      </c>
      <c r="C68" s="34">
        <f>IF(Produits!$A$67="","",Produits!$D$67)</f>
        <v/>
      </c>
      <c r="D68" s="32" t="n"/>
      <c r="E68" s="29" t="n"/>
      <c r="F68" s="29" t="n"/>
      <c r="G68" s="29" t="n"/>
      <c r="H68" s="32" t="n"/>
      <c r="I68" s="29" t="n"/>
      <c r="J68" s="29" t="n"/>
      <c r="K68" s="29" t="n"/>
      <c r="L68" s="32" t="n"/>
      <c r="M68" s="29" t="n"/>
      <c r="N68" s="29" t="n"/>
      <c r="O68" s="29" t="n"/>
      <c r="P68" s="32" t="n"/>
      <c r="Q68" s="29" t="n"/>
      <c r="R68" s="29" t="n"/>
      <c r="S68" s="29" t="n"/>
      <c r="T68" s="22">
        <f>IF(COUNT(F68,J68,N68,R68)=0,"",SUM(F68,J68,N68,R68))</f>
        <v/>
      </c>
      <c r="U68" s="22">
        <f>IF(COUNT(G68,K68,O68,S68)=0,"",SUM(G68,K68,O68,S68))</f>
        <v/>
      </c>
      <c r="V68" s="22">
        <f>IF(OR(T68="",U68=""),"",U68-T68)</f>
        <v/>
      </c>
      <c r="W68" s="22">
        <f>IF(Q68&lt;&gt;"",Q68,IF(M68&lt;&gt;"",M68,IF(I68&lt;&gt;"",I68,IF(E68&lt;&gt;"",E68,""))))</f>
        <v/>
      </c>
      <c r="X68" s="18">
        <f>IF(U68="","",U68*N(Produits!$E$67))</f>
        <v/>
      </c>
    </row>
    <row r="69">
      <c r="A69" s="33">
        <f>IF(Produits!$A$68="","",Produits!$A$68)</f>
        <v/>
      </c>
      <c r="B69" s="34">
        <f>IF(Produits!$A$68="","",Produits!$C$68)</f>
        <v/>
      </c>
      <c r="C69" s="34">
        <f>IF(Produits!$A$68="","",Produits!$D$68)</f>
        <v/>
      </c>
      <c r="D69" s="32" t="n"/>
      <c r="E69" s="29" t="n"/>
      <c r="F69" s="29" t="n"/>
      <c r="G69" s="29" t="n"/>
      <c r="H69" s="32" t="n"/>
      <c r="I69" s="29" t="n"/>
      <c r="J69" s="29" t="n"/>
      <c r="K69" s="29" t="n"/>
      <c r="L69" s="32" t="n"/>
      <c r="M69" s="29" t="n"/>
      <c r="N69" s="29" t="n"/>
      <c r="O69" s="29" t="n"/>
      <c r="P69" s="32" t="n"/>
      <c r="Q69" s="29" t="n"/>
      <c r="R69" s="29" t="n"/>
      <c r="S69" s="29" t="n"/>
      <c r="T69" s="22">
        <f>IF(COUNT(F69,J69,N69,R69)=0,"",SUM(F69,J69,N69,R69))</f>
        <v/>
      </c>
      <c r="U69" s="22">
        <f>IF(COUNT(G69,K69,O69,S69)=0,"",SUM(G69,K69,O69,S69))</f>
        <v/>
      </c>
      <c r="V69" s="22">
        <f>IF(OR(T69="",U69=""),"",U69-T69)</f>
        <v/>
      </c>
      <c r="W69" s="22">
        <f>IF(Q69&lt;&gt;"",Q69,IF(M69&lt;&gt;"",M69,IF(I69&lt;&gt;"",I69,IF(E69&lt;&gt;"",E69,""))))</f>
        <v/>
      </c>
      <c r="X69" s="18">
        <f>IF(U69="","",U69*N(Produits!$E$68))</f>
        <v/>
      </c>
    </row>
    <row r="71">
      <c r="A71" s="15" t="inlineStr">
        <is>
          <t>Total des dépenses du mois</t>
        </is>
      </c>
      <c r="B71" s="19" t="n"/>
      <c r="C71" s="19" t="n"/>
      <c r="X71" s="35">
        <f>SUM(X7:X69)</f>
        <v/>
      </c>
    </row>
  </sheetData>
  <mergeCells count="14">
    <mergeCell ref="H4:K4"/>
    <mergeCell ref="A71:C71"/>
    <mergeCell ref="B4:B5"/>
    <mergeCell ref="C4:C5"/>
    <mergeCell ref="A4:A5"/>
    <mergeCell ref="T4:W4"/>
    <mergeCell ref="X4:X5"/>
    <mergeCell ref="A38:X38"/>
    <mergeCell ref="A54:X54"/>
    <mergeCell ref="L4:O4"/>
    <mergeCell ref="P4:S4"/>
    <mergeCell ref="A6:X6"/>
    <mergeCell ref="A22:X22"/>
    <mergeCell ref="D4:G4"/>
  </mergeCells>
  <conditionalFormatting sqref="V7:V69">
    <cfRule type="expression" priority="1" dxfId="0">
      <formula>AND(ISNUMBER(V7),V7&lt;0)</formula>
    </cfRule>
  </conditionalFormatting>
  <conditionalFormatting sqref="E7:E69">
    <cfRule type="expression" priority="2" dxfId="1">
      <formula>AND(ISNUMBER(E7),ISNUMBER($C7),E7&lt;=$C7)</formula>
    </cfRule>
  </conditionalFormatting>
  <conditionalFormatting sqref="G7:G69">
    <cfRule type="expression" priority="3" dxfId="0">
      <formula>AND(ISNUMBER(G7),ISNUMBER(F7),G7&lt;F7)</formula>
    </cfRule>
  </conditionalFormatting>
  <conditionalFormatting sqref="I7:I69">
    <cfRule type="expression" priority="4" dxfId="1">
      <formula>AND(ISNUMBER(I7),ISNUMBER($C7),I7&lt;=$C7)</formula>
    </cfRule>
  </conditionalFormatting>
  <conditionalFormatting sqref="K7:K69">
    <cfRule type="expression" priority="5" dxfId="0">
      <formula>AND(ISNUMBER(K7),ISNUMBER(J7),K7&lt;J7)</formula>
    </cfRule>
  </conditionalFormatting>
  <conditionalFormatting sqref="M7:M69">
    <cfRule type="expression" priority="6" dxfId="1">
      <formula>AND(ISNUMBER(M7),ISNUMBER($C7),M7&lt;=$C7)</formula>
    </cfRule>
  </conditionalFormatting>
  <conditionalFormatting sqref="O7:O69">
    <cfRule type="expression" priority="7" dxfId="0">
      <formula>AND(ISNUMBER(O7),ISNUMBER(N7),O7&lt;N7)</formula>
    </cfRule>
  </conditionalFormatting>
  <conditionalFormatting sqref="Q7:Q69">
    <cfRule type="expression" priority="8" dxfId="1">
      <formula>AND(ISNUMBER(Q7),ISNUMBER($C7),Q7&lt;=$C7)</formula>
    </cfRule>
  </conditionalFormatting>
  <conditionalFormatting sqref="S7:S69">
    <cfRule type="expression" priority="9" dxfId="0">
      <formula>AND(ISNUMBER(S7),ISNUMBER(R7),S7&lt;R7)</formula>
    </cfRule>
  </conditionalFormatting>
  <dataValidations count="4">
    <dataValidation sqref="E7:G69" showDropDown="0" showInputMessage="0" showErrorMessage="1" allowBlank="1" errorTitle="Valeur invalide" error="Entre un nombre positif (ou laisse vide)." type="decimal" operator="greaterThanOrEqual">
      <formula1>0</formula1>
    </dataValidation>
    <dataValidation sqref="I7:K69" showDropDown="0" showInputMessage="0" showErrorMessage="1" allowBlank="1" errorTitle="Valeur invalide" error="Entre un nombre positif (ou laisse vide)." type="decimal" operator="greaterThanOrEqual">
      <formula1>0</formula1>
    </dataValidation>
    <dataValidation sqref="M7:O69" showDropDown="0" showInputMessage="0" showErrorMessage="1" allowBlank="1" errorTitle="Valeur invalide" error="Entre un nombre positif (ou laisse vide)." type="decimal" operator="greaterThanOrEqual">
      <formula1>0</formula1>
    </dataValidation>
    <dataValidation sqref="Q7:S69"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X71"/>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24" customWidth="1" min="1" max="1"/>
    <col width="7" customWidth="1" min="2" max="2"/>
    <col width="7" customWidth="1" min="3" max="3"/>
    <col width="11" customWidth="1" min="4" max="4"/>
    <col width="10.5" customWidth="1" min="5" max="5"/>
    <col width="10.5" customWidth="1" min="6" max="6"/>
    <col width="10.5" customWidth="1" min="7" max="7"/>
    <col width="11" customWidth="1" min="8" max="8"/>
    <col width="10.5" customWidth="1" min="9" max="9"/>
    <col width="10.5" customWidth="1" min="10" max="10"/>
    <col width="10.5" customWidth="1" min="11" max="11"/>
    <col width="11" customWidth="1" min="12" max="12"/>
    <col width="10.5" customWidth="1" min="13" max="13"/>
    <col width="10.5" customWidth="1" min="14" max="14"/>
    <col width="10.5" customWidth="1" min="15" max="15"/>
    <col width="11" customWidth="1" min="16" max="16"/>
    <col width="10.5" customWidth="1" min="17" max="17"/>
    <col width="10.5" customWidth="1" min="18" max="18"/>
    <col width="10.5" customWidth="1" min="19" max="19"/>
    <col width="11" customWidth="1" min="20" max="20"/>
    <col width="11" customWidth="1" min="21" max="21"/>
    <col width="11" customWidth="1" min="22" max="22"/>
    <col width="11" customWidth="1" min="23" max="23"/>
    <col width="12" customWidth="1" min="24" max="24"/>
  </cols>
  <sheetData>
    <row r="1" ht="26" customHeight="1">
      <c r="A1" s="1" t="inlineStr">
        <is>
          <t>Décembre 2026</t>
        </is>
      </c>
    </row>
    <row r="2">
      <c r="A2" s="2" t="inlineStr">
        <is>
          <t>Date cmd = jour où tu passes la commande · Stock = ce qu'il reste · Commandé · Reçu = ce qui est arrivé</t>
        </is>
      </c>
    </row>
    <row r="4">
      <c r="A4" s="15" t="inlineStr">
        <is>
          <t>Produit</t>
        </is>
      </c>
      <c r="B4" s="15" t="inlineStr">
        <is>
          <t>Unité</t>
        </is>
      </c>
      <c r="C4" s="15" t="inlineStr">
        <is>
          <t>Mini</t>
        </is>
      </c>
      <c r="D4" s="15" t="inlineStr">
        <is>
          <t>Semaine 1</t>
        </is>
      </c>
      <c r="E4" s="19" t="n"/>
      <c r="F4" s="19" t="n"/>
      <c r="G4" s="19" t="n"/>
      <c r="H4" s="15" t="inlineStr">
        <is>
          <t>Semaine 2</t>
        </is>
      </c>
      <c r="I4" s="19" t="n"/>
      <c r="J4" s="19" t="n"/>
      <c r="K4" s="19" t="n"/>
      <c r="L4" s="15" t="inlineStr">
        <is>
          <t>Semaine 3</t>
        </is>
      </c>
      <c r="M4" s="19" t="n"/>
      <c r="N4" s="19" t="n"/>
      <c r="O4" s="19" t="n"/>
      <c r="P4" s="15" t="inlineStr">
        <is>
          <t>Semaine 4</t>
        </is>
      </c>
      <c r="Q4" s="19" t="n"/>
      <c r="R4" s="19" t="n"/>
      <c r="S4" s="19" t="n"/>
      <c r="T4" s="15" t="inlineStr">
        <is>
          <t>Total du mois</t>
        </is>
      </c>
      <c r="U4" s="19" t="n"/>
      <c r="V4" s="19" t="n"/>
      <c r="W4" s="19" t="n"/>
      <c r="X4" s="15" t="inlineStr">
        <is>
          <t>Dépense (€)</t>
        </is>
      </c>
    </row>
    <row r="5">
      <c r="A5" s="19" t="n"/>
      <c r="B5" s="19" t="n"/>
      <c r="C5" s="19" t="n"/>
      <c r="D5" s="8" t="inlineStr">
        <is>
          <t>Date cmd</t>
        </is>
      </c>
      <c r="E5" s="8" t="inlineStr">
        <is>
          <t>Stock</t>
        </is>
      </c>
      <c r="F5" s="8" t="inlineStr">
        <is>
          <t>Commandé</t>
        </is>
      </c>
      <c r="G5" s="8" t="inlineStr">
        <is>
          <t>Reçu</t>
        </is>
      </c>
      <c r="H5" s="8" t="inlineStr">
        <is>
          <t>Date cmd</t>
        </is>
      </c>
      <c r="I5" s="8" t="inlineStr">
        <is>
          <t>Stock</t>
        </is>
      </c>
      <c r="J5" s="8" t="inlineStr">
        <is>
          <t>Commandé</t>
        </is>
      </c>
      <c r="K5" s="8" t="inlineStr">
        <is>
          <t>Reçu</t>
        </is>
      </c>
      <c r="L5" s="8" t="inlineStr">
        <is>
          <t>Date cmd</t>
        </is>
      </c>
      <c r="M5" s="8" t="inlineStr">
        <is>
          <t>Stock</t>
        </is>
      </c>
      <c r="N5" s="8" t="inlineStr">
        <is>
          <t>Commandé</t>
        </is>
      </c>
      <c r="O5" s="8" t="inlineStr">
        <is>
          <t>Reçu</t>
        </is>
      </c>
      <c r="P5" s="8" t="inlineStr">
        <is>
          <t>Date cmd</t>
        </is>
      </c>
      <c r="Q5" s="8" t="inlineStr">
        <is>
          <t>Stock</t>
        </is>
      </c>
      <c r="R5" s="8" t="inlineStr">
        <is>
          <t>Commandé</t>
        </is>
      </c>
      <c r="S5" s="8" t="inlineStr">
        <is>
          <t>Reçu</t>
        </is>
      </c>
      <c r="T5" s="8" t="inlineStr">
        <is>
          <t>Commandé</t>
        </is>
      </c>
      <c r="U5" s="8" t="inlineStr">
        <is>
          <t>Reçu</t>
        </is>
      </c>
      <c r="V5" s="8" t="inlineStr">
        <is>
          <t>Écart</t>
        </is>
      </c>
      <c r="W5" s="8" t="inlineStr">
        <is>
          <t>Dernier stock</t>
        </is>
      </c>
      <c r="X5" s="19" t="n"/>
    </row>
    <row r="6" ht="20" customHeight="1">
      <c r="A6" s="23" t="inlineStr">
        <is>
          <t>RÉSERVE SÈCHE</t>
        </is>
      </c>
      <c r="B6" s="10" t="n"/>
      <c r="C6" s="10" t="n"/>
      <c r="D6" s="10" t="n"/>
      <c r="E6" s="10" t="n"/>
      <c r="F6" s="10" t="n"/>
      <c r="G6" s="10" t="n"/>
      <c r="H6" s="10" t="n"/>
      <c r="I6" s="10" t="n"/>
      <c r="J6" s="10" t="n"/>
      <c r="K6" s="10" t="n"/>
      <c r="L6" s="10" t="n"/>
      <c r="M6" s="10" t="n"/>
      <c r="N6" s="10" t="n"/>
      <c r="O6" s="10" t="n"/>
      <c r="P6" s="10" t="n"/>
      <c r="Q6" s="10" t="n"/>
      <c r="R6" s="10" t="n"/>
      <c r="S6" s="10" t="n"/>
      <c r="T6" s="10" t="n"/>
      <c r="U6" s="10" t="n"/>
      <c r="V6" s="10" t="n"/>
      <c r="W6" s="10" t="n"/>
      <c r="X6" s="10" t="n"/>
    </row>
    <row r="7">
      <c r="A7" s="33">
        <f>IF(Produits!$A$6="","",Produits!$A$6)</f>
        <v/>
      </c>
      <c r="B7" s="34">
        <f>IF(Produits!$A$6="","",Produits!$C$6)</f>
        <v/>
      </c>
      <c r="C7" s="34">
        <f>IF(Produits!$A$6="","",Produits!$D$6)</f>
        <v/>
      </c>
      <c r="D7" s="32" t="n"/>
      <c r="E7" s="29" t="n"/>
      <c r="F7" s="29" t="n"/>
      <c r="G7" s="29" t="n"/>
      <c r="H7" s="32" t="n"/>
      <c r="I7" s="29" t="n"/>
      <c r="J7" s="29" t="n"/>
      <c r="K7" s="29" t="n"/>
      <c r="L7" s="32" t="n"/>
      <c r="M7" s="29" t="n"/>
      <c r="N7" s="29" t="n"/>
      <c r="O7" s="29" t="n"/>
      <c r="P7" s="32" t="n"/>
      <c r="Q7" s="29" t="n"/>
      <c r="R7" s="29" t="n"/>
      <c r="S7" s="29" t="n"/>
      <c r="T7" s="22">
        <f>IF(COUNT(F7,J7,N7,R7)=0,"",SUM(F7,J7,N7,R7))</f>
        <v/>
      </c>
      <c r="U7" s="22">
        <f>IF(COUNT(G7,K7,O7,S7)=0,"",SUM(G7,K7,O7,S7))</f>
        <v/>
      </c>
      <c r="V7" s="22">
        <f>IF(OR(T7="",U7=""),"",U7-T7)</f>
        <v/>
      </c>
      <c r="W7" s="22">
        <f>IF(Q7&lt;&gt;"",Q7,IF(M7&lt;&gt;"",M7,IF(I7&lt;&gt;"",I7,IF(E7&lt;&gt;"",E7,""))))</f>
        <v/>
      </c>
      <c r="X7" s="18">
        <f>IF(U7="","",U7*N(Produits!$E$6))</f>
        <v/>
      </c>
    </row>
    <row r="8">
      <c r="A8" s="33">
        <f>IF(Produits!$A$7="","",Produits!$A$7)</f>
        <v/>
      </c>
      <c r="B8" s="34">
        <f>IF(Produits!$A$7="","",Produits!$C$7)</f>
        <v/>
      </c>
      <c r="C8" s="34">
        <f>IF(Produits!$A$7="","",Produits!$D$7)</f>
        <v/>
      </c>
      <c r="D8" s="32" t="n"/>
      <c r="E8" s="29" t="n"/>
      <c r="F8" s="29" t="n"/>
      <c r="G8" s="29" t="n"/>
      <c r="H8" s="32" t="n"/>
      <c r="I8" s="29" t="n"/>
      <c r="J8" s="29" t="n"/>
      <c r="K8" s="29" t="n"/>
      <c r="L8" s="32" t="n"/>
      <c r="M8" s="29" t="n"/>
      <c r="N8" s="29" t="n"/>
      <c r="O8" s="29" t="n"/>
      <c r="P8" s="32" t="n"/>
      <c r="Q8" s="29" t="n"/>
      <c r="R8" s="29" t="n"/>
      <c r="S8" s="29" t="n"/>
      <c r="T8" s="22">
        <f>IF(COUNT(F8,J8,N8,R8)=0,"",SUM(F8,J8,N8,R8))</f>
        <v/>
      </c>
      <c r="U8" s="22">
        <f>IF(COUNT(G8,K8,O8,S8)=0,"",SUM(G8,K8,O8,S8))</f>
        <v/>
      </c>
      <c r="V8" s="22">
        <f>IF(OR(T8="",U8=""),"",U8-T8)</f>
        <v/>
      </c>
      <c r="W8" s="22">
        <f>IF(Q8&lt;&gt;"",Q8,IF(M8&lt;&gt;"",M8,IF(I8&lt;&gt;"",I8,IF(E8&lt;&gt;"",E8,""))))</f>
        <v/>
      </c>
      <c r="X8" s="18">
        <f>IF(U8="","",U8*N(Produits!$E$7))</f>
        <v/>
      </c>
    </row>
    <row r="9">
      <c r="A9" s="33">
        <f>IF(Produits!$A$8="","",Produits!$A$8)</f>
        <v/>
      </c>
      <c r="B9" s="34">
        <f>IF(Produits!$A$8="","",Produits!$C$8)</f>
        <v/>
      </c>
      <c r="C9" s="34">
        <f>IF(Produits!$A$8="","",Produits!$D$8)</f>
        <v/>
      </c>
      <c r="D9" s="32" t="n"/>
      <c r="E9" s="29" t="n"/>
      <c r="F9" s="29" t="n"/>
      <c r="G9" s="29" t="n"/>
      <c r="H9" s="32" t="n"/>
      <c r="I9" s="29" t="n"/>
      <c r="J9" s="29" t="n"/>
      <c r="K9" s="29" t="n"/>
      <c r="L9" s="32" t="n"/>
      <c r="M9" s="29" t="n"/>
      <c r="N9" s="29" t="n"/>
      <c r="O9" s="29" t="n"/>
      <c r="P9" s="32" t="n"/>
      <c r="Q9" s="29" t="n"/>
      <c r="R9" s="29" t="n"/>
      <c r="S9" s="29" t="n"/>
      <c r="T9" s="22">
        <f>IF(COUNT(F9,J9,N9,R9)=0,"",SUM(F9,J9,N9,R9))</f>
        <v/>
      </c>
      <c r="U9" s="22">
        <f>IF(COUNT(G9,K9,O9,S9)=0,"",SUM(G9,K9,O9,S9))</f>
        <v/>
      </c>
      <c r="V9" s="22">
        <f>IF(OR(T9="",U9=""),"",U9-T9)</f>
        <v/>
      </c>
      <c r="W9" s="22">
        <f>IF(Q9&lt;&gt;"",Q9,IF(M9&lt;&gt;"",M9,IF(I9&lt;&gt;"",I9,IF(E9&lt;&gt;"",E9,""))))</f>
        <v/>
      </c>
      <c r="X9" s="18">
        <f>IF(U9="","",U9*N(Produits!$E$8))</f>
        <v/>
      </c>
    </row>
    <row r="10">
      <c r="A10" s="33">
        <f>IF(Produits!$A$9="","",Produits!$A$9)</f>
        <v/>
      </c>
      <c r="B10" s="34">
        <f>IF(Produits!$A$9="","",Produits!$C$9)</f>
        <v/>
      </c>
      <c r="C10" s="34">
        <f>IF(Produits!$A$9="","",Produits!$D$9)</f>
        <v/>
      </c>
      <c r="D10" s="32" t="n"/>
      <c r="E10" s="29" t="n"/>
      <c r="F10" s="29" t="n"/>
      <c r="G10" s="29" t="n"/>
      <c r="H10" s="32" t="n"/>
      <c r="I10" s="29" t="n"/>
      <c r="J10" s="29" t="n"/>
      <c r="K10" s="29" t="n"/>
      <c r="L10" s="32" t="n"/>
      <c r="M10" s="29" t="n"/>
      <c r="N10" s="29" t="n"/>
      <c r="O10" s="29" t="n"/>
      <c r="P10" s="32" t="n"/>
      <c r="Q10" s="29" t="n"/>
      <c r="R10" s="29" t="n"/>
      <c r="S10" s="29" t="n"/>
      <c r="T10" s="22">
        <f>IF(COUNT(F10,J10,N10,R10)=0,"",SUM(F10,J10,N10,R10))</f>
        <v/>
      </c>
      <c r="U10" s="22">
        <f>IF(COUNT(G10,K10,O10,S10)=0,"",SUM(G10,K10,O10,S10))</f>
        <v/>
      </c>
      <c r="V10" s="22">
        <f>IF(OR(T10="",U10=""),"",U10-T10)</f>
        <v/>
      </c>
      <c r="W10" s="22">
        <f>IF(Q10&lt;&gt;"",Q10,IF(M10&lt;&gt;"",M10,IF(I10&lt;&gt;"",I10,IF(E10&lt;&gt;"",E10,""))))</f>
        <v/>
      </c>
      <c r="X10" s="18">
        <f>IF(U10="","",U10*N(Produits!$E$9))</f>
        <v/>
      </c>
    </row>
    <row r="11">
      <c r="A11" s="33">
        <f>IF(Produits!$A$10="","",Produits!$A$10)</f>
        <v/>
      </c>
      <c r="B11" s="34">
        <f>IF(Produits!$A$10="","",Produits!$C$10)</f>
        <v/>
      </c>
      <c r="C11" s="34">
        <f>IF(Produits!$A$10="","",Produits!$D$10)</f>
        <v/>
      </c>
      <c r="D11" s="32" t="n"/>
      <c r="E11" s="29" t="n"/>
      <c r="F11" s="29" t="n"/>
      <c r="G11" s="29" t="n"/>
      <c r="H11" s="32" t="n"/>
      <c r="I11" s="29" t="n"/>
      <c r="J11" s="29" t="n"/>
      <c r="K11" s="29" t="n"/>
      <c r="L11" s="32" t="n"/>
      <c r="M11" s="29" t="n"/>
      <c r="N11" s="29" t="n"/>
      <c r="O11" s="29" t="n"/>
      <c r="P11" s="32" t="n"/>
      <c r="Q11" s="29" t="n"/>
      <c r="R11" s="29" t="n"/>
      <c r="S11" s="29" t="n"/>
      <c r="T11" s="22">
        <f>IF(COUNT(F11,J11,N11,R11)=0,"",SUM(F11,J11,N11,R11))</f>
        <v/>
      </c>
      <c r="U11" s="22">
        <f>IF(COUNT(G11,K11,O11,S11)=0,"",SUM(G11,K11,O11,S11))</f>
        <v/>
      </c>
      <c r="V11" s="22">
        <f>IF(OR(T11="",U11=""),"",U11-T11)</f>
        <v/>
      </c>
      <c r="W11" s="22">
        <f>IF(Q11&lt;&gt;"",Q11,IF(M11&lt;&gt;"",M11,IF(I11&lt;&gt;"",I11,IF(E11&lt;&gt;"",E11,""))))</f>
        <v/>
      </c>
      <c r="X11" s="18">
        <f>IF(U11="","",U11*N(Produits!$E$10))</f>
        <v/>
      </c>
    </row>
    <row r="12">
      <c r="A12" s="33">
        <f>IF(Produits!$A$11="","",Produits!$A$11)</f>
        <v/>
      </c>
      <c r="B12" s="34">
        <f>IF(Produits!$A$11="","",Produits!$C$11)</f>
        <v/>
      </c>
      <c r="C12" s="34">
        <f>IF(Produits!$A$11="","",Produits!$D$11)</f>
        <v/>
      </c>
      <c r="D12" s="32" t="n"/>
      <c r="E12" s="29" t="n"/>
      <c r="F12" s="29" t="n"/>
      <c r="G12" s="29" t="n"/>
      <c r="H12" s="32" t="n"/>
      <c r="I12" s="29" t="n"/>
      <c r="J12" s="29" t="n"/>
      <c r="K12" s="29" t="n"/>
      <c r="L12" s="32" t="n"/>
      <c r="M12" s="29" t="n"/>
      <c r="N12" s="29" t="n"/>
      <c r="O12" s="29" t="n"/>
      <c r="P12" s="32" t="n"/>
      <c r="Q12" s="29" t="n"/>
      <c r="R12" s="29" t="n"/>
      <c r="S12" s="29" t="n"/>
      <c r="T12" s="22">
        <f>IF(COUNT(F12,J12,N12,R12)=0,"",SUM(F12,J12,N12,R12))</f>
        <v/>
      </c>
      <c r="U12" s="22">
        <f>IF(COUNT(G12,K12,O12,S12)=0,"",SUM(G12,K12,O12,S12))</f>
        <v/>
      </c>
      <c r="V12" s="22">
        <f>IF(OR(T12="",U12=""),"",U12-T12)</f>
        <v/>
      </c>
      <c r="W12" s="22">
        <f>IF(Q12&lt;&gt;"",Q12,IF(M12&lt;&gt;"",M12,IF(I12&lt;&gt;"",I12,IF(E12&lt;&gt;"",E12,""))))</f>
        <v/>
      </c>
      <c r="X12" s="18">
        <f>IF(U12="","",U12*N(Produits!$E$11))</f>
        <v/>
      </c>
    </row>
    <row r="13">
      <c r="A13" s="33">
        <f>IF(Produits!$A$12="","",Produits!$A$12)</f>
        <v/>
      </c>
      <c r="B13" s="34">
        <f>IF(Produits!$A$12="","",Produits!$C$12)</f>
        <v/>
      </c>
      <c r="C13" s="34">
        <f>IF(Produits!$A$12="","",Produits!$D$12)</f>
        <v/>
      </c>
      <c r="D13" s="32" t="n"/>
      <c r="E13" s="29" t="n"/>
      <c r="F13" s="29" t="n"/>
      <c r="G13" s="29" t="n"/>
      <c r="H13" s="32" t="n"/>
      <c r="I13" s="29" t="n"/>
      <c r="J13" s="29" t="n"/>
      <c r="K13" s="29" t="n"/>
      <c r="L13" s="32" t="n"/>
      <c r="M13" s="29" t="n"/>
      <c r="N13" s="29" t="n"/>
      <c r="O13" s="29" t="n"/>
      <c r="P13" s="32" t="n"/>
      <c r="Q13" s="29" t="n"/>
      <c r="R13" s="29" t="n"/>
      <c r="S13" s="29" t="n"/>
      <c r="T13" s="22">
        <f>IF(COUNT(F13,J13,N13,R13)=0,"",SUM(F13,J13,N13,R13))</f>
        <v/>
      </c>
      <c r="U13" s="22">
        <f>IF(COUNT(G13,K13,O13,S13)=0,"",SUM(G13,K13,O13,S13))</f>
        <v/>
      </c>
      <c r="V13" s="22">
        <f>IF(OR(T13="",U13=""),"",U13-T13)</f>
        <v/>
      </c>
      <c r="W13" s="22">
        <f>IF(Q13&lt;&gt;"",Q13,IF(M13&lt;&gt;"",M13,IF(I13&lt;&gt;"",I13,IF(E13&lt;&gt;"",E13,""))))</f>
        <v/>
      </c>
      <c r="X13" s="18">
        <f>IF(U13="","",U13*N(Produits!$E$12))</f>
        <v/>
      </c>
    </row>
    <row r="14">
      <c r="A14" s="33">
        <f>IF(Produits!$A$13="","",Produits!$A$13)</f>
        <v/>
      </c>
      <c r="B14" s="34">
        <f>IF(Produits!$A$13="","",Produits!$C$13)</f>
        <v/>
      </c>
      <c r="C14" s="34">
        <f>IF(Produits!$A$13="","",Produits!$D$13)</f>
        <v/>
      </c>
      <c r="D14" s="32" t="n"/>
      <c r="E14" s="29" t="n"/>
      <c r="F14" s="29" t="n"/>
      <c r="G14" s="29" t="n"/>
      <c r="H14" s="32" t="n"/>
      <c r="I14" s="29" t="n"/>
      <c r="J14" s="29" t="n"/>
      <c r="K14" s="29" t="n"/>
      <c r="L14" s="32" t="n"/>
      <c r="M14" s="29" t="n"/>
      <c r="N14" s="29" t="n"/>
      <c r="O14" s="29" t="n"/>
      <c r="P14" s="32" t="n"/>
      <c r="Q14" s="29" t="n"/>
      <c r="R14" s="29" t="n"/>
      <c r="S14" s="29" t="n"/>
      <c r="T14" s="22">
        <f>IF(COUNT(F14,J14,N14,R14)=0,"",SUM(F14,J14,N14,R14))</f>
        <v/>
      </c>
      <c r="U14" s="22">
        <f>IF(COUNT(G14,K14,O14,S14)=0,"",SUM(G14,K14,O14,S14))</f>
        <v/>
      </c>
      <c r="V14" s="22">
        <f>IF(OR(T14="",U14=""),"",U14-T14)</f>
        <v/>
      </c>
      <c r="W14" s="22">
        <f>IF(Q14&lt;&gt;"",Q14,IF(M14&lt;&gt;"",M14,IF(I14&lt;&gt;"",I14,IF(E14&lt;&gt;"",E14,""))))</f>
        <v/>
      </c>
      <c r="X14" s="18">
        <f>IF(U14="","",U14*N(Produits!$E$13))</f>
        <v/>
      </c>
    </row>
    <row r="15">
      <c r="A15" s="33">
        <f>IF(Produits!$A$14="","",Produits!$A$14)</f>
        <v/>
      </c>
      <c r="B15" s="34">
        <f>IF(Produits!$A$14="","",Produits!$C$14)</f>
        <v/>
      </c>
      <c r="C15" s="34">
        <f>IF(Produits!$A$14="","",Produits!$D$14)</f>
        <v/>
      </c>
      <c r="D15" s="32" t="n"/>
      <c r="E15" s="29" t="n"/>
      <c r="F15" s="29" t="n"/>
      <c r="G15" s="29" t="n"/>
      <c r="H15" s="32" t="n"/>
      <c r="I15" s="29" t="n"/>
      <c r="J15" s="29" t="n"/>
      <c r="K15" s="29" t="n"/>
      <c r="L15" s="32" t="n"/>
      <c r="M15" s="29" t="n"/>
      <c r="N15" s="29" t="n"/>
      <c r="O15" s="29" t="n"/>
      <c r="P15" s="32" t="n"/>
      <c r="Q15" s="29" t="n"/>
      <c r="R15" s="29" t="n"/>
      <c r="S15" s="29" t="n"/>
      <c r="T15" s="22">
        <f>IF(COUNT(F15,J15,N15,R15)=0,"",SUM(F15,J15,N15,R15))</f>
        <v/>
      </c>
      <c r="U15" s="22">
        <f>IF(COUNT(G15,K15,O15,S15)=0,"",SUM(G15,K15,O15,S15))</f>
        <v/>
      </c>
      <c r="V15" s="22">
        <f>IF(OR(T15="",U15=""),"",U15-T15)</f>
        <v/>
      </c>
      <c r="W15" s="22">
        <f>IF(Q15&lt;&gt;"",Q15,IF(M15&lt;&gt;"",M15,IF(I15&lt;&gt;"",I15,IF(E15&lt;&gt;"",E15,""))))</f>
        <v/>
      </c>
      <c r="X15" s="18">
        <f>IF(U15="","",U15*N(Produits!$E$14))</f>
        <v/>
      </c>
    </row>
    <row r="16">
      <c r="A16" s="33">
        <f>IF(Produits!$A$15="","",Produits!$A$15)</f>
        <v/>
      </c>
      <c r="B16" s="34">
        <f>IF(Produits!$A$15="","",Produits!$C$15)</f>
        <v/>
      </c>
      <c r="C16" s="34">
        <f>IF(Produits!$A$15="","",Produits!$D$15)</f>
        <v/>
      </c>
      <c r="D16" s="32" t="n"/>
      <c r="E16" s="29" t="n"/>
      <c r="F16" s="29" t="n"/>
      <c r="G16" s="29" t="n"/>
      <c r="H16" s="32" t="n"/>
      <c r="I16" s="29" t="n"/>
      <c r="J16" s="29" t="n"/>
      <c r="K16" s="29" t="n"/>
      <c r="L16" s="32" t="n"/>
      <c r="M16" s="29" t="n"/>
      <c r="N16" s="29" t="n"/>
      <c r="O16" s="29" t="n"/>
      <c r="P16" s="32" t="n"/>
      <c r="Q16" s="29" t="n"/>
      <c r="R16" s="29" t="n"/>
      <c r="S16" s="29" t="n"/>
      <c r="T16" s="22">
        <f>IF(COUNT(F16,J16,N16,R16)=0,"",SUM(F16,J16,N16,R16))</f>
        <v/>
      </c>
      <c r="U16" s="22">
        <f>IF(COUNT(G16,K16,O16,S16)=0,"",SUM(G16,K16,O16,S16))</f>
        <v/>
      </c>
      <c r="V16" s="22">
        <f>IF(OR(T16="",U16=""),"",U16-T16)</f>
        <v/>
      </c>
      <c r="W16" s="22">
        <f>IF(Q16&lt;&gt;"",Q16,IF(M16&lt;&gt;"",M16,IF(I16&lt;&gt;"",I16,IF(E16&lt;&gt;"",E16,""))))</f>
        <v/>
      </c>
      <c r="X16" s="18">
        <f>IF(U16="","",U16*N(Produits!$E$15))</f>
        <v/>
      </c>
    </row>
    <row r="17">
      <c r="A17" s="33">
        <f>IF(Produits!$A$16="","",Produits!$A$16)</f>
        <v/>
      </c>
      <c r="B17" s="34">
        <f>IF(Produits!$A$16="","",Produits!$C$16)</f>
        <v/>
      </c>
      <c r="C17" s="34">
        <f>IF(Produits!$A$16="","",Produits!$D$16)</f>
        <v/>
      </c>
      <c r="D17" s="32" t="n"/>
      <c r="E17" s="29" t="n"/>
      <c r="F17" s="29" t="n"/>
      <c r="G17" s="29" t="n"/>
      <c r="H17" s="32" t="n"/>
      <c r="I17" s="29" t="n"/>
      <c r="J17" s="29" t="n"/>
      <c r="K17" s="29" t="n"/>
      <c r="L17" s="32" t="n"/>
      <c r="M17" s="29" t="n"/>
      <c r="N17" s="29" t="n"/>
      <c r="O17" s="29" t="n"/>
      <c r="P17" s="32" t="n"/>
      <c r="Q17" s="29" t="n"/>
      <c r="R17" s="29" t="n"/>
      <c r="S17" s="29" t="n"/>
      <c r="T17" s="22">
        <f>IF(COUNT(F17,J17,N17,R17)=0,"",SUM(F17,J17,N17,R17))</f>
        <v/>
      </c>
      <c r="U17" s="22">
        <f>IF(COUNT(G17,K17,O17,S17)=0,"",SUM(G17,K17,O17,S17))</f>
        <v/>
      </c>
      <c r="V17" s="22">
        <f>IF(OR(T17="",U17=""),"",U17-T17)</f>
        <v/>
      </c>
      <c r="W17" s="22">
        <f>IF(Q17&lt;&gt;"",Q17,IF(M17&lt;&gt;"",M17,IF(I17&lt;&gt;"",I17,IF(E17&lt;&gt;"",E17,""))))</f>
        <v/>
      </c>
      <c r="X17" s="18">
        <f>IF(U17="","",U17*N(Produits!$E$16))</f>
        <v/>
      </c>
    </row>
    <row r="18">
      <c r="A18" s="33">
        <f>IF(Produits!$A$17="","",Produits!$A$17)</f>
        <v/>
      </c>
      <c r="B18" s="34">
        <f>IF(Produits!$A$17="","",Produits!$C$17)</f>
        <v/>
      </c>
      <c r="C18" s="34">
        <f>IF(Produits!$A$17="","",Produits!$D$17)</f>
        <v/>
      </c>
      <c r="D18" s="32" t="n"/>
      <c r="E18" s="29" t="n"/>
      <c r="F18" s="29" t="n"/>
      <c r="G18" s="29" t="n"/>
      <c r="H18" s="32" t="n"/>
      <c r="I18" s="29" t="n"/>
      <c r="J18" s="29" t="n"/>
      <c r="K18" s="29" t="n"/>
      <c r="L18" s="32" t="n"/>
      <c r="M18" s="29" t="n"/>
      <c r="N18" s="29" t="n"/>
      <c r="O18" s="29" t="n"/>
      <c r="P18" s="32" t="n"/>
      <c r="Q18" s="29" t="n"/>
      <c r="R18" s="29" t="n"/>
      <c r="S18" s="29" t="n"/>
      <c r="T18" s="22">
        <f>IF(COUNT(F18,J18,N18,R18)=0,"",SUM(F18,J18,N18,R18))</f>
        <v/>
      </c>
      <c r="U18" s="22">
        <f>IF(COUNT(G18,K18,O18,S18)=0,"",SUM(G18,K18,O18,S18))</f>
        <v/>
      </c>
      <c r="V18" s="22">
        <f>IF(OR(T18="",U18=""),"",U18-T18)</f>
        <v/>
      </c>
      <c r="W18" s="22">
        <f>IF(Q18&lt;&gt;"",Q18,IF(M18&lt;&gt;"",M18,IF(I18&lt;&gt;"",I18,IF(E18&lt;&gt;"",E18,""))))</f>
        <v/>
      </c>
      <c r="X18" s="18">
        <f>IF(U18="","",U18*N(Produits!$E$17))</f>
        <v/>
      </c>
    </row>
    <row r="19">
      <c r="A19" s="33">
        <f>IF(Produits!$A$18="","",Produits!$A$18)</f>
        <v/>
      </c>
      <c r="B19" s="34">
        <f>IF(Produits!$A$18="","",Produits!$C$18)</f>
        <v/>
      </c>
      <c r="C19" s="34">
        <f>IF(Produits!$A$18="","",Produits!$D$18)</f>
        <v/>
      </c>
      <c r="D19" s="32" t="n"/>
      <c r="E19" s="29" t="n"/>
      <c r="F19" s="29" t="n"/>
      <c r="G19" s="29" t="n"/>
      <c r="H19" s="32" t="n"/>
      <c r="I19" s="29" t="n"/>
      <c r="J19" s="29" t="n"/>
      <c r="K19" s="29" t="n"/>
      <c r="L19" s="32" t="n"/>
      <c r="M19" s="29" t="n"/>
      <c r="N19" s="29" t="n"/>
      <c r="O19" s="29" t="n"/>
      <c r="P19" s="32" t="n"/>
      <c r="Q19" s="29" t="n"/>
      <c r="R19" s="29" t="n"/>
      <c r="S19" s="29" t="n"/>
      <c r="T19" s="22">
        <f>IF(COUNT(F19,J19,N19,R19)=0,"",SUM(F19,J19,N19,R19))</f>
        <v/>
      </c>
      <c r="U19" s="22">
        <f>IF(COUNT(G19,K19,O19,S19)=0,"",SUM(G19,K19,O19,S19))</f>
        <v/>
      </c>
      <c r="V19" s="22">
        <f>IF(OR(T19="",U19=""),"",U19-T19)</f>
        <v/>
      </c>
      <c r="W19" s="22">
        <f>IF(Q19&lt;&gt;"",Q19,IF(M19&lt;&gt;"",M19,IF(I19&lt;&gt;"",I19,IF(E19&lt;&gt;"",E19,""))))</f>
        <v/>
      </c>
      <c r="X19" s="18">
        <f>IF(U19="","",U19*N(Produits!$E$18))</f>
        <v/>
      </c>
    </row>
    <row r="20">
      <c r="A20" s="33">
        <f>IF(Produits!$A$19="","",Produits!$A$19)</f>
        <v/>
      </c>
      <c r="B20" s="34">
        <f>IF(Produits!$A$19="","",Produits!$C$19)</f>
        <v/>
      </c>
      <c r="C20" s="34">
        <f>IF(Produits!$A$19="","",Produits!$D$19)</f>
        <v/>
      </c>
      <c r="D20" s="32" t="n"/>
      <c r="E20" s="29" t="n"/>
      <c r="F20" s="29" t="n"/>
      <c r="G20" s="29" t="n"/>
      <c r="H20" s="32" t="n"/>
      <c r="I20" s="29" t="n"/>
      <c r="J20" s="29" t="n"/>
      <c r="K20" s="29" t="n"/>
      <c r="L20" s="32" t="n"/>
      <c r="M20" s="29" t="n"/>
      <c r="N20" s="29" t="n"/>
      <c r="O20" s="29" t="n"/>
      <c r="P20" s="32" t="n"/>
      <c r="Q20" s="29" t="n"/>
      <c r="R20" s="29" t="n"/>
      <c r="S20" s="29" t="n"/>
      <c r="T20" s="22">
        <f>IF(COUNT(F20,J20,N20,R20)=0,"",SUM(F20,J20,N20,R20))</f>
        <v/>
      </c>
      <c r="U20" s="22">
        <f>IF(COUNT(G20,K20,O20,S20)=0,"",SUM(G20,K20,O20,S20))</f>
        <v/>
      </c>
      <c r="V20" s="22">
        <f>IF(OR(T20="",U20=""),"",U20-T20)</f>
        <v/>
      </c>
      <c r="W20" s="22">
        <f>IF(Q20&lt;&gt;"",Q20,IF(M20&lt;&gt;"",M20,IF(I20&lt;&gt;"",I20,IF(E20&lt;&gt;"",E20,""))))</f>
        <v/>
      </c>
      <c r="X20" s="18">
        <f>IF(U20="","",U20*N(Produits!$E$19))</f>
        <v/>
      </c>
    </row>
    <row r="21">
      <c r="A21" s="33">
        <f>IF(Produits!$A$20="","",Produits!$A$20)</f>
        <v/>
      </c>
      <c r="B21" s="34">
        <f>IF(Produits!$A$20="","",Produits!$C$20)</f>
        <v/>
      </c>
      <c r="C21" s="34">
        <f>IF(Produits!$A$20="","",Produits!$D$20)</f>
        <v/>
      </c>
      <c r="D21" s="32" t="n"/>
      <c r="E21" s="29" t="n"/>
      <c r="F21" s="29" t="n"/>
      <c r="G21" s="29" t="n"/>
      <c r="H21" s="32" t="n"/>
      <c r="I21" s="29" t="n"/>
      <c r="J21" s="29" t="n"/>
      <c r="K21" s="29" t="n"/>
      <c r="L21" s="32" t="n"/>
      <c r="M21" s="29" t="n"/>
      <c r="N21" s="29" t="n"/>
      <c r="O21" s="29" t="n"/>
      <c r="P21" s="32" t="n"/>
      <c r="Q21" s="29" t="n"/>
      <c r="R21" s="29" t="n"/>
      <c r="S21" s="29" t="n"/>
      <c r="T21" s="22">
        <f>IF(COUNT(F21,J21,N21,R21)=0,"",SUM(F21,J21,N21,R21))</f>
        <v/>
      </c>
      <c r="U21" s="22">
        <f>IF(COUNT(G21,K21,O21,S21)=0,"",SUM(G21,K21,O21,S21))</f>
        <v/>
      </c>
      <c r="V21" s="22">
        <f>IF(OR(T21="",U21=""),"",U21-T21)</f>
        <v/>
      </c>
      <c r="W21" s="22">
        <f>IF(Q21&lt;&gt;"",Q21,IF(M21&lt;&gt;"",M21,IF(I21&lt;&gt;"",I21,IF(E21&lt;&gt;"",E21,""))))</f>
        <v/>
      </c>
      <c r="X21" s="18">
        <f>IF(U21="","",U21*N(Produits!$E$20))</f>
        <v/>
      </c>
    </row>
    <row r="22" ht="20" customHeight="1">
      <c r="A22" s="23" t="inlineStr">
        <is>
          <t>CHAMBRE FROIDE POSITIVE</t>
        </is>
      </c>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row>
    <row r="23">
      <c r="A23" s="33">
        <f>IF(Produits!$A$22="","",Produits!$A$22)</f>
        <v/>
      </c>
      <c r="B23" s="34">
        <f>IF(Produits!$A$22="","",Produits!$C$22)</f>
        <v/>
      </c>
      <c r="C23" s="34">
        <f>IF(Produits!$A$22="","",Produits!$D$22)</f>
        <v/>
      </c>
      <c r="D23" s="32" t="n"/>
      <c r="E23" s="29" t="n"/>
      <c r="F23" s="29" t="n"/>
      <c r="G23" s="29" t="n"/>
      <c r="H23" s="32" t="n"/>
      <c r="I23" s="29" t="n"/>
      <c r="J23" s="29" t="n"/>
      <c r="K23" s="29" t="n"/>
      <c r="L23" s="32" t="n"/>
      <c r="M23" s="29" t="n"/>
      <c r="N23" s="29" t="n"/>
      <c r="O23" s="29" t="n"/>
      <c r="P23" s="32" t="n"/>
      <c r="Q23" s="29" t="n"/>
      <c r="R23" s="29" t="n"/>
      <c r="S23" s="29" t="n"/>
      <c r="T23" s="22">
        <f>IF(COUNT(F23,J23,N23,R23)=0,"",SUM(F23,J23,N23,R23))</f>
        <v/>
      </c>
      <c r="U23" s="22">
        <f>IF(COUNT(G23,K23,O23,S23)=0,"",SUM(G23,K23,O23,S23))</f>
        <v/>
      </c>
      <c r="V23" s="22">
        <f>IF(OR(T23="",U23=""),"",U23-T23)</f>
        <v/>
      </c>
      <c r="W23" s="22">
        <f>IF(Q23&lt;&gt;"",Q23,IF(M23&lt;&gt;"",M23,IF(I23&lt;&gt;"",I23,IF(E23&lt;&gt;"",E23,""))))</f>
        <v/>
      </c>
      <c r="X23" s="18">
        <f>IF(U23="","",U23*N(Produits!$E$22))</f>
        <v/>
      </c>
    </row>
    <row r="24">
      <c r="A24" s="33">
        <f>IF(Produits!$A$23="","",Produits!$A$23)</f>
        <v/>
      </c>
      <c r="B24" s="34">
        <f>IF(Produits!$A$23="","",Produits!$C$23)</f>
        <v/>
      </c>
      <c r="C24" s="34">
        <f>IF(Produits!$A$23="","",Produits!$D$23)</f>
        <v/>
      </c>
      <c r="D24" s="32" t="n"/>
      <c r="E24" s="29" t="n"/>
      <c r="F24" s="29" t="n"/>
      <c r="G24" s="29" t="n"/>
      <c r="H24" s="32" t="n"/>
      <c r="I24" s="29" t="n"/>
      <c r="J24" s="29" t="n"/>
      <c r="K24" s="29" t="n"/>
      <c r="L24" s="32" t="n"/>
      <c r="M24" s="29" t="n"/>
      <c r="N24" s="29" t="n"/>
      <c r="O24" s="29" t="n"/>
      <c r="P24" s="32" t="n"/>
      <c r="Q24" s="29" t="n"/>
      <c r="R24" s="29" t="n"/>
      <c r="S24" s="29" t="n"/>
      <c r="T24" s="22">
        <f>IF(COUNT(F24,J24,N24,R24)=0,"",SUM(F24,J24,N24,R24))</f>
        <v/>
      </c>
      <c r="U24" s="22">
        <f>IF(COUNT(G24,K24,O24,S24)=0,"",SUM(G24,K24,O24,S24))</f>
        <v/>
      </c>
      <c r="V24" s="22">
        <f>IF(OR(T24="",U24=""),"",U24-T24)</f>
        <v/>
      </c>
      <c r="W24" s="22">
        <f>IF(Q24&lt;&gt;"",Q24,IF(M24&lt;&gt;"",M24,IF(I24&lt;&gt;"",I24,IF(E24&lt;&gt;"",E24,""))))</f>
        <v/>
      </c>
      <c r="X24" s="18">
        <f>IF(U24="","",U24*N(Produits!$E$23))</f>
        <v/>
      </c>
    </row>
    <row r="25">
      <c r="A25" s="33">
        <f>IF(Produits!$A$24="","",Produits!$A$24)</f>
        <v/>
      </c>
      <c r="B25" s="34">
        <f>IF(Produits!$A$24="","",Produits!$C$24)</f>
        <v/>
      </c>
      <c r="C25" s="34">
        <f>IF(Produits!$A$24="","",Produits!$D$24)</f>
        <v/>
      </c>
      <c r="D25" s="32" t="n"/>
      <c r="E25" s="29" t="n"/>
      <c r="F25" s="29" t="n"/>
      <c r="G25" s="29" t="n"/>
      <c r="H25" s="32" t="n"/>
      <c r="I25" s="29" t="n"/>
      <c r="J25" s="29" t="n"/>
      <c r="K25" s="29" t="n"/>
      <c r="L25" s="32" t="n"/>
      <c r="M25" s="29" t="n"/>
      <c r="N25" s="29" t="n"/>
      <c r="O25" s="29" t="n"/>
      <c r="P25" s="32" t="n"/>
      <c r="Q25" s="29" t="n"/>
      <c r="R25" s="29" t="n"/>
      <c r="S25" s="29" t="n"/>
      <c r="T25" s="22">
        <f>IF(COUNT(F25,J25,N25,R25)=0,"",SUM(F25,J25,N25,R25))</f>
        <v/>
      </c>
      <c r="U25" s="22">
        <f>IF(COUNT(G25,K25,O25,S25)=0,"",SUM(G25,K25,O25,S25))</f>
        <v/>
      </c>
      <c r="V25" s="22">
        <f>IF(OR(T25="",U25=""),"",U25-T25)</f>
        <v/>
      </c>
      <c r="W25" s="22">
        <f>IF(Q25&lt;&gt;"",Q25,IF(M25&lt;&gt;"",M25,IF(I25&lt;&gt;"",I25,IF(E25&lt;&gt;"",E25,""))))</f>
        <v/>
      </c>
      <c r="X25" s="18">
        <f>IF(U25="","",U25*N(Produits!$E$24))</f>
        <v/>
      </c>
    </row>
    <row r="26">
      <c r="A26" s="33">
        <f>IF(Produits!$A$25="","",Produits!$A$25)</f>
        <v/>
      </c>
      <c r="B26" s="34">
        <f>IF(Produits!$A$25="","",Produits!$C$25)</f>
        <v/>
      </c>
      <c r="C26" s="34">
        <f>IF(Produits!$A$25="","",Produits!$D$25)</f>
        <v/>
      </c>
      <c r="D26" s="32" t="n"/>
      <c r="E26" s="29" t="n"/>
      <c r="F26" s="29" t="n"/>
      <c r="G26" s="29" t="n"/>
      <c r="H26" s="32" t="n"/>
      <c r="I26" s="29" t="n"/>
      <c r="J26" s="29" t="n"/>
      <c r="K26" s="29" t="n"/>
      <c r="L26" s="32" t="n"/>
      <c r="M26" s="29" t="n"/>
      <c r="N26" s="29" t="n"/>
      <c r="O26" s="29" t="n"/>
      <c r="P26" s="32" t="n"/>
      <c r="Q26" s="29" t="n"/>
      <c r="R26" s="29" t="n"/>
      <c r="S26" s="29" t="n"/>
      <c r="T26" s="22">
        <f>IF(COUNT(F26,J26,N26,R26)=0,"",SUM(F26,J26,N26,R26))</f>
        <v/>
      </c>
      <c r="U26" s="22">
        <f>IF(COUNT(G26,K26,O26,S26)=0,"",SUM(G26,K26,O26,S26))</f>
        <v/>
      </c>
      <c r="V26" s="22">
        <f>IF(OR(T26="",U26=""),"",U26-T26)</f>
        <v/>
      </c>
      <c r="W26" s="22">
        <f>IF(Q26&lt;&gt;"",Q26,IF(M26&lt;&gt;"",M26,IF(I26&lt;&gt;"",I26,IF(E26&lt;&gt;"",E26,""))))</f>
        <v/>
      </c>
      <c r="X26" s="18">
        <f>IF(U26="","",U26*N(Produits!$E$25))</f>
        <v/>
      </c>
    </row>
    <row r="27">
      <c r="A27" s="33">
        <f>IF(Produits!$A$26="","",Produits!$A$26)</f>
        <v/>
      </c>
      <c r="B27" s="34">
        <f>IF(Produits!$A$26="","",Produits!$C$26)</f>
        <v/>
      </c>
      <c r="C27" s="34">
        <f>IF(Produits!$A$26="","",Produits!$D$26)</f>
        <v/>
      </c>
      <c r="D27" s="32" t="n"/>
      <c r="E27" s="29" t="n"/>
      <c r="F27" s="29" t="n"/>
      <c r="G27" s="29" t="n"/>
      <c r="H27" s="32" t="n"/>
      <c r="I27" s="29" t="n"/>
      <c r="J27" s="29" t="n"/>
      <c r="K27" s="29" t="n"/>
      <c r="L27" s="32" t="n"/>
      <c r="M27" s="29" t="n"/>
      <c r="N27" s="29" t="n"/>
      <c r="O27" s="29" t="n"/>
      <c r="P27" s="32" t="n"/>
      <c r="Q27" s="29" t="n"/>
      <c r="R27" s="29" t="n"/>
      <c r="S27" s="29" t="n"/>
      <c r="T27" s="22">
        <f>IF(COUNT(F27,J27,N27,R27)=0,"",SUM(F27,J27,N27,R27))</f>
        <v/>
      </c>
      <c r="U27" s="22">
        <f>IF(COUNT(G27,K27,O27,S27)=0,"",SUM(G27,K27,O27,S27))</f>
        <v/>
      </c>
      <c r="V27" s="22">
        <f>IF(OR(T27="",U27=""),"",U27-T27)</f>
        <v/>
      </c>
      <c r="W27" s="22">
        <f>IF(Q27&lt;&gt;"",Q27,IF(M27&lt;&gt;"",M27,IF(I27&lt;&gt;"",I27,IF(E27&lt;&gt;"",E27,""))))</f>
        <v/>
      </c>
      <c r="X27" s="18">
        <f>IF(U27="","",U27*N(Produits!$E$26))</f>
        <v/>
      </c>
    </row>
    <row r="28">
      <c r="A28" s="33">
        <f>IF(Produits!$A$27="","",Produits!$A$27)</f>
        <v/>
      </c>
      <c r="B28" s="34">
        <f>IF(Produits!$A$27="","",Produits!$C$27)</f>
        <v/>
      </c>
      <c r="C28" s="34">
        <f>IF(Produits!$A$27="","",Produits!$D$27)</f>
        <v/>
      </c>
      <c r="D28" s="32" t="n"/>
      <c r="E28" s="29" t="n"/>
      <c r="F28" s="29" t="n"/>
      <c r="G28" s="29" t="n"/>
      <c r="H28" s="32" t="n"/>
      <c r="I28" s="29" t="n"/>
      <c r="J28" s="29" t="n"/>
      <c r="K28" s="29" t="n"/>
      <c r="L28" s="32" t="n"/>
      <c r="M28" s="29" t="n"/>
      <c r="N28" s="29" t="n"/>
      <c r="O28" s="29" t="n"/>
      <c r="P28" s="32" t="n"/>
      <c r="Q28" s="29" t="n"/>
      <c r="R28" s="29" t="n"/>
      <c r="S28" s="29" t="n"/>
      <c r="T28" s="22">
        <f>IF(COUNT(F28,J28,N28,R28)=0,"",SUM(F28,J28,N28,R28))</f>
        <v/>
      </c>
      <c r="U28" s="22">
        <f>IF(COUNT(G28,K28,O28,S28)=0,"",SUM(G28,K28,O28,S28))</f>
        <v/>
      </c>
      <c r="V28" s="22">
        <f>IF(OR(T28="",U28=""),"",U28-T28)</f>
        <v/>
      </c>
      <c r="W28" s="22">
        <f>IF(Q28&lt;&gt;"",Q28,IF(M28&lt;&gt;"",M28,IF(I28&lt;&gt;"",I28,IF(E28&lt;&gt;"",E28,""))))</f>
        <v/>
      </c>
      <c r="X28" s="18">
        <f>IF(U28="","",U28*N(Produits!$E$27))</f>
        <v/>
      </c>
    </row>
    <row r="29">
      <c r="A29" s="33">
        <f>IF(Produits!$A$28="","",Produits!$A$28)</f>
        <v/>
      </c>
      <c r="B29" s="34">
        <f>IF(Produits!$A$28="","",Produits!$C$28)</f>
        <v/>
      </c>
      <c r="C29" s="34">
        <f>IF(Produits!$A$28="","",Produits!$D$28)</f>
        <v/>
      </c>
      <c r="D29" s="32" t="n"/>
      <c r="E29" s="29" t="n"/>
      <c r="F29" s="29" t="n"/>
      <c r="G29" s="29" t="n"/>
      <c r="H29" s="32" t="n"/>
      <c r="I29" s="29" t="n"/>
      <c r="J29" s="29" t="n"/>
      <c r="K29" s="29" t="n"/>
      <c r="L29" s="32" t="n"/>
      <c r="M29" s="29" t="n"/>
      <c r="N29" s="29" t="n"/>
      <c r="O29" s="29" t="n"/>
      <c r="P29" s="32" t="n"/>
      <c r="Q29" s="29" t="n"/>
      <c r="R29" s="29" t="n"/>
      <c r="S29" s="29" t="n"/>
      <c r="T29" s="22">
        <f>IF(COUNT(F29,J29,N29,R29)=0,"",SUM(F29,J29,N29,R29))</f>
        <v/>
      </c>
      <c r="U29" s="22">
        <f>IF(COUNT(G29,K29,O29,S29)=0,"",SUM(G29,K29,O29,S29))</f>
        <v/>
      </c>
      <c r="V29" s="22">
        <f>IF(OR(T29="",U29=""),"",U29-T29)</f>
        <v/>
      </c>
      <c r="W29" s="22">
        <f>IF(Q29&lt;&gt;"",Q29,IF(M29&lt;&gt;"",M29,IF(I29&lt;&gt;"",I29,IF(E29&lt;&gt;"",E29,""))))</f>
        <v/>
      </c>
      <c r="X29" s="18">
        <f>IF(U29="","",U29*N(Produits!$E$28))</f>
        <v/>
      </c>
    </row>
    <row r="30">
      <c r="A30" s="33">
        <f>IF(Produits!$A$29="","",Produits!$A$29)</f>
        <v/>
      </c>
      <c r="B30" s="34">
        <f>IF(Produits!$A$29="","",Produits!$C$29)</f>
        <v/>
      </c>
      <c r="C30" s="34">
        <f>IF(Produits!$A$29="","",Produits!$D$29)</f>
        <v/>
      </c>
      <c r="D30" s="32" t="n"/>
      <c r="E30" s="29" t="n"/>
      <c r="F30" s="29" t="n"/>
      <c r="G30" s="29" t="n"/>
      <c r="H30" s="32" t="n"/>
      <c r="I30" s="29" t="n"/>
      <c r="J30" s="29" t="n"/>
      <c r="K30" s="29" t="n"/>
      <c r="L30" s="32" t="n"/>
      <c r="M30" s="29" t="n"/>
      <c r="N30" s="29" t="n"/>
      <c r="O30" s="29" t="n"/>
      <c r="P30" s="32" t="n"/>
      <c r="Q30" s="29" t="n"/>
      <c r="R30" s="29" t="n"/>
      <c r="S30" s="29" t="n"/>
      <c r="T30" s="22">
        <f>IF(COUNT(F30,J30,N30,R30)=0,"",SUM(F30,J30,N30,R30))</f>
        <v/>
      </c>
      <c r="U30" s="22">
        <f>IF(COUNT(G30,K30,O30,S30)=0,"",SUM(G30,K30,O30,S30))</f>
        <v/>
      </c>
      <c r="V30" s="22">
        <f>IF(OR(T30="",U30=""),"",U30-T30)</f>
        <v/>
      </c>
      <c r="W30" s="22">
        <f>IF(Q30&lt;&gt;"",Q30,IF(M30&lt;&gt;"",M30,IF(I30&lt;&gt;"",I30,IF(E30&lt;&gt;"",E30,""))))</f>
        <v/>
      </c>
      <c r="X30" s="18">
        <f>IF(U30="","",U30*N(Produits!$E$29))</f>
        <v/>
      </c>
    </row>
    <row r="31">
      <c r="A31" s="33">
        <f>IF(Produits!$A$30="","",Produits!$A$30)</f>
        <v/>
      </c>
      <c r="B31" s="34">
        <f>IF(Produits!$A$30="","",Produits!$C$30)</f>
        <v/>
      </c>
      <c r="C31" s="34">
        <f>IF(Produits!$A$30="","",Produits!$D$30)</f>
        <v/>
      </c>
      <c r="D31" s="32" t="n"/>
      <c r="E31" s="29" t="n"/>
      <c r="F31" s="29" t="n"/>
      <c r="G31" s="29" t="n"/>
      <c r="H31" s="32" t="n"/>
      <c r="I31" s="29" t="n"/>
      <c r="J31" s="29" t="n"/>
      <c r="K31" s="29" t="n"/>
      <c r="L31" s="32" t="n"/>
      <c r="M31" s="29" t="n"/>
      <c r="N31" s="29" t="n"/>
      <c r="O31" s="29" t="n"/>
      <c r="P31" s="32" t="n"/>
      <c r="Q31" s="29" t="n"/>
      <c r="R31" s="29" t="n"/>
      <c r="S31" s="29" t="n"/>
      <c r="T31" s="22">
        <f>IF(COUNT(F31,J31,N31,R31)=0,"",SUM(F31,J31,N31,R31))</f>
        <v/>
      </c>
      <c r="U31" s="22">
        <f>IF(COUNT(G31,K31,O31,S31)=0,"",SUM(G31,K31,O31,S31))</f>
        <v/>
      </c>
      <c r="V31" s="22">
        <f>IF(OR(T31="",U31=""),"",U31-T31)</f>
        <v/>
      </c>
      <c r="W31" s="22">
        <f>IF(Q31&lt;&gt;"",Q31,IF(M31&lt;&gt;"",M31,IF(I31&lt;&gt;"",I31,IF(E31&lt;&gt;"",E31,""))))</f>
        <v/>
      </c>
      <c r="X31" s="18">
        <f>IF(U31="","",U31*N(Produits!$E$30))</f>
        <v/>
      </c>
    </row>
    <row r="32">
      <c r="A32" s="33">
        <f>IF(Produits!$A$31="","",Produits!$A$31)</f>
        <v/>
      </c>
      <c r="B32" s="34">
        <f>IF(Produits!$A$31="","",Produits!$C$31)</f>
        <v/>
      </c>
      <c r="C32" s="34">
        <f>IF(Produits!$A$31="","",Produits!$D$31)</f>
        <v/>
      </c>
      <c r="D32" s="32" t="n"/>
      <c r="E32" s="29" t="n"/>
      <c r="F32" s="29" t="n"/>
      <c r="G32" s="29" t="n"/>
      <c r="H32" s="32" t="n"/>
      <c r="I32" s="29" t="n"/>
      <c r="J32" s="29" t="n"/>
      <c r="K32" s="29" t="n"/>
      <c r="L32" s="32" t="n"/>
      <c r="M32" s="29" t="n"/>
      <c r="N32" s="29" t="n"/>
      <c r="O32" s="29" t="n"/>
      <c r="P32" s="32" t="n"/>
      <c r="Q32" s="29" t="n"/>
      <c r="R32" s="29" t="n"/>
      <c r="S32" s="29" t="n"/>
      <c r="T32" s="22">
        <f>IF(COUNT(F32,J32,N32,R32)=0,"",SUM(F32,J32,N32,R32))</f>
        <v/>
      </c>
      <c r="U32" s="22">
        <f>IF(COUNT(G32,K32,O32,S32)=0,"",SUM(G32,K32,O32,S32))</f>
        <v/>
      </c>
      <c r="V32" s="22">
        <f>IF(OR(T32="",U32=""),"",U32-T32)</f>
        <v/>
      </c>
      <c r="W32" s="22">
        <f>IF(Q32&lt;&gt;"",Q32,IF(M32&lt;&gt;"",M32,IF(I32&lt;&gt;"",I32,IF(E32&lt;&gt;"",E32,""))))</f>
        <v/>
      </c>
      <c r="X32" s="18">
        <f>IF(U32="","",U32*N(Produits!$E$31))</f>
        <v/>
      </c>
    </row>
    <row r="33">
      <c r="A33" s="33">
        <f>IF(Produits!$A$32="","",Produits!$A$32)</f>
        <v/>
      </c>
      <c r="B33" s="34">
        <f>IF(Produits!$A$32="","",Produits!$C$32)</f>
        <v/>
      </c>
      <c r="C33" s="34">
        <f>IF(Produits!$A$32="","",Produits!$D$32)</f>
        <v/>
      </c>
      <c r="D33" s="32" t="n"/>
      <c r="E33" s="29" t="n"/>
      <c r="F33" s="29" t="n"/>
      <c r="G33" s="29" t="n"/>
      <c r="H33" s="32" t="n"/>
      <c r="I33" s="29" t="n"/>
      <c r="J33" s="29" t="n"/>
      <c r="K33" s="29" t="n"/>
      <c r="L33" s="32" t="n"/>
      <c r="M33" s="29" t="n"/>
      <c r="N33" s="29" t="n"/>
      <c r="O33" s="29" t="n"/>
      <c r="P33" s="32" t="n"/>
      <c r="Q33" s="29" t="n"/>
      <c r="R33" s="29" t="n"/>
      <c r="S33" s="29" t="n"/>
      <c r="T33" s="22">
        <f>IF(COUNT(F33,J33,N33,R33)=0,"",SUM(F33,J33,N33,R33))</f>
        <v/>
      </c>
      <c r="U33" s="22">
        <f>IF(COUNT(G33,K33,O33,S33)=0,"",SUM(G33,K33,O33,S33))</f>
        <v/>
      </c>
      <c r="V33" s="22">
        <f>IF(OR(T33="",U33=""),"",U33-T33)</f>
        <v/>
      </c>
      <c r="W33" s="22">
        <f>IF(Q33&lt;&gt;"",Q33,IF(M33&lt;&gt;"",M33,IF(I33&lt;&gt;"",I33,IF(E33&lt;&gt;"",E33,""))))</f>
        <v/>
      </c>
      <c r="X33" s="18">
        <f>IF(U33="","",U33*N(Produits!$E$32))</f>
        <v/>
      </c>
    </row>
    <row r="34">
      <c r="A34" s="33">
        <f>IF(Produits!$A$33="","",Produits!$A$33)</f>
        <v/>
      </c>
      <c r="B34" s="34">
        <f>IF(Produits!$A$33="","",Produits!$C$33)</f>
        <v/>
      </c>
      <c r="C34" s="34">
        <f>IF(Produits!$A$33="","",Produits!$D$33)</f>
        <v/>
      </c>
      <c r="D34" s="32" t="n"/>
      <c r="E34" s="29" t="n"/>
      <c r="F34" s="29" t="n"/>
      <c r="G34" s="29" t="n"/>
      <c r="H34" s="32" t="n"/>
      <c r="I34" s="29" t="n"/>
      <c r="J34" s="29" t="n"/>
      <c r="K34" s="29" t="n"/>
      <c r="L34" s="32" t="n"/>
      <c r="M34" s="29" t="n"/>
      <c r="N34" s="29" t="n"/>
      <c r="O34" s="29" t="n"/>
      <c r="P34" s="32" t="n"/>
      <c r="Q34" s="29" t="n"/>
      <c r="R34" s="29" t="n"/>
      <c r="S34" s="29" t="n"/>
      <c r="T34" s="22">
        <f>IF(COUNT(F34,J34,N34,R34)=0,"",SUM(F34,J34,N34,R34))</f>
        <v/>
      </c>
      <c r="U34" s="22">
        <f>IF(COUNT(G34,K34,O34,S34)=0,"",SUM(G34,K34,O34,S34))</f>
        <v/>
      </c>
      <c r="V34" s="22">
        <f>IF(OR(T34="",U34=""),"",U34-T34)</f>
        <v/>
      </c>
      <c r="W34" s="22">
        <f>IF(Q34&lt;&gt;"",Q34,IF(M34&lt;&gt;"",M34,IF(I34&lt;&gt;"",I34,IF(E34&lt;&gt;"",E34,""))))</f>
        <v/>
      </c>
      <c r="X34" s="18">
        <f>IF(U34="","",U34*N(Produits!$E$33))</f>
        <v/>
      </c>
    </row>
    <row r="35">
      <c r="A35" s="33">
        <f>IF(Produits!$A$34="","",Produits!$A$34)</f>
        <v/>
      </c>
      <c r="B35" s="34">
        <f>IF(Produits!$A$34="","",Produits!$C$34)</f>
        <v/>
      </c>
      <c r="C35" s="34">
        <f>IF(Produits!$A$34="","",Produits!$D$34)</f>
        <v/>
      </c>
      <c r="D35" s="32" t="n"/>
      <c r="E35" s="29" t="n"/>
      <c r="F35" s="29" t="n"/>
      <c r="G35" s="29" t="n"/>
      <c r="H35" s="32" t="n"/>
      <c r="I35" s="29" t="n"/>
      <c r="J35" s="29" t="n"/>
      <c r="K35" s="29" t="n"/>
      <c r="L35" s="32" t="n"/>
      <c r="M35" s="29" t="n"/>
      <c r="N35" s="29" t="n"/>
      <c r="O35" s="29" t="n"/>
      <c r="P35" s="32" t="n"/>
      <c r="Q35" s="29" t="n"/>
      <c r="R35" s="29" t="n"/>
      <c r="S35" s="29" t="n"/>
      <c r="T35" s="22">
        <f>IF(COUNT(F35,J35,N35,R35)=0,"",SUM(F35,J35,N35,R35))</f>
        <v/>
      </c>
      <c r="U35" s="22">
        <f>IF(COUNT(G35,K35,O35,S35)=0,"",SUM(G35,K35,O35,S35))</f>
        <v/>
      </c>
      <c r="V35" s="22">
        <f>IF(OR(T35="",U35=""),"",U35-T35)</f>
        <v/>
      </c>
      <c r="W35" s="22">
        <f>IF(Q35&lt;&gt;"",Q35,IF(M35&lt;&gt;"",M35,IF(I35&lt;&gt;"",I35,IF(E35&lt;&gt;"",E35,""))))</f>
        <v/>
      </c>
      <c r="X35" s="18">
        <f>IF(U35="","",U35*N(Produits!$E$34))</f>
        <v/>
      </c>
    </row>
    <row r="36">
      <c r="A36" s="33">
        <f>IF(Produits!$A$35="","",Produits!$A$35)</f>
        <v/>
      </c>
      <c r="B36" s="34">
        <f>IF(Produits!$A$35="","",Produits!$C$35)</f>
        <v/>
      </c>
      <c r="C36" s="34">
        <f>IF(Produits!$A$35="","",Produits!$D$35)</f>
        <v/>
      </c>
      <c r="D36" s="32" t="n"/>
      <c r="E36" s="29" t="n"/>
      <c r="F36" s="29" t="n"/>
      <c r="G36" s="29" t="n"/>
      <c r="H36" s="32" t="n"/>
      <c r="I36" s="29" t="n"/>
      <c r="J36" s="29" t="n"/>
      <c r="K36" s="29" t="n"/>
      <c r="L36" s="32" t="n"/>
      <c r="M36" s="29" t="n"/>
      <c r="N36" s="29" t="n"/>
      <c r="O36" s="29" t="n"/>
      <c r="P36" s="32" t="n"/>
      <c r="Q36" s="29" t="n"/>
      <c r="R36" s="29" t="n"/>
      <c r="S36" s="29" t="n"/>
      <c r="T36" s="22">
        <f>IF(COUNT(F36,J36,N36,R36)=0,"",SUM(F36,J36,N36,R36))</f>
        <v/>
      </c>
      <c r="U36" s="22">
        <f>IF(COUNT(G36,K36,O36,S36)=0,"",SUM(G36,K36,O36,S36))</f>
        <v/>
      </c>
      <c r="V36" s="22">
        <f>IF(OR(T36="",U36=""),"",U36-T36)</f>
        <v/>
      </c>
      <c r="W36" s="22">
        <f>IF(Q36&lt;&gt;"",Q36,IF(M36&lt;&gt;"",M36,IF(I36&lt;&gt;"",I36,IF(E36&lt;&gt;"",E36,""))))</f>
        <v/>
      </c>
      <c r="X36" s="18">
        <f>IF(U36="","",U36*N(Produits!$E$35))</f>
        <v/>
      </c>
    </row>
    <row r="37">
      <c r="A37" s="33">
        <f>IF(Produits!$A$36="","",Produits!$A$36)</f>
        <v/>
      </c>
      <c r="B37" s="34">
        <f>IF(Produits!$A$36="","",Produits!$C$36)</f>
        <v/>
      </c>
      <c r="C37" s="34">
        <f>IF(Produits!$A$36="","",Produits!$D$36)</f>
        <v/>
      </c>
      <c r="D37" s="32" t="n"/>
      <c r="E37" s="29" t="n"/>
      <c r="F37" s="29" t="n"/>
      <c r="G37" s="29" t="n"/>
      <c r="H37" s="32" t="n"/>
      <c r="I37" s="29" t="n"/>
      <c r="J37" s="29" t="n"/>
      <c r="K37" s="29" t="n"/>
      <c r="L37" s="32" t="n"/>
      <c r="M37" s="29" t="n"/>
      <c r="N37" s="29" t="n"/>
      <c r="O37" s="29" t="n"/>
      <c r="P37" s="32" t="n"/>
      <c r="Q37" s="29" t="n"/>
      <c r="R37" s="29" t="n"/>
      <c r="S37" s="29" t="n"/>
      <c r="T37" s="22">
        <f>IF(COUNT(F37,J37,N37,R37)=0,"",SUM(F37,J37,N37,R37))</f>
        <v/>
      </c>
      <c r="U37" s="22">
        <f>IF(COUNT(G37,K37,O37,S37)=0,"",SUM(G37,K37,O37,S37))</f>
        <v/>
      </c>
      <c r="V37" s="22">
        <f>IF(OR(T37="",U37=""),"",U37-T37)</f>
        <v/>
      </c>
      <c r="W37" s="22">
        <f>IF(Q37&lt;&gt;"",Q37,IF(M37&lt;&gt;"",M37,IF(I37&lt;&gt;"",I37,IF(E37&lt;&gt;"",E37,""))))</f>
        <v/>
      </c>
      <c r="X37" s="18">
        <f>IF(U37="","",U37*N(Produits!$E$36))</f>
        <v/>
      </c>
    </row>
    <row r="38" ht="20" customHeight="1">
      <c r="A38" s="23" t="inlineStr">
        <is>
          <t>CHAMBRE FROIDE NÉGATIVE</t>
        </is>
      </c>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row>
    <row r="39">
      <c r="A39" s="33">
        <f>IF(Produits!$A$38="","",Produits!$A$38)</f>
        <v/>
      </c>
      <c r="B39" s="34">
        <f>IF(Produits!$A$38="","",Produits!$C$38)</f>
        <v/>
      </c>
      <c r="C39" s="34">
        <f>IF(Produits!$A$38="","",Produits!$D$38)</f>
        <v/>
      </c>
      <c r="D39" s="32" t="n"/>
      <c r="E39" s="29" t="n"/>
      <c r="F39" s="29" t="n"/>
      <c r="G39" s="29" t="n"/>
      <c r="H39" s="32" t="n"/>
      <c r="I39" s="29" t="n"/>
      <c r="J39" s="29" t="n"/>
      <c r="K39" s="29" t="n"/>
      <c r="L39" s="32" t="n"/>
      <c r="M39" s="29" t="n"/>
      <c r="N39" s="29" t="n"/>
      <c r="O39" s="29" t="n"/>
      <c r="P39" s="32" t="n"/>
      <c r="Q39" s="29" t="n"/>
      <c r="R39" s="29" t="n"/>
      <c r="S39" s="29" t="n"/>
      <c r="T39" s="22">
        <f>IF(COUNT(F39,J39,N39,R39)=0,"",SUM(F39,J39,N39,R39))</f>
        <v/>
      </c>
      <c r="U39" s="22">
        <f>IF(COUNT(G39,K39,O39,S39)=0,"",SUM(G39,K39,O39,S39))</f>
        <v/>
      </c>
      <c r="V39" s="22">
        <f>IF(OR(T39="",U39=""),"",U39-T39)</f>
        <v/>
      </c>
      <c r="W39" s="22">
        <f>IF(Q39&lt;&gt;"",Q39,IF(M39&lt;&gt;"",M39,IF(I39&lt;&gt;"",I39,IF(E39&lt;&gt;"",E39,""))))</f>
        <v/>
      </c>
      <c r="X39" s="18">
        <f>IF(U39="","",U39*N(Produits!$E$38))</f>
        <v/>
      </c>
    </row>
    <row r="40">
      <c r="A40" s="33">
        <f>IF(Produits!$A$39="","",Produits!$A$39)</f>
        <v/>
      </c>
      <c r="B40" s="34">
        <f>IF(Produits!$A$39="","",Produits!$C$39)</f>
        <v/>
      </c>
      <c r="C40" s="34">
        <f>IF(Produits!$A$39="","",Produits!$D$39)</f>
        <v/>
      </c>
      <c r="D40" s="32" t="n"/>
      <c r="E40" s="29" t="n"/>
      <c r="F40" s="29" t="n"/>
      <c r="G40" s="29" t="n"/>
      <c r="H40" s="32" t="n"/>
      <c r="I40" s="29" t="n"/>
      <c r="J40" s="29" t="n"/>
      <c r="K40" s="29" t="n"/>
      <c r="L40" s="32" t="n"/>
      <c r="M40" s="29" t="n"/>
      <c r="N40" s="29" t="n"/>
      <c r="O40" s="29" t="n"/>
      <c r="P40" s="32" t="n"/>
      <c r="Q40" s="29" t="n"/>
      <c r="R40" s="29" t="n"/>
      <c r="S40" s="29" t="n"/>
      <c r="T40" s="22">
        <f>IF(COUNT(F40,J40,N40,R40)=0,"",SUM(F40,J40,N40,R40))</f>
        <v/>
      </c>
      <c r="U40" s="22">
        <f>IF(COUNT(G40,K40,O40,S40)=0,"",SUM(G40,K40,O40,S40))</f>
        <v/>
      </c>
      <c r="V40" s="22">
        <f>IF(OR(T40="",U40=""),"",U40-T40)</f>
        <v/>
      </c>
      <c r="W40" s="22">
        <f>IF(Q40&lt;&gt;"",Q40,IF(M40&lt;&gt;"",M40,IF(I40&lt;&gt;"",I40,IF(E40&lt;&gt;"",E40,""))))</f>
        <v/>
      </c>
      <c r="X40" s="18">
        <f>IF(U40="","",U40*N(Produits!$E$39))</f>
        <v/>
      </c>
    </row>
    <row r="41">
      <c r="A41" s="33">
        <f>IF(Produits!$A$40="","",Produits!$A$40)</f>
        <v/>
      </c>
      <c r="B41" s="34">
        <f>IF(Produits!$A$40="","",Produits!$C$40)</f>
        <v/>
      </c>
      <c r="C41" s="34">
        <f>IF(Produits!$A$40="","",Produits!$D$40)</f>
        <v/>
      </c>
      <c r="D41" s="32" t="n"/>
      <c r="E41" s="29" t="n"/>
      <c r="F41" s="29" t="n"/>
      <c r="G41" s="29" t="n"/>
      <c r="H41" s="32" t="n"/>
      <c r="I41" s="29" t="n"/>
      <c r="J41" s="29" t="n"/>
      <c r="K41" s="29" t="n"/>
      <c r="L41" s="32" t="n"/>
      <c r="M41" s="29" t="n"/>
      <c r="N41" s="29" t="n"/>
      <c r="O41" s="29" t="n"/>
      <c r="P41" s="32" t="n"/>
      <c r="Q41" s="29" t="n"/>
      <c r="R41" s="29" t="n"/>
      <c r="S41" s="29" t="n"/>
      <c r="T41" s="22">
        <f>IF(COUNT(F41,J41,N41,R41)=0,"",SUM(F41,J41,N41,R41))</f>
        <v/>
      </c>
      <c r="U41" s="22">
        <f>IF(COUNT(G41,K41,O41,S41)=0,"",SUM(G41,K41,O41,S41))</f>
        <v/>
      </c>
      <c r="V41" s="22">
        <f>IF(OR(T41="",U41=""),"",U41-T41)</f>
        <v/>
      </c>
      <c r="W41" s="22">
        <f>IF(Q41&lt;&gt;"",Q41,IF(M41&lt;&gt;"",M41,IF(I41&lt;&gt;"",I41,IF(E41&lt;&gt;"",E41,""))))</f>
        <v/>
      </c>
      <c r="X41" s="18">
        <f>IF(U41="","",U41*N(Produits!$E$40))</f>
        <v/>
      </c>
    </row>
    <row r="42">
      <c r="A42" s="33">
        <f>IF(Produits!$A$41="","",Produits!$A$41)</f>
        <v/>
      </c>
      <c r="B42" s="34">
        <f>IF(Produits!$A$41="","",Produits!$C$41)</f>
        <v/>
      </c>
      <c r="C42" s="34">
        <f>IF(Produits!$A$41="","",Produits!$D$41)</f>
        <v/>
      </c>
      <c r="D42" s="32" t="n"/>
      <c r="E42" s="29" t="n"/>
      <c r="F42" s="29" t="n"/>
      <c r="G42" s="29" t="n"/>
      <c r="H42" s="32" t="n"/>
      <c r="I42" s="29" t="n"/>
      <c r="J42" s="29" t="n"/>
      <c r="K42" s="29" t="n"/>
      <c r="L42" s="32" t="n"/>
      <c r="M42" s="29" t="n"/>
      <c r="N42" s="29" t="n"/>
      <c r="O42" s="29" t="n"/>
      <c r="P42" s="32" t="n"/>
      <c r="Q42" s="29" t="n"/>
      <c r="R42" s="29" t="n"/>
      <c r="S42" s="29" t="n"/>
      <c r="T42" s="22">
        <f>IF(COUNT(F42,J42,N42,R42)=0,"",SUM(F42,J42,N42,R42))</f>
        <v/>
      </c>
      <c r="U42" s="22">
        <f>IF(COUNT(G42,K42,O42,S42)=0,"",SUM(G42,K42,O42,S42))</f>
        <v/>
      </c>
      <c r="V42" s="22">
        <f>IF(OR(T42="",U42=""),"",U42-T42)</f>
        <v/>
      </c>
      <c r="W42" s="22">
        <f>IF(Q42&lt;&gt;"",Q42,IF(M42&lt;&gt;"",M42,IF(I42&lt;&gt;"",I42,IF(E42&lt;&gt;"",E42,""))))</f>
        <v/>
      </c>
      <c r="X42" s="18">
        <f>IF(U42="","",U42*N(Produits!$E$41))</f>
        <v/>
      </c>
    </row>
    <row r="43">
      <c r="A43" s="33">
        <f>IF(Produits!$A$42="","",Produits!$A$42)</f>
        <v/>
      </c>
      <c r="B43" s="34">
        <f>IF(Produits!$A$42="","",Produits!$C$42)</f>
        <v/>
      </c>
      <c r="C43" s="34">
        <f>IF(Produits!$A$42="","",Produits!$D$42)</f>
        <v/>
      </c>
      <c r="D43" s="32" t="n"/>
      <c r="E43" s="29" t="n"/>
      <c r="F43" s="29" t="n"/>
      <c r="G43" s="29" t="n"/>
      <c r="H43" s="32" t="n"/>
      <c r="I43" s="29" t="n"/>
      <c r="J43" s="29" t="n"/>
      <c r="K43" s="29" t="n"/>
      <c r="L43" s="32" t="n"/>
      <c r="M43" s="29" t="n"/>
      <c r="N43" s="29" t="n"/>
      <c r="O43" s="29" t="n"/>
      <c r="P43" s="32" t="n"/>
      <c r="Q43" s="29" t="n"/>
      <c r="R43" s="29" t="n"/>
      <c r="S43" s="29" t="n"/>
      <c r="T43" s="22">
        <f>IF(COUNT(F43,J43,N43,R43)=0,"",SUM(F43,J43,N43,R43))</f>
        <v/>
      </c>
      <c r="U43" s="22">
        <f>IF(COUNT(G43,K43,O43,S43)=0,"",SUM(G43,K43,O43,S43))</f>
        <v/>
      </c>
      <c r="V43" s="22">
        <f>IF(OR(T43="",U43=""),"",U43-T43)</f>
        <v/>
      </c>
      <c r="W43" s="22">
        <f>IF(Q43&lt;&gt;"",Q43,IF(M43&lt;&gt;"",M43,IF(I43&lt;&gt;"",I43,IF(E43&lt;&gt;"",E43,""))))</f>
        <v/>
      </c>
      <c r="X43" s="18">
        <f>IF(U43="","",U43*N(Produits!$E$42))</f>
        <v/>
      </c>
    </row>
    <row r="44">
      <c r="A44" s="33">
        <f>IF(Produits!$A$43="","",Produits!$A$43)</f>
        <v/>
      </c>
      <c r="B44" s="34">
        <f>IF(Produits!$A$43="","",Produits!$C$43)</f>
        <v/>
      </c>
      <c r="C44" s="34">
        <f>IF(Produits!$A$43="","",Produits!$D$43)</f>
        <v/>
      </c>
      <c r="D44" s="32" t="n"/>
      <c r="E44" s="29" t="n"/>
      <c r="F44" s="29" t="n"/>
      <c r="G44" s="29" t="n"/>
      <c r="H44" s="32" t="n"/>
      <c r="I44" s="29" t="n"/>
      <c r="J44" s="29" t="n"/>
      <c r="K44" s="29" t="n"/>
      <c r="L44" s="32" t="n"/>
      <c r="M44" s="29" t="n"/>
      <c r="N44" s="29" t="n"/>
      <c r="O44" s="29" t="n"/>
      <c r="P44" s="32" t="n"/>
      <c r="Q44" s="29" t="n"/>
      <c r="R44" s="29" t="n"/>
      <c r="S44" s="29" t="n"/>
      <c r="T44" s="22">
        <f>IF(COUNT(F44,J44,N44,R44)=0,"",SUM(F44,J44,N44,R44))</f>
        <v/>
      </c>
      <c r="U44" s="22">
        <f>IF(COUNT(G44,K44,O44,S44)=0,"",SUM(G44,K44,O44,S44))</f>
        <v/>
      </c>
      <c r="V44" s="22">
        <f>IF(OR(T44="",U44=""),"",U44-T44)</f>
        <v/>
      </c>
      <c r="W44" s="22">
        <f>IF(Q44&lt;&gt;"",Q44,IF(M44&lt;&gt;"",M44,IF(I44&lt;&gt;"",I44,IF(E44&lt;&gt;"",E44,""))))</f>
        <v/>
      </c>
      <c r="X44" s="18">
        <f>IF(U44="","",U44*N(Produits!$E$43))</f>
        <v/>
      </c>
    </row>
    <row r="45">
      <c r="A45" s="33">
        <f>IF(Produits!$A$44="","",Produits!$A$44)</f>
        <v/>
      </c>
      <c r="B45" s="34">
        <f>IF(Produits!$A$44="","",Produits!$C$44)</f>
        <v/>
      </c>
      <c r="C45" s="34">
        <f>IF(Produits!$A$44="","",Produits!$D$44)</f>
        <v/>
      </c>
      <c r="D45" s="32" t="n"/>
      <c r="E45" s="29" t="n"/>
      <c r="F45" s="29" t="n"/>
      <c r="G45" s="29" t="n"/>
      <c r="H45" s="32" t="n"/>
      <c r="I45" s="29" t="n"/>
      <c r="J45" s="29" t="n"/>
      <c r="K45" s="29" t="n"/>
      <c r="L45" s="32" t="n"/>
      <c r="M45" s="29" t="n"/>
      <c r="N45" s="29" t="n"/>
      <c r="O45" s="29" t="n"/>
      <c r="P45" s="32" t="n"/>
      <c r="Q45" s="29" t="n"/>
      <c r="R45" s="29" t="n"/>
      <c r="S45" s="29" t="n"/>
      <c r="T45" s="22">
        <f>IF(COUNT(F45,J45,N45,R45)=0,"",SUM(F45,J45,N45,R45))</f>
        <v/>
      </c>
      <c r="U45" s="22">
        <f>IF(COUNT(G45,K45,O45,S45)=0,"",SUM(G45,K45,O45,S45))</f>
        <v/>
      </c>
      <c r="V45" s="22">
        <f>IF(OR(T45="",U45=""),"",U45-T45)</f>
        <v/>
      </c>
      <c r="W45" s="22">
        <f>IF(Q45&lt;&gt;"",Q45,IF(M45&lt;&gt;"",M45,IF(I45&lt;&gt;"",I45,IF(E45&lt;&gt;"",E45,""))))</f>
        <v/>
      </c>
      <c r="X45" s="18">
        <f>IF(U45="","",U45*N(Produits!$E$44))</f>
        <v/>
      </c>
    </row>
    <row r="46">
      <c r="A46" s="33">
        <f>IF(Produits!$A$45="","",Produits!$A$45)</f>
        <v/>
      </c>
      <c r="B46" s="34">
        <f>IF(Produits!$A$45="","",Produits!$C$45)</f>
        <v/>
      </c>
      <c r="C46" s="34">
        <f>IF(Produits!$A$45="","",Produits!$D$45)</f>
        <v/>
      </c>
      <c r="D46" s="32" t="n"/>
      <c r="E46" s="29" t="n"/>
      <c r="F46" s="29" t="n"/>
      <c r="G46" s="29" t="n"/>
      <c r="H46" s="32" t="n"/>
      <c r="I46" s="29" t="n"/>
      <c r="J46" s="29" t="n"/>
      <c r="K46" s="29" t="n"/>
      <c r="L46" s="32" t="n"/>
      <c r="M46" s="29" t="n"/>
      <c r="N46" s="29" t="n"/>
      <c r="O46" s="29" t="n"/>
      <c r="P46" s="32" t="n"/>
      <c r="Q46" s="29" t="n"/>
      <c r="R46" s="29" t="n"/>
      <c r="S46" s="29" t="n"/>
      <c r="T46" s="22">
        <f>IF(COUNT(F46,J46,N46,R46)=0,"",SUM(F46,J46,N46,R46))</f>
        <v/>
      </c>
      <c r="U46" s="22">
        <f>IF(COUNT(G46,K46,O46,S46)=0,"",SUM(G46,K46,O46,S46))</f>
        <v/>
      </c>
      <c r="V46" s="22">
        <f>IF(OR(T46="",U46=""),"",U46-T46)</f>
        <v/>
      </c>
      <c r="W46" s="22">
        <f>IF(Q46&lt;&gt;"",Q46,IF(M46&lt;&gt;"",M46,IF(I46&lt;&gt;"",I46,IF(E46&lt;&gt;"",E46,""))))</f>
        <v/>
      </c>
      <c r="X46" s="18">
        <f>IF(U46="","",U46*N(Produits!$E$45))</f>
        <v/>
      </c>
    </row>
    <row r="47">
      <c r="A47" s="33">
        <f>IF(Produits!$A$46="","",Produits!$A$46)</f>
        <v/>
      </c>
      <c r="B47" s="34">
        <f>IF(Produits!$A$46="","",Produits!$C$46)</f>
        <v/>
      </c>
      <c r="C47" s="34">
        <f>IF(Produits!$A$46="","",Produits!$D$46)</f>
        <v/>
      </c>
      <c r="D47" s="32" t="n"/>
      <c r="E47" s="29" t="n"/>
      <c r="F47" s="29" t="n"/>
      <c r="G47" s="29" t="n"/>
      <c r="H47" s="32" t="n"/>
      <c r="I47" s="29" t="n"/>
      <c r="J47" s="29" t="n"/>
      <c r="K47" s="29" t="n"/>
      <c r="L47" s="32" t="n"/>
      <c r="M47" s="29" t="n"/>
      <c r="N47" s="29" t="n"/>
      <c r="O47" s="29" t="n"/>
      <c r="P47" s="32" t="n"/>
      <c r="Q47" s="29" t="n"/>
      <c r="R47" s="29" t="n"/>
      <c r="S47" s="29" t="n"/>
      <c r="T47" s="22">
        <f>IF(COUNT(F47,J47,N47,R47)=0,"",SUM(F47,J47,N47,R47))</f>
        <v/>
      </c>
      <c r="U47" s="22">
        <f>IF(COUNT(G47,K47,O47,S47)=0,"",SUM(G47,K47,O47,S47))</f>
        <v/>
      </c>
      <c r="V47" s="22">
        <f>IF(OR(T47="",U47=""),"",U47-T47)</f>
        <v/>
      </c>
      <c r="W47" s="22">
        <f>IF(Q47&lt;&gt;"",Q47,IF(M47&lt;&gt;"",M47,IF(I47&lt;&gt;"",I47,IF(E47&lt;&gt;"",E47,""))))</f>
        <v/>
      </c>
      <c r="X47" s="18">
        <f>IF(U47="","",U47*N(Produits!$E$46))</f>
        <v/>
      </c>
    </row>
    <row r="48">
      <c r="A48" s="33">
        <f>IF(Produits!$A$47="","",Produits!$A$47)</f>
        <v/>
      </c>
      <c r="B48" s="34">
        <f>IF(Produits!$A$47="","",Produits!$C$47)</f>
        <v/>
      </c>
      <c r="C48" s="34">
        <f>IF(Produits!$A$47="","",Produits!$D$47)</f>
        <v/>
      </c>
      <c r="D48" s="32" t="n"/>
      <c r="E48" s="29" t="n"/>
      <c r="F48" s="29" t="n"/>
      <c r="G48" s="29" t="n"/>
      <c r="H48" s="32" t="n"/>
      <c r="I48" s="29" t="n"/>
      <c r="J48" s="29" t="n"/>
      <c r="K48" s="29" t="n"/>
      <c r="L48" s="32" t="n"/>
      <c r="M48" s="29" t="n"/>
      <c r="N48" s="29" t="n"/>
      <c r="O48" s="29" t="n"/>
      <c r="P48" s="32" t="n"/>
      <c r="Q48" s="29" t="n"/>
      <c r="R48" s="29" t="n"/>
      <c r="S48" s="29" t="n"/>
      <c r="T48" s="22">
        <f>IF(COUNT(F48,J48,N48,R48)=0,"",SUM(F48,J48,N48,R48))</f>
        <v/>
      </c>
      <c r="U48" s="22">
        <f>IF(COUNT(G48,K48,O48,S48)=0,"",SUM(G48,K48,O48,S48))</f>
        <v/>
      </c>
      <c r="V48" s="22">
        <f>IF(OR(T48="",U48=""),"",U48-T48)</f>
        <v/>
      </c>
      <c r="W48" s="22">
        <f>IF(Q48&lt;&gt;"",Q48,IF(M48&lt;&gt;"",M48,IF(I48&lt;&gt;"",I48,IF(E48&lt;&gt;"",E48,""))))</f>
        <v/>
      </c>
      <c r="X48" s="18">
        <f>IF(U48="","",U48*N(Produits!$E$47))</f>
        <v/>
      </c>
    </row>
    <row r="49">
      <c r="A49" s="33">
        <f>IF(Produits!$A$48="","",Produits!$A$48)</f>
        <v/>
      </c>
      <c r="B49" s="34">
        <f>IF(Produits!$A$48="","",Produits!$C$48)</f>
        <v/>
      </c>
      <c r="C49" s="34">
        <f>IF(Produits!$A$48="","",Produits!$D$48)</f>
        <v/>
      </c>
      <c r="D49" s="32" t="n"/>
      <c r="E49" s="29" t="n"/>
      <c r="F49" s="29" t="n"/>
      <c r="G49" s="29" t="n"/>
      <c r="H49" s="32" t="n"/>
      <c r="I49" s="29" t="n"/>
      <c r="J49" s="29" t="n"/>
      <c r="K49" s="29" t="n"/>
      <c r="L49" s="32" t="n"/>
      <c r="M49" s="29" t="n"/>
      <c r="N49" s="29" t="n"/>
      <c r="O49" s="29" t="n"/>
      <c r="P49" s="32" t="n"/>
      <c r="Q49" s="29" t="n"/>
      <c r="R49" s="29" t="n"/>
      <c r="S49" s="29" t="n"/>
      <c r="T49" s="22">
        <f>IF(COUNT(F49,J49,N49,R49)=0,"",SUM(F49,J49,N49,R49))</f>
        <v/>
      </c>
      <c r="U49" s="22">
        <f>IF(COUNT(G49,K49,O49,S49)=0,"",SUM(G49,K49,O49,S49))</f>
        <v/>
      </c>
      <c r="V49" s="22">
        <f>IF(OR(T49="",U49=""),"",U49-T49)</f>
        <v/>
      </c>
      <c r="W49" s="22">
        <f>IF(Q49&lt;&gt;"",Q49,IF(M49&lt;&gt;"",M49,IF(I49&lt;&gt;"",I49,IF(E49&lt;&gt;"",E49,""))))</f>
        <v/>
      </c>
      <c r="X49" s="18">
        <f>IF(U49="","",U49*N(Produits!$E$48))</f>
        <v/>
      </c>
    </row>
    <row r="50">
      <c r="A50" s="33">
        <f>IF(Produits!$A$49="","",Produits!$A$49)</f>
        <v/>
      </c>
      <c r="B50" s="34">
        <f>IF(Produits!$A$49="","",Produits!$C$49)</f>
        <v/>
      </c>
      <c r="C50" s="34">
        <f>IF(Produits!$A$49="","",Produits!$D$49)</f>
        <v/>
      </c>
      <c r="D50" s="32" t="n"/>
      <c r="E50" s="29" t="n"/>
      <c r="F50" s="29" t="n"/>
      <c r="G50" s="29" t="n"/>
      <c r="H50" s="32" t="n"/>
      <c r="I50" s="29" t="n"/>
      <c r="J50" s="29" t="n"/>
      <c r="K50" s="29" t="n"/>
      <c r="L50" s="32" t="n"/>
      <c r="M50" s="29" t="n"/>
      <c r="N50" s="29" t="n"/>
      <c r="O50" s="29" t="n"/>
      <c r="P50" s="32" t="n"/>
      <c r="Q50" s="29" t="n"/>
      <c r="R50" s="29" t="n"/>
      <c r="S50" s="29" t="n"/>
      <c r="T50" s="22">
        <f>IF(COUNT(F50,J50,N50,R50)=0,"",SUM(F50,J50,N50,R50))</f>
        <v/>
      </c>
      <c r="U50" s="22">
        <f>IF(COUNT(G50,K50,O50,S50)=0,"",SUM(G50,K50,O50,S50))</f>
        <v/>
      </c>
      <c r="V50" s="22">
        <f>IF(OR(T50="",U50=""),"",U50-T50)</f>
        <v/>
      </c>
      <c r="W50" s="22">
        <f>IF(Q50&lt;&gt;"",Q50,IF(M50&lt;&gt;"",M50,IF(I50&lt;&gt;"",I50,IF(E50&lt;&gt;"",E50,""))))</f>
        <v/>
      </c>
      <c r="X50" s="18">
        <f>IF(U50="","",U50*N(Produits!$E$49))</f>
        <v/>
      </c>
    </row>
    <row r="51">
      <c r="A51" s="33">
        <f>IF(Produits!$A$50="","",Produits!$A$50)</f>
        <v/>
      </c>
      <c r="B51" s="34">
        <f>IF(Produits!$A$50="","",Produits!$C$50)</f>
        <v/>
      </c>
      <c r="C51" s="34">
        <f>IF(Produits!$A$50="","",Produits!$D$50)</f>
        <v/>
      </c>
      <c r="D51" s="32" t="n"/>
      <c r="E51" s="29" t="n"/>
      <c r="F51" s="29" t="n"/>
      <c r="G51" s="29" t="n"/>
      <c r="H51" s="32" t="n"/>
      <c r="I51" s="29" t="n"/>
      <c r="J51" s="29" t="n"/>
      <c r="K51" s="29" t="n"/>
      <c r="L51" s="32" t="n"/>
      <c r="M51" s="29" t="n"/>
      <c r="N51" s="29" t="n"/>
      <c r="O51" s="29" t="n"/>
      <c r="P51" s="32" t="n"/>
      <c r="Q51" s="29" t="n"/>
      <c r="R51" s="29" t="n"/>
      <c r="S51" s="29" t="n"/>
      <c r="T51" s="22">
        <f>IF(COUNT(F51,J51,N51,R51)=0,"",SUM(F51,J51,N51,R51))</f>
        <v/>
      </c>
      <c r="U51" s="22">
        <f>IF(COUNT(G51,K51,O51,S51)=0,"",SUM(G51,K51,O51,S51))</f>
        <v/>
      </c>
      <c r="V51" s="22">
        <f>IF(OR(T51="",U51=""),"",U51-T51)</f>
        <v/>
      </c>
      <c r="W51" s="22">
        <f>IF(Q51&lt;&gt;"",Q51,IF(M51&lt;&gt;"",M51,IF(I51&lt;&gt;"",I51,IF(E51&lt;&gt;"",E51,""))))</f>
        <v/>
      </c>
      <c r="X51" s="18">
        <f>IF(U51="","",U51*N(Produits!$E$50))</f>
        <v/>
      </c>
    </row>
    <row r="52">
      <c r="A52" s="33">
        <f>IF(Produits!$A$51="","",Produits!$A$51)</f>
        <v/>
      </c>
      <c r="B52" s="34">
        <f>IF(Produits!$A$51="","",Produits!$C$51)</f>
        <v/>
      </c>
      <c r="C52" s="34">
        <f>IF(Produits!$A$51="","",Produits!$D$51)</f>
        <v/>
      </c>
      <c r="D52" s="32" t="n"/>
      <c r="E52" s="29" t="n"/>
      <c r="F52" s="29" t="n"/>
      <c r="G52" s="29" t="n"/>
      <c r="H52" s="32" t="n"/>
      <c r="I52" s="29" t="n"/>
      <c r="J52" s="29" t="n"/>
      <c r="K52" s="29" t="n"/>
      <c r="L52" s="32" t="n"/>
      <c r="M52" s="29" t="n"/>
      <c r="N52" s="29" t="n"/>
      <c r="O52" s="29" t="n"/>
      <c r="P52" s="32" t="n"/>
      <c r="Q52" s="29" t="n"/>
      <c r="R52" s="29" t="n"/>
      <c r="S52" s="29" t="n"/>
      <c r="T52" s="22">
        <f>IF(COUNT(F52,J52,N52,R52)=0,"",SUM(F52,J52,N52,R52))</f>
        <v/>
      </c>
      <c r="U52" s="22">
        <f>IF(COUNT(G52,K52,O52,S52)=0,"",SUM(G52,K52,O52,S52))</f>
        <v/>
      </c>
      <c r="V52" s="22">
        <f>IF(OR(T52="",U52=""),"",U52-T52)</f>
        <v/>
      </c>
      <c r="W52" s="22">
        <f>IF(Q52&lt;&gt;"",Q52,IF(M52&lt;&gt;"",M52,IF(I52&lt;&gt;"",I52,IF(E52&lt;&gt;"",E52,""))))</f>
        <v/>
      </c>
      <c r="X52" s="18">
        <f>IF(U52="","",U52*N(Produits!$E$51))</f>
        <v/>
      </c>
    </row>
    <row r="53">
      <c r="A53" s="33">
        <f>IF(Produits!$A$52="","",Produits!$A$52)</f>
        <v/>
      </c>
      <c r="B53" s="34">
        <f>IF(Produits!$A$52="","",Produits!$C$52)</f>
        <v/>
      </c>
      <c r="C53" s="34">
        <f>IF(Produits!$A$52="","",Produits!$D$52)</f>
        <v/>
      </c>
      <c r="D53" s="32" t="n"/>
      <c r="E53" s="29" t="n"/>
      <c r="F53" s="29" t="n"/>
      <c r="G53" s="29" t="n"/>
      <c r="H53" s="32" t="n"/>
      <c r="I53" s="29" t="n"/>
      <c r="J53" s="29" t="n"/>
      <c r="K53" s="29" t="n"/>
      <c r="L53" s="32" t="n"/>
      <c r="M53" s="29" t="n"/>
      <c r="N53" s="29" t="n"/>
      <c r="O53" s="29" t="n"/>
      <c r="P53" s="32" t="n"/>
      <c r="Q53" s="29" t="n"/>
      <c r="R53" s="29" t="n"/>
      <c r="S53" s="29" t="n"/>
      <c r="T53" s="22">
        <f>IF(COUNT(F53,J53,N53,R53)=0,"",SUM(F53,J53,N53,R53))</f>
        <v/>
      </c>
      <c r="U53" s="22">
        <f>IF(COUNT(G53,K53,O53,S53)=0,"",SUM(G53,K53,O53,S53))</f>
        <v/>
      </c>
      <c r="V53" s="22">
        <f>IF(OR(T53="",U53=""),"",U53-T53)</f>
        <v/>
      </c>
      <c r="W53" s="22">
        <f>IF(Q53&lt;&gt;"",Q53,IF(M53&lt;&gt;"",M53,IF(I53&lt;&gt;"",I53,IF(E53&lt;&gt;"",E53,""))))</f>
        <v/>
      </c>
      <c r="X53" s="18">
        <f>IF(U53="","",U53*N(Produits!$E$52))</f>
        <v/>
      </c>
    </row>
    <row r="54" ht="20" customHeight="1">
      <c r="A54" s="23" t="inlineStr">
        <is>
          <t>MÉNAGER</t>
        </is>
      </c>
      <c r="B54" s="10" t="n"/>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row>
    <row r="55">
      <c r="A55" s="33">
        <f>IF(Produits!$A$54="","",Produits!$A$54)</f>
        <v/>
      </c>
      <c r="B55" s="34">
        <f>IF(Produits!$A$54="","",Produits!$C$54)</f>
        <v/>
      </c>
      <c r="C55" s="34">
        <f>IF(Produits!$A$54="","",Produits!$D$54)</f>
        <v/>
      </c>
      <c r="D55" s="32" t="n"/>
      <c r="E55" s="29" t="n"/>
      <c r="F55" s="29" t="n"/>
      <c r="G55" s="29" t="n"/>
      <c r="H55" s="32" t="n"/>
      <c r="I55" s="29" t="n"/>
      <c r="J55" s="29" t="n"/>
      <c r="K55" s="29" t="n"/>
      <c r="L55" s="32" t="n"/>
      <c r="M55" s="29" t="n"/>
      <c r="N55" s="29" t="n"/>
      <c r="O55" s="29" t="n"/>
      <c r="P55" s="32" t="n"/>
      <c r="Q55" s="29" t="n"/>
      <c r="R55" s="29" t="n"/>
      <c r="S55" s="29" t="n"/>
      <c r="T55" s="22">
        <f>IF(COUNT(F55,J55,N55,R55)=0,"",SUM(F55,J55,N55,R55))</f>
        <v/>
      </c>
      <c r="U55" s="22">
        <f>IF(COUNT(G55,K55,O55,S55)=0,"",SUM(G55,K55,O55,S55))</f>
        <v/>
      </c>
      <c r="V55" s="22">
        <f>IF(OR(T55="",U55=""),"",U55-T55)</f>
        <v/>
      </c>
      <c r="W55" s="22">
        <f>IF(Q55&lt;&gt;"",Q55,IF(M55&lt;&gt;"",M55,IF(I55&lt;&gt;"",I55,IF(E55&lt;&gt;"",E55,""))))</f>
        <v/>
      </c>
      <c r="X55" s="18">
        <f>IF(U55="","",U55*N(Produits!$E$54))</f>
        <v/>
      </c>
    </row>
    <row r="56">
      <c r="A56" s="33">
        <f>IF(Produits!$A$55="","",Produits!$A$55)</f>
        <v/>
      </c>
      <c r="B56" s="34">
        <f>IF(Produits!$A$55="","",Produits!$C$55)</f>
        <v/>
      </c>
      <c r="C56" s="34">
        <f>IF(Produits!$A$55="","",Produits!$D$55)</f>
        <v/>
      </c>
      <c r="D56" s="32" t="n"/>
      <c r="E56" s="29" t="n"/>
      <c r="F56" s="29" t="n"/>
      <c r="G56" s="29" t="n"/>
      <c r="H56" s="32" t="n"/>
      <c r="I56" s="29" t="n"/>
      <c r="J56" s="29" t="n"/>
      <c r="K56" s="29" t="n"/>
      <c r="L56" s="32" t="n"/>
      <c r="M56" s="29" t="n"/>
      <c r="N56" s="29" t="n"/>
      <c r="O56" s="29" t="n"/>
      <c r="P56" s="32" t="n"/>
      <c r="Q56" s="29" t="n"/>
      <c r="R56" s="29" t="n"/>
      <c r="S56" s="29" t="n"/>
      <c r="T56" s="22">
        <f>IF(COUNT(F56,J56,N56,R56)=0,"",SUM(F56,J56,N56,R56))</f>
        <v/>
      </c>
      <c r="U56" s="22">
        <f>IF(COUNT(G56,K56,O56,S56)=0,"",SUM(G56,K56,O56,S56))</f>
        <v/>
      </c>
      <c r="V56" s="22">
        <f>IF(OR(T56="",U56=""),"",U56-T56)</f>
        <v/>
      </c>
      <c r="W56" s="22">
        <f>IF(Q56&lt;&gt;"",Q56,IF(M56&lt;&gt;"",M56,IF(I56&lt;&gt;"",I56,IF(E56&lt;&gt;"",E56,""))))</f>
        <v/>
      </c>
      <c r="X56" s="18">
        <f>IF(U56="","",U56*N(Produits!$E$55))</f>
        <v/>
      </c>
    </row>
    <row r="57">
      <c r="A57" s="33">
        <f>IF(Produits!$A$56="","",Produits!$A$56)</f>
        <v/>
      </c>
      <c r="B57" s="34">
        <f>IF(Produits!$A$56="","",Produits!$C$56)</f>
        <v/>
      </c>
      <c r="C57" s="34">
        <f>IF(Produits!$A$56="","",Produits!$D$56)</f>
        <v/>
      </c>
      <c r="D57" s="32" t="n"/>
      <c r="E57" s="29" t="n"/>
      <c r="F57" s="29" t="n"/>
      <c r="G57" s="29" t="n"/>
      <c r="H57" s="32" t="n"/>
      <c r="I57" s="29" t="n"/>
      <c r="J57" s="29" t="n"/>
      <c r="K57" s="29" t="n"/>
      <c r="L57" s="32" t="n"/>
      <c r="M57" s="29" t="n"/>
      <c r="N57" s="29" t="n"/>
      <c r="O57" s="29" t="n"/>
      <c r="P57" s="32" t="n"/>
      <c r="Q57" s="29" t="n"/>
      <c r="R57" s="29" t="n"/>
      <c r="S57" s="29" t="n"/>
      <c r="T57" s="22">
        <f>IF(COUNT(F57,J57,N57,R57)=0,"",SUM(F57,J57,N57,R57))</f>
        <v/>
      </c>
      <c r="U57" s="22">
        <f>IF(COUNT(G57,K57,O57,S57)=0,"",SUM(G57,K57,O57,S57))</f>
        <v/>
      </c>
      <c r="V57" s="22">
        <f>IF(OR(T57="",U57=""),"",U57-T57)</f>
        <v/>
      </c>
      <c r="W57" s="22">
        <f>IF(Q57&lt;&gt;"",Q57,IF(M57&lt;&gt;"",M57,IF(I57&lt;&gt;"",I57,IF(E57&lt;&gt;"",E57,""))))</f>
        <v/>
      </c>
      <c r="X57" s="18">
        <f>IF(U57="","",U57*N(Produits!$E$56))</f>
        <v/>
      </c>
    </row>
    <row r="58">
      <c r="A58" s="33">
        <f>IF(Produits!$A$57="","",Produits!$A$57)</f>
        <v/>
      </c>
      <c r="B58" s="34">
        <f>IF(Produits!$A$57="","",Produits!$C$57)</f>
        <v/>
      </c>
      <c r="C58" s="34">
        <f>IF(Produits!$A$57="","",Produits!$D$57)</f>
        <v/>
      </c>
      <c r="D58" s="32" t="n"/>
      <c r="E58" s="29" t="n"/>
      <c r="F58" s="29" t="n"/>
      <c r="G58" s="29" t="n"/>
      <c r="H58" s="32" t="n"/>
      <c r="I58" s="29" t="n"/>
      <c r="J58" s="29" t="n"/>
      <c r="K58" s="29" t="n"/>
      <c r="L58" s="32" t="n"/>
      <c r="M58" s="29" t="n"/>
      <c r="N58" s="29" t="n"/>
      <c r="O58" s="29" t="n"/>
      <c r="P58" s="32" t="n"/>
      <c r="Q58" s="29" t="n"/>
      <c r="R58" s="29" t="n"/>
      <c r="S58" s="29" t="n"/>
      <c r="T58" s="22">
        <f>IF(COUNT(F58,J58,N58,R58)=0,"",SUM(F58,J58,N58,R58))</f>
        <v/>
      </c>
      <c r="U58" s="22">
        <f>IF(COUNT(G58,K58,O58,S58)=0,"",SUM(G58,K58,O58,S58))</f>
        <v/>
      </c>
      <c r="V58" s="22">
        <f>IF(OR(T58="",U58=""),"",U58-T58)</f>
        <v/>
      </c>
      <c r="W58" s="22">
        <f>IF(Q58&lt;&gt;"",Q58,IF(M58&lt;&gt;"",M58,IF(I58&lt;&gt;"",I58,IF(E58&lt;&gt;"",E58,""))))</f>
        <v/>
      </c>
      <c r="X58" s="18">
        <f>IF(U58="","",U58*N(Produits!$E$57))</f>
        <v/>
      </c>
    </row>
    <row r="59">
      <c r="A59" s="33">
        <f>IF(Produits!$A$58="","",Produits!$A$58)</f>
        <v/>
      </c>
      <c r="B59" s="34">
        <f>IF(Produits!$A$58="","",Produits!$C$58)</f>
        <v/>
      </c>
      <c r="C59" s="34">
        <f>IF(Produits!$A$58="","",Produits!$D$58)</f>
        <v/>
      </c>
      <c r="D59" s="32" t="n"/>
      <c r="E59" s="29" t="n"/>
      <c r="F59" s="29" t="n"/>
      <c r="G59" s="29" t="n"/>
      <c r="H59" s="32" t="n"/>
      <c r="I59" s="29" t="n"/>
      <c r="J59" s="29" t="n"/>
      <c r="K59" s="29" t="n"/>
      <c r="L59" s="32" t="n"/>
      <c r="M59" s="29" t="n"/>
      <c r="N59" s="29" t="n"/>
      <c r="O59" s="29" t="n"/>
      <c r="P59" s="32" t="n"/>
      <c r="Q59" s="29" t="n"/>
      <c r="R59" s="29" t="n"/>
      <c r="S59" s="29" t="n"/>
      <c r="T59" s="22">
        <f>IF(COUNT(F59,J59,N59,R59)=0,"",SUM(F59,J59,N59,R59))</f>
        <v/>
      </c>
      <c r="U59" s="22">
        <f>IF(COUNT(G59,K59,O59,S59)=0,"",SUM(G59,K59,O59,S59))</f>
        <v/>
      </c>
      <c r="V59" s="22">
        <f>IF(OR(T59="",U59=""),"",U59-T59)</f>
        <v/>
      </c>
      <c r="W59" s="22">
        <f>IF(Q59&lt;&gt;"",Q59,IF(M59&lt;&gt;"",M59,IF(I59&lt;&gt;"",I59,IF(E59&lt;&gt;"",E59,""))))</f>
        <v/>
      </c>
      <c r="X59" s="18">
        <f>IF(U59="","",U59*N(Produits!$E$58))</f>
        <v/>
      </c>
    </row>
    <row r="60">
      <c r="A60" s="33">
        <f>IF(Produits!$A$59="","",Produits!$A$59)</f>
        <v/>
      </c>
      <c r="B60" s="34">
        <f>IF(Produits!$A$59="","",Produits!$C$59)</f>
        <v/>
      </c>
      <c r="C60" s="34">
        <f>IF(Produits!$A$59="","",Produits!$D$59)</f>
        <v/>
      </c>
      <c r="D60" s="32" t="n"/>
      <c r="E60" s="29" t="n"/>
      <c r="F60" s="29" t="n"/>
      <c r="G60" s="29" t="n"/>
      <c r="H60" s="32" t="n"/>
      <c r="I60" s="29" t="n"/>
      <c r="J60" s="29" t="n"/>
      <c r="K60" s="29" t="n"/>
      <c r="L60" s="32" t="n"/>
      <c r="M60" s="29" t="n"/>
      <c r="N60" s="29" t="n"/>
      <c r="O60" s="29" t="n"/>
      <c r="P60" s="32" t="n"/>
      <c r="Q60" s="29" t="n"/>
      <c r="R60" s="29" t="n"/>
      <c r="S60" s="29" t="n"/>
      <c r="T60" s="22">
        <f>IF(COUNT(F60,J60,N60,R60)=0,"",SUM(F60,J60,N60,R60))</f>
        <v/>
      </c>
      <c r="U60" s="22">
        <f>IF(COUNT(G60,K60,O60,S60)=0,"",SUM(G60,K60,O60,S60))</f>
        <v/>
      </c>
      <c r="V60" s="22">
        <f>IF(OR(T60="",U60=""),"",U60-T60)</f>
        <v/>
      </c>
      <c r="W60" s="22">
        <f>IF(Q60&lt;&gt;"",Q60,IF(M60&lt;&gt;"",M60,IF(I60&lt;&gt;"",I60,IF(E60&lt;&gt;"",E60,""))))</f>
        <v/>
      </c>
      <c r="X60" s="18">
        <f>IF(U60="","",U60*N(Produits!$E$59))</f>
        <v/>
      </c>
    </row>
    <row r="61">
      <c r="A61" s="33">
        <f>IF(Produits!$A$60="","",Produits!$A$60)</f>
        <v/>
      </c>
      <c r="B61" s="34">
        <f>IF(Produits!$A$60="","",Produits!$C$60)</f>
        <v/>
      </c>
      <c r="C61" s="34">
        <f>IF(Produits!$A$60="","",Produits!$D$60)</f>
        <v/>
      </c>
      <c r="D61" s="32" t="n"/>
      <c r="E61" s="29" t="n"/>
      <c r="F61" s="29" t="n"/>
      <c r="G61" s="29" t="n"/>
      <c r="H61" s="32" t="n"/>
      <c r="I61" s="29" t="n"/>
      <c r="J61" s="29" t="n"/>
      <c r="K61" s="29" t="n"/>
      <c r="L61" s="32" t="n"/>
      <c r="M61" s="29" t="n"/>
      <c r="N61" s="29" t="n"/>
      <c r="O61" s="29" t="n"/>
      <c r="P61" s="32" t="n"/>
      <c r="Q61" s="29" t="n"/>
      <c r="R61" s="29" t="n"/>
      <c r="S61" s="29" t="n"/>
      <c r="T61" s="22">
        <f>IF(COUNT(F61,J61,N61,R61)=0,"",SUM(F61,J61,N61,R61))</f>
        <v/>
      </c>
      <c r="U61" s="22">
        <f>IF(COUNT(G61,K61,O61,S61)=0,"",SUM(G61,K61,O61,S61))</f>
        <v/>
      </c>
      <c r="V61" s="22">
        <f>IF(OR(T61="",U61=""),"",U61-T61)</f>
        <v/>
      </c>
      <c r="W61" s="22">
        <f>IF(Q61&lt;&gt;"",Q61,IF(M61&lt;&gt;"",M61,IF(I61&lt;&gt;"",I61,IF(E61&lt;&gt;"",E61,""))))</f>
        <v/>
      </c>
      <c r="X61" s="18">
        <f>IF(U61="","",U61*N(Produits!$E$60))</f>
        <v/>
      </c>
    </row>
    <row r="62">
      <c r="A62" s="33">
        <f>IF(Produits!$A$61="","",Produits!$A$61)</f>
        <v/>
      </c>
      <c r="B62" s="34">
        <f>IF(Produits!$A$61="","",Produits!$C$61)</f>
        <v/>
      </c>
      <c r="C62" s="34">
        <f>IF(Produits!$A$61="","",Produits!$D$61)</f>
        <v/>
      </c>
      <c r="D62" s="32" t="n"/>
      <c r="E62" s="29" t="n"/>
      <c r="F62" s="29" t="n"/>
      <c r="G62" s="29" t="n"/>
      <c r="H62" s="32" t="n"/>
      <c r="I62" s="29" t="n"/>
      <c r="J62" s="29" t="n"/>
      <c r="K62" s="29" t="n"/>
      <c r="L62" s="32" t="n"/>
      <c r="M62" s="29" t="n"/>
      <c r="N62" s="29" t="n"/>
      <c r="O62" s="29" t="n"/>
      <c r="P62" s="32" t="n"/>
      <c r="Q62" s="29" t="n"/>
      <c r="R62" s="29" t="n"/>
      <c r="S62" s="29" t="n"/>
      <c r="T62" s="22">
        <f>IF(COUNT(F62,J62,N62,R62)=0,"",SUM(F62,J62,N62,R62))</f>
        <v/>
      </c>
      <c r="U62" s="22">
        <f>IF(COUNT(G62,K62,O62,S62)=0,"",SUM(G62,K62,O62,S62))</f>
        <v/>
      </c>
      <c r="V62" s="22">
        <f>IF(OR(T62="",U62=""),"",U62-T62)</f>
        <v/>
      </c>
      <c r="W62" s="22">
        <f>IF(Q62&lt;&gt;"",Q62,IF(M62&lt;&gt;"",M62,IF(I62&lt;&gt;"",I62,IF(E62&lt;&gt;"",E62,""))))</f>
        <v/>
      </c>
      <c r="X62" s="18">
        <f>IF(U62="","",U62*N(Produits!$E$61))</f>
        <v/>
      </c>
    </row>
    <row r="63">
      <c r="A63" s="33">
        <f>IF(Produits!$A$62="","",Produits!$A$62)</f>
        <v/>
      </c>
      <c r="B63" s="34">
        <f>IF(Produits!$A$62="","",Produits!$C$62)</f>
        <v/>
      </c>
      <c r="C63" s="34">
        <f>IF(Produits!$A$62="","",Produits!$D$62)</f>
        <v/>
      </c>
      <c r="D63" s="32" t="n"/>
      <c r="E63" s="29" t="n"/>
      <c r="F63" s="29" t="n"/>
      <c r="G63" s="29" t="n"/>
      <c r="H63" s="32" t="n"/>
      <c r="I63" s="29" t="n"/>
      <c r="J63" s="29" t="n"/>
      <c r="K63" s="29" t="n"/>
      <c r="L63" s="32" t="n"/>
      <c r="M63" s="29" t="n"/>
      <c r="N63" s="29" t="n"/>
      <c r="O63" s="29" t="n"/>
      <c r="P63" s="32" t="n"/>
      <c r="Q63" s="29" t="n"/>
      <c r="R63" s="29" t="n"/>
      <c r="S63" s="29" t="n"/>
      <c r="T63" s="22">
        <f>IF(COUNT(F63,J63,N63,R63)=0,"",SUM(F63,J63,N63,R63))</f>
        <v/>
      </c>
      <c r="U63" s="22">
        <f>IF(COUNT(G63,K63,O63,S63)=0,"",SUM(G63,K63,O63,S63))</f>
        <v/>
      </c>
      <c r="V63" s="22">
        <f>IF(OR(T63="",U63=""),"",U63-T63)</f>
        <v/>
      </c>
      <c r="W63" s="22">
        <f>IF(Q63&lt;&gt;"",Q63,IF(M63&lt;&gt;"",M63,IF(I63&lt;&gt;"",I63,IF(E63&lt;&gt;"",E63,""))))</f>
        <v/>
      </c>
      <c r="X63" s="18">
        <f>IF(U63="","",U63*N(Produits!$E$62))</f>
        <v/>
      </c>
    </row>
    <row r="64">
      <c r="A64" s="33">
        <f>IF(Produits!$A$63="","",Produits!$A$63)</f>
        <v/>
      </c>
      <c r="B64" s="34">
        <f>IF(Produits!$A$63="","",Produits!$C$63)</f>
        <v/>
      </c>
      <c r="C64" s="34">
        <f>IF(Produits!$A$63="","",Produits!$D$63)</f>
        <v/>
      </c>
      <c r="D64" s="32" t="n"/>
      <c r="E64" s="29" t="n"/>
      <c r="F64" s="29" t="n"/>
      <c r="G64" s="29" t="n"/>
      <c r="H64" s="32" t="n"/>
      <c r="I64" s="29" t="n"/>
      <c r="J64" s="29" t="n"/>
      <c r="K64" s="29" t="n"/>
      <c r="L64" s="32" t="n"/>
      <c r="M64" s="29" t="n"/>
      <c r="N64" s="29" t="n"/>
      <c r="O64" s="29" t="n"/>
      <c r="P64" s="32" t="n"/>
      <c r="Q64" s="29" t="n"/>
      <c r="R64" s="29" t="n"/>
      <c r="S64" s="29" t="n"/>
      <c r="T64" s="22">
        <f>IF(COUNT(F64,J64,N64,R64)=0,"",SUM(F64,J64,N64,R64))</f>
        <v/>
      </c>
      <c r="U64" s="22">
        <f>IF(COUNT(G64,K64,O64,S64)=0,"",SUM(G64,K64,O64,S64))</f>
        <v/>
      </c>
      <c r="V64" s="22">
        <f>IF(OR(T64="",U64=""),"",U64-T64)</f>
        <v/>
      </c>
      <c r="W64" s="22">
        <f>IF(Q64&lt;&gt;"",Q64,IF(M64&lt;&gt;"",M64,IF(I64&lt;&gt;"",I64,IF(E64&lt;&gt;"",E64,""))))</f>
        <v/>
      </c>
      <c r="X64" s="18">
        <f>IF(U64="","",U64*N(Produits!$E$63))</f>
        <v/>
      </c>
    </row>
    <row r="65">
      <c r="A65" s="33">
        <f>IF(Produits!$A$64="","",Produits!$A$64)</f>
        <v/>
      </c>
      <c r="B65" s="34">
        <f>IF(Produits!$A$64="","",Produits!$C$64)</f>
        <v/>
      </c>
      <c r="C65" s="34">
        <f>IF(Produits!$A$64="","",Produits!$D$64)</f>
        <v/>
      </c>
      <c r="D65" s="32" t="n"/>
      <c r="E65" s="29" t="n"/>
      <c r="F65" s="29" t="n"/>
      <c r="G65" s="29" t="n"/>
      <c r="H65" s="32" t="n"/>
      <c r="I65" s="29" t="n"/>
      <c r="J65" s="29" t="n"/>
      <c r="K65" s="29" t="n"/>
      <c r="L65" s="32" t="n"/>
      <c r="M65" s="29" t="n"/>
      <c r="N65" s="29" t="n"/>
      <c r="O65" s="29" t="n"/>
      <c r="P65" s="32" t="n"/>
      <c r="Q65" s="29" t="n"/>
      <c r="R65" s="29" t="n"/>
      <c r="S65" s="29" t="n"/>
      <c r="T65" s="22">
        <f>IF(COUNT(F65,J65,N65,R65)=0,"",SUM(F65,J65,N65,R65))</f>
        <v/>
      </c>
      <c r="U65" s="22">
        <f>IF(COUNT(G65,K65,O65,S65)=0,"",SUM(G65,K65,O65,S65))</f>
        <v/>
      </c>
      <c r="V65" s="22">
        <f>IF(OR(T65="",U65=""),"",U65-T65)</f>
        <v/>
      </c>
      <c r="W65" s="22">
        <f>IF(Q65&lt;&gt;"",Q65,IF(M65&lt;&gt;"",M65,IF(I65&lt;&gt;"",I65,IF(E65&lt;&gt;"",E65,""))))</f>
        <v/>
      </c>
      <c r="X65" s="18">
        <f>IF(U65="","",U65*N(Produits!$E$64))</f>
        <v/>
      </c>
    </row>
    <row r="66">
      <c r="A66" s="33">
        <f>IF(Produits!$A$65="","",Produits!$A$65)</f>
        <v/>
      </c>
      <c r="B66" s="34">
        <f>IF(Produits!$A$65="","",Produits!$C$65)</f>
        <v/>
      </c>
      <c r="C66" s="34">
        <f>IF(Produits!$A$65="","",Produits!$D$65)</f>
        <v/>
      </c>
      <c r="D66" s="32" t="n"/>
      <c r="E66" s="29" t="n"/>
      <c r="F66" s="29" t="n"/>
      <c r="G66" s="29" t="n"/>
      <c r="H66" s="32" t="n"/>
      <c r="I66" s="29" t="n"/>
      <c r="J66" s="29" t="n"/>
      <c r="K66" s="29" t="n"/>
      <c r="L66" s="32" t="n"/>
      <c r="M66" s="29" t="n"/>
      <c r="N66" s="29" t="n"/>
      <c r="O66" s="29" t="n"/>
      <c r="P66" s="32" t="n"/>
      <c r="Q66" s="29" t="n"/>
      <c r="R66" s="29" t="n"/>
      <c r="S66" s="29" t="n"/>
      <c r="T66" s="22">
        <f>IF(COUNT(F66,J66,N66,R66)=0,"",SUM(F66,J66,N66,R66))</f>
        <v/>
      </c>
      <c r="U66" s="22">
        <f>IF(COUNT(G66,K66,O66,S66)=0,"",SUM(G66,K66,O66,S66))</f>
        <v/>
      </c>
      <c r="V66" s="22">
        <f>IF(OR(T66="",U66=""),"",U66-T66)</f>
        <v/>
      </c>
      <c r="W66" s="22">
        <f>IF(Q66&lt;&gt;"",Q66,IF(M66&lt;&gt;"",M66,IF(I66&lt;&gt;"",I66,IF(E66&lt;&gt;"",E66,""))))</f>
        <v/>
      </c>
      <c r="X66" s="18">
        <f>IF(U66="","",U66*N(Produits!$E$65))</f>
        <v/>
      </c>
    </row>
    <row r="67">
      <c r="A67" s="33">
        <f>IF(Produits!$A$66="","",Produits!$A$66)</f>
        <v/>
      </c>
      <c r="B67" s="34">
        <f>IF(Produits!$A$66="","",Produits!$C$66)</f>
        <v/>
      </c>
      <c r="C67" s="34">
        <f>IF(Produits!$A$66="","",Produits!$D$66)</f>
        <v/>
      </c>
      <c r="D67" s="32" t="n"/>
      <c r="E67" s="29" t="n"/>
      <c r="F67" s="29" t="n"/>
      <c r="G67" s="29" t="n"/>
      <c r="H67" s="32" t="n"/>
      <c r="I67" s="29" t="n"/>
      <c r="J67" s="29" t="n"/>
      <c r="K67" s="29" t="n"/>
      <c r="L67" s="32" t="n"/>
      <c r="M67" s="29" t="n"/>
      <c r="N67" s="29" t="n"/>
      <c r="O67" s="29" t="n"/>
      <c r="P67" s="32" t="n"/>
      <c r="Q67" s="29" t="n"/>
      <c r="R67" s="29" t="n"/>
      <c r="S67" s="29" t="n"/>
      <c r="T67" s="22">
        <f>IF(COUNT(F67,J67,N67,R67)=0,"",SUM(F67,J67,N67,R67))</f>
        <v/>
      </c>
      <c r="U67" s="22">
        <f>IF(COUNT(G67,K67,O67,S67)=0,"",SUM(G67,K67,O67,S67))</f>
        <v/>
      </c>
      <c r="V67" s="22">
        <f>IF(OR(T67="",U67=""),"",U67-T67)</f>
        <v/>
      </c>
      <c r="W67" s="22">
        <f>IF(Q67&lt;&gt;"",Q67,IF(M67&lt;&gt;"",M67,IF(I67&lt;&gt;"",I67,IF(E67&lt;&gt;"",E67,""))))</f>
        <v/>
      </c>
      <c r="X67" s="18">
        <f>IF(U67="","",U67*N(Produits!$E$66))</f>
        <v/>
      </c>
    </row>
    <row r="68">
      <c r="A68" s="33">
        <f>IF(Produits!$A$67="","",Produits!$A$67)</f>
        <v/>
      </c>
      <c r="B68" s="34">
        <f>IF(Produits!$A$67="","",Produits!$C$67)</f>
        <v/>
      </c>
      <c r="C68" s="34">
        <f>IF(Produits!$A$67="","",Produits!$D$67)</f>
        <v/>
      </c>
      <c r="D68" s="32" t="n"/>
      <c r="E68" s="29" t="n"/>
      <c r="F68" s="29" t="n"/>
      <c r="G68" s="29" t="n"/>
      <c r="H68" s="32" t="n"/>
      <c r="I68" s="29" t="n"/>
      <c r="J68" s="29" t="n"/>
      <c r="K68" s="29" t="n"/>
      <c r="L68" s="32" t="n"/>
      <c r="M68" s="29" t="n"/>
      <c r="N68" s="29" t="n"/>
      <c r="O68" s="29" t="n"/>
      <c r="P68" s="32" t="n"/>
      <c r="Q68" s="29" t="n"/>
      <c r="R68" s="29" t="n"/>
      <c r="S68" s="29" t="n"/>
      <c r="T68" s="22">
        <f>IF(COUNT(F68,J68,N68,R68)=0,"",SUM(F68,J68,N68,R68))</f>
        <v/>
      </c>
      <c r="U68" s="22">
        <f>IF(COUNT(G68,K68,O68,S68)=0,"",SUM(G68,K68,O68,S68))</f>
        <v/>
      </c>
      <c r="V68" s="22">
        <f>IF(OR(T68="",U68=""),"",U68-T68)</f>
        <v/>
      </c>
      <c r="W68" s="22">
        <f>IF(Q68&lt;&gt;"",Q68,IF(M68&lt;&gt;"",M68,IF(I68&lt;&gt;"",I68,IF(E68&lt;&gt;"",E68,""))))</f>
        <v/>
      </c>
      <c r="X68" s="18">
        <f>IF(U68="","",U68*N(Produits!$E$67))</f>
        <v/>
      </c>
    </row>
    <row r="69">
      <c r="A69" s="33">
        <f>IF(Produits!$A$68="","",Produits!$A$68)</f>
        <v/>
      </c>
      <c r="B69" s="34">
        <f>IF(Produits!$A$68="","",Produits!$C$68)</f>
        <v/>
      </c>
      <c r="C69" s="34">
        <f>IF(Produits!$A$68="","",Produits!$D$68)</f>
        <v/>
      </c>
      <c r="D69" s="32" t="n"/>
      <c r="E69" s="29" t="n"/>
      <c r="F69" s="29" t="n"/>
      <c r="G69" s="29" t="n"/>
      <c r="H69" s="32" t="n"/>
      <c r="I69" s="29" t="n"/>
      <c r="J69" s="29" t="n"/>
      <c r="K69" s="29" t="n"/>
      <c r="L69" s="32" t="n"/>
      <c r="M69" s="29" t="n"/>
      <c r="N69" s="29" t="n"/>
      <c r="O69" s="29" t="n"/>
      <c r="P69" s="32" t="n"/>
      <c r="Q69" s="29" t="n"/>
      <c r="R69" s="29" t="n"/>
      <c r="S69" s="29" t="n"/>
      <c r="T69" s="22">
        <f>IF(COUNT(F69,J69,N69,R69)=0,"",SUM(F69,J69,N69,R69))</f>
        <v/>
      </c>
      <c r="U69" s="22">
        <f>IF(COUNT(G69,K69,O69,S69)=0,"",SUM(G69,K69,O69,S69))</f>
        <v/>
      </c>
      <c r="V69" s="22">
        <f>IF(OR(T69="",U69=""),"",U69-T69)</f>
        <v/>
      </c>
      <c r="W69" s="22">
        <f>IF(Q69&lt;&gt;"",Q69,IF(M69&lt;&gt;"",M69,IF(I69&lt;&gt;"",I69,IF(E69&lt;&gt;"",E69,""))))</f>
        <v/>
      </c>
      <c r="X69" s="18">
        <f>IF(U69="","",U69*N(Produits!$E$68))</f>
        <v/>
      </c>
    </row>
    <row r="71">
      <c r="A71" s="15" t="inlineStr">
        <is>
          <t>Total des dépenses du mois</t>
        </is>
      </c>
      <c r="B71" s="19" t="n"/>
      <c r="C71" s="19" t="n"/>
      <c r="X71" s="35">
        <f>SUM(X7:X69)</f>
        <v/>
      </c>
    </row>
  </sheetData>
  <mergeCells count="14">
    <mergeCell ref="H4:K4"/>
    <mergeCell ref="A71:C71"/>
    <mergeCell ref="B4:B5"/>
    <mergeCell ref="C4:C5"/>
    <mergeCell ref="A4:A5"/>
    <mergeCell ref="T4:W4"/>
    <mergeCell ref="X4:X5"/>
    <mergeCell ref="A38:X38"/>
    <mergeCell ref="A54:X54"/>
    <mergeCell ref="L4:O4"/>
    <mergeCell ref="P4:S4"/>
    <mergeCell ref="A6:X6"/>
    <mergeCell ref="A22:X22"/>
    <mergeCell ref="D4:G4"/>
  </mergeCells>
  <conditionalFormatting sqref="V7:V69">
    <cfRule type="expression" priority="1" dxfId="0">
      <formula>AND(ISNUMBER(V7),V7&lt;0)</formula>
    </cfRule>
  </conditionalFormatting>
  <conditionalFormatting sqref="E7:E69">
    <cfRule type="expression" priority="2" dxfId="1">
      <formula>AND(ISNUMBER(E7),ISNUMBER($C7),E7&lt;=$C7)</formula>
    </cfRule>
  </conditionalFormatting>
  <conditionalFormatting sqref="G7:G69">
    <cfRule type="expression" priority="3" dxfId="0">
      <formula>AND(ISNUMBER(G7),ISNUMBER(F7),G7&lt;F7)</formula>
    </cfRule>
  </conditionalFormatting>
  <conditionalFormatting sqref="I7:I69">
    <cfRule type="expression" priority="4" dxfId="1">
      <formula>AND(ISNUMBER(I7),ISNUMBER($C7),I7&lt;=$C7)</formula>
    </cfRule>
  </conditionalFormatting>
  <conditionalFormatting sqref="K7:K69">
    <cfRule type="expression" priority="5" dxfId="0">
      <formula>AND(ISNUMBER(K7),ISNUMBER(J7),K7&lt;J7)</formula>
    </cfRule>
  </conditionalFormatting>
  <conditionalFormatting sqref="M7:M69">
    <cfRule type="expression" priority="6" dxfId="1">
      <formula>AND(ISNUMBER(M7),ISNUMBER($C7),M7&lt;=$C7)</formula>
    </cfRule>
  </conditionalFormatting>
  <conditionalFormatting sqref="O7:O69">
    <cfRule type="expression" priority="7" dxfId="0">
      <formula>AND(ISNUMBER(O7),ISNUMBER(N7),O7&lt;N7)</formula>
    </cfRule>
  </conditionalFormatting>
  <conditionalFormatting sqref="Q7:Q69">
    <cfRule type="expression" priority="8" dxfId="1">
      <formula>AND(ISNUMBER(Q7),ISNUMBER($C7),Q7&lt;=$C7)</formula>
    </cfRule>
  </conditionalFormatting>
  <conditionalFormatting sqref="S7:S69">
    <cfRule type="expression" priority="9" dxfId="0">
      <formula>AND(ISNUMBER(S7),ISNUMBER(R7),S7&lt;R7)</formula>
    </cfRule>
  </conditionalFormatting>
  <dataValidations count="4">
    <dataValidation sqref="E7:G69" showDropDown="0" showInputMessage="0" showErrorMessage="1" allowBlank="1" errorTitle="Valeur invalide" error="Entre un nombre positif (ou laisse vide)." type="decimal" operator="greaterThanOrEqual">
      <formula1>0</formula1>
    </dataValidation>
    <dataValidation sqref="I7:K69" showDropDown="0" showInputMessage="0" showErrorMessage="1" allowBlank="1" errorTitle="Valeur invalide" error="Entre un nombre positif (ou laisse vide)." type="decimal" operator="greaterThanOrEqual">
      <formula1>0</formula1>
    </dataValidation>
    <dataValidation sqref="M7:O69" showDropDown="0" showInputMessage="0" showErrorMessage="1" allowBlank="1" errorTitle="Valeur invalide" error="Entre un nombre positif (ou laisse vide)." type="decimal" operator="greaterThanOrEqual">
      <formula1>0</formula1>
    </dataValidation>
    <dataValidation sqref="Q7:S69"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Q194"/>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5" customWidth="1" min="16" max="16"/>
    <col width="15" customWidth="1" min="17" max="17"/>
  </cols>
  <sheetData>
    <row r="1" ht="26" customHeight="1">
      <c r="A1" s="1" t="inlineStr">
        <is>
          <t>Année 2026</t>
        </is>
      </c>
    </row>
    <row r="2">
      <c r="A2" s="2" t="inlineStr">
        <is>
          <t>Calculé à partir des 12 onglets mensuels — rien à remplir</t>
        </is>
      </c>
    </row>
    <row r="4">
      <c r="A4" s="14" t="inlineStr">
        <is>
          <t>Quantités reçues par mois</t>
        </is>
      </c>
    </row>
    <row r="5">
      <c r="A5" s="15" t="inlineStr">
        <is>
          <t>Produit</t>
        </is>
      </c>
      <c r="B5" s="15" t="inlineStr">
        <is>
          <t>Unité</t>
        </is>
      </c>
      <c r="C5" s="15" t="inlineStr">
        <is>
          <t>Janv.</t>
        </is>
      </c>
      <c r="D5" s="15" t="inlineStr">
        <is>
          <t>Févr.</t>
        </is>
      </c>
      <c r="E5" s="15" t="inlineStr">
        <is>
          <t>Mars</t>
        </is>
      </c>
      <c r="F5" s="15" t="inlineStr">
        <is>
          <t>Avr.</t>
        </is>
      </c>
      <c r="G5" s="15" t="inlineStr">
        <is>
          <t>Mai</t>
        </is>
      </c>
      <c r="H5" s="15" t="inlineStr">
        <is>
          <t>Juin</t>
        </is>
      </c>
      <c r="I5" s="15" t="inlineStr">
        <is>
          <t>Juil.</t>
        </is>
      </c>
      <c r="J5" s="15" t="inlineStr">
        <is>
          <t>Août</t>
        </is>
      </c>
      <c r="K5" s="15" t="inlineStr">
        <is>
          <t>Sept.</t>
        </is>
      </c>
      <c r="L5" s="15" t="inlineStr">
        <is>
          <t>Oct.</t>
        </is>
      </c>
      <c r="M5" s="15" t="inlineStr">
        <is>
          <t>Nov.</t>
        </is>
      </c>
      <c r="N5" s="15" t="inlineStr">
        <is>
          <t>Déc.</t>
        </is>
      </c>
      <c r="O5" s="15" t="inlineStr">
        <is>
          <t>Total</t>
        </is>
      </c>
      <c r="P5" s="15" t="inlineStr">
        <is>
          <t>Moyenne / mois</t>
        </is>
      </c>
      <c r="Q5" s="15" t="inlineStr">
        <is>
          <t>Plus gros mois</t>
        </is>
      </c>
    </row>
    <row r="6">
      <c r="A6" s="33">
        <f>IF(Produits!$A$6="","",Produits!$A$6)</f>
        <v/>
      </c>
      <c r="B6" s="34">
        <f>IF(Produits!$A$6="","",Produits!$C$6)</f>
        <v/>
      </c>
      <c r="C6" s="11">
        <f>IF(N('Janvier'!U7)=0,"",N('Janvier'!U7))</f>
        <v/>
      </c>
      <c r="D6" s="11">
        <f>IF(N('Février'!U7)=0,"",N('Février'!U7))</f>
        <v/>
      </c>
      <c r="E6" s="11">
        <f>IF(N('Mars'!U7)=0,"",N('Mars'!U7))</f>
        <v/>
      </c>
      <c r="F6" s="11">
        <f>IF(N('Avril'!U7)=0,"",N('Avril'!U7))</f>
        <v/>
      </c>
      <c r="G6" s="11">
        <f>IF(N('Mai'!U7)=0,"",N('Mai'!U7))</f>
        <v/>
      </c>
      <c r="H6" s="11">
        <f>IF(N('Juin'!U7)=0,"",N('Juin'!U7))</f>
        <v/>
      </c>
      <c r="I6" s="11">
        <f>IF(N('Juillet'!U7)=0,"",N('Juillet'!U7))</f>
        <v/>
      </c>
      <c r="J6" s="11">
        <f>IF(N('Août'!U7)=0,"",N('Août'!U7))</f>
        <v/>
      </c>
      <c r="K6" s="11">
        <f>IF(N('Septembre'!U7)=0,"",N('Septembre'!U7))</f>
        <v/>
      </c>
      <c r="L6" s="11">
        <f>IF(N('Octobre'!U7)=0,"",N('Octobre'!U7))</f>
        <v/>
      </c>
      <c r="M6" s="11">
        <f>IF(N('Novembre'!U7)=0,"",N('Novembre'!U7))</f>
        <v/>
      </c>
      <c r="N6" s="11">
        <f>IF(N('Décembre'!U7)=0,"",N('Décembre'!U7))</f>
        <v/>
      </c>
      <c r="O6" s="22">
        <f>IF(COUNT(C6:N6)=0,"",SUM(C6:N6))</f>
        <v/>
      </c>
      <c r="P6" s="22">
        <f>IF(COUNT(C6:N6)=0,"",ROUND(AVERAGE(C6:N6),1))</f>
        <v/>
      </c>
      <c r="Q6" s="11">
        <f>IF(COUNT(C6:N6)=0,"",MAX(C6:N6))</f>
        <v/>
      </c>
    </row>
    <row r="7">
      <c r="A7" s="33">
        <f>IF(Produits!$A$7="","",Produits!$A$7)</f>
        <v/>
      </c>
      <c r="B7" s="34">
        <f>IF(Produits!$A$7="","",Produits!$C$7)</f>
        <v/>
      </c>
      <c r="C7" s="11">
        <f>IF(N('Janvier'!U8)=0,"",N('Janvier'!U8))</f>
        <v/>
      </c>
      <c r="D7" s="11">
        <f>IF(N('Février'!U8)=0,"",N('Février'!U8))</f>
        <v/>
      </c>
      <c r="E7" s="11">
        <f>IF(N('Mars'!U8)=0,"",N('Mars'!U8))</f>
        <v/>
      </c>
      <c r="F7" s="11">
        <f>IF(N('Avril'!U8)=0,"",N('Avril'!U8))</f>
        <v/>
      </c>
      <c r="G7" s="11">
        <f>IF(N('Mai'!U8)=0,"",N('Mai'!U8))</f>
        <v/>
      </c>
      <c r="H7" s="11">
        <f>IF(N('Juin'!U8)=0,"",N('Juin'!U8))</f>
        <v/>
      </c>
      <c r="I7" s="11">
        <f>IF(N('Juillet'!U8)=0,"",N('Juillet'!U8))</f>
        <v/>
      </c>
      <c r="J7" s="11">
        <f>IF(N('Août'!U8)=0,"",N('Août'!U8))</f>
        <v/>
      </c>
      <c r="K7" s="11">
        <f>IF(N('Septembre'!U8)=0,"",N('Septembre'!U8))</f>
        <v/>
      </c>
      <c r="L7" s="11">
        <f>IF(N('Octobre'!U8)=0,"",N('Octobre'!U8))</f>
        <v/>
      </c>
      <c r="M7" s="11">
        <f>IF(N('Novembre'!U8)=0,"",N('Novembre'!U8))</f>
        <v/>
      </c>
      <c r="N7" s="11">
        <f>IF(N('Décembre'!U8)=0,"",N('Décembre'!U8))</f>
        <v/>
      </c>
      <c r="O7" s="22">
        <f>IF(COUNT(C7:N7)=0,"",SUM(C7:N7))</f>
        <v/>
      </c>
      <c r="P7" s="22">
        <f>IF(COUNT(C7:N7)=0,"",ROUND(AVERAGE(C7:N7),1))</f>
        <v/>
      </c>
      <c r="Q7" s="11">
        <f>IF(COUNT(C7:N7)=0,"",MAX(C7:N7))</f>
        <v/>
      </c>
    </row>
    <row r="8">
      <c r="A8" s="33">
        <f>IF(Produits!$A$8="","",Produits!$A$8)</f>
        <v/>
      </c>
      <c r="B8" s="34">
        <f>IF(Produits!$A$8="","",Produits!$C$8)</f>
        <v/>
      </c>
      <c r="C8" s="11">
        <f>IF(N('Janvier'!U9)=0,"",N('Janvier'!U9))</f>
        <v/>
      </c>
      <c r="D8" s="11">
        <f>IF(N('Février'!U9)=0,"",N('Février'!U9))</f>
        <v/>
      </c>
      <c r="E8" s="11">
        <f>IF(N('Mars'!U9)=0,"",N('Mars'!U9))</f>
        <v/>
      </c>
      <c r="F8" s="11">
        <f>IF(N('Avril'!U9)=0,"",N('Avril'!U9))</f>
        <v/>
      </c>
      <c r="G8" s="11">
        <f>IF(N('Mai'!U9)=0,"",N('Mai'!U9))</f>
        <v/>
      </c>
      <c r="H8" s="11">
        <f>IF(N('Juin'!U9)=0,"",N('Juin'!U9))</f>
        <v/>
      </c>
      <c r="I8" s="11">
        <f>IF(N('Juillet'!U9)=0,"",N('Juillet'!U9))</f>
        <v/>
      </c>
      <c r="J8" s="11">
        <f>IF(N('Août'!U9)=0,"",N('Août'!U9))</f>
        <v/>
      </c>
      <c r="K8" s="11">
        <f>IF(N('Septembre'!U9)=0,"",N('Septembre'!U9))</f>
        <v/>
      </c>
      <c r="L8" s="11">
        <f>IF(N('Octobre'!U9)=0,"",N('Octobre'!U9))</f>
        <v/>
      </c>
      <c r="M8" s="11">
        <f>IF(N('Novembre'!U9)=0,"",N('Novembre'!U9))</f>
        <v/>
      </c>
      <c r="N8" s="11">
        <f>IF(N('Décembre'!U9)=0,"",N('Décembre'!U9))</f>
        <v/>
      </c>
      <c r="O8" s="22">
        <f>IF(COUNT(C8:N8)=0,"",SUM(C8:N8))</f>
        <v/>
      </c>
      <c r="P8" s="22">
        <f>IF(COUNT(C8:N8)=0,"",ROUND(AVERAGE(C8:N8),1))</f>
        <v/>
      </c>
      <c r="Q8" s="11">
        <f>IF(COUNT(C8:N8)=0,"",MAX(C8:N8))</f>
        <v/>
      </c>
    </row>
    <row r="9">
      <c r="A9" s="33">
        <f>IF(Produits!$A$9="","",Produits!$A$9)</f>
        <v/>
      </c>
      <c r="B9" s="34">
        <f>IF(Produits!$A$9="","",Produits!$C$9)</f>
        <v/>
      </c>
      <c r="C9" s="11">
        <f>IF(N('Janvier'!U10)=0,"",N('Janvier'!U10))</f>
        <v/>
      </c>
      <c r="D9" s="11">
        <f>IF(N('Février'!U10)=0,"",N('Février'!U10))</f>
        <v/>
      </c>
      <c r="E9" s="11">
        <f>IF(N('Mars'!U10)=0,"",N('Mars'!U10))</f>
        <v/>
      </c>
      <c r="F9" s="11">
        <f>IF(N('Avril'!U10)=0,"",N('Avril'!U10))</f>
        <v/>
      </c>
      <c r="G9" s="11">
        <f>IF(N('Mai'!U10)=0,"",N('Mai'!U10))</f>
        <v/>
      </c>
      <c r="H9" s="11">
        <f>IF(N('Juin'!U10)=0,"",N('Juin'!U10))</f>
        <v/>
      </c>
      <c r="I9" s="11">
        <f>IF(N('Juillet'!U10)=0,"",N('Juillet'!U10))</f>
        <v/>
      </c>
      <c r="J9" s="11">
        <f>IF(N('Août'!U10)=0,"",N('Août'!U10))</f>
        <v/>
      </c>
      <c r="K9" s="11">
        <f>IF(N('Septembre'!U10)=0,"",N('Septembre'!U10))</f>
        <v/>
      </c>
      <c r="L9" s="11">
        <f>IF(N('Octobre'!U10)=0,"",N('Octobre'!U10))</f>
        <v/>
      </c>
      <c r="M9" s="11">
        <f>IF(N('Novembre'!U10)=0,"",N('Novembre'!U10))</f>
        <v/>
      </c>
      <c r="N9" s="11">
        <f>IF(N('Décembre'!U10)=0,"",N('Décembre'!U10))</f>
        <v/>
      </c>
      <c r="O9" s="22">
        <f>IF(COUNT(C9:N9)=0,"",SUM(C9:N9))</f>
        <v/>
      </c>
      <c r="P9" s="22">
        <f>IF(COUNT(C9:N9)=0,"",ROUND(AVERAGE(C9:N9),1))</f>
        <v/>
      </c>
      <c r="Q9" s="11">
        <f>IF(COUNT(C9:N9)=0,"",MAX(C9:N9))</f>
        <v/>
      </c>
    </row>
    <row r="10">
      <c r="A10" s="33">
        <f>IF(Produits!$A$10="","",Produits!$A$10)</f>
        <v/>
      </c>
      <c r="B10" s="34">
        <f>IF(Produits!$A$10="","",Produits!$C$10)</f>
        <v/>
      </c>
      <c r="C10" s="11">
        <f>IF(N('Janvier'!U11)=0,"",N('Janvier'!U11))</f>
        <v/>
      </c>
      <c r="D10" s="11">
        <f>IF(N('Février'!U11)=0,"",N('Février'!U11))</f>
        <v/>
      </c>
      <c r="E10" s="11">
        <f>IF(N('Mars'!U11)=0,"",N('Mars'!U11))</f>
        <v/>
      </c>
      <c r="F10" s="11">
        <f>IF(N('Avril'!U11)=0,"",N('Avril'!U11))</f>
        <v/>
      </c>
      <c r="G10" s="11">
        <f>IF(N('Mai'!U11)=0,"",N('Mai'!U11))</f>
        <v/>
      </c>
      <c r="H10" s="11">
        <f>IF(N('Juin'!U11)=0,"",N('Juin'!U11))</f>
        <v/>
      </c>
      <c r="I10" s="11">
        <f>IF(N('Juillet'!U11)=0,"",N('Juillet'!U11))</f>
        <v/>
      </c>
      <c r="J10" s="11">
        <f>IF(N('Août'!U11)=0,"",N('Août'!U11))</f>
        <v/>
      </c>
      <c r="K10" s="11">
        <f>IF(N('Septembre'!U11)=0,"",N('Septembre'!U11))</f>
        <v/>
      </c>
      <c r="L10" s="11">
        <f>IF(N('Octobre'!U11)=0,"",N('Octobre'!U11))</f>
        <v/>
      </c>
      <c r="M10" s="11">
        <f>IF(N('Novembre'!U11)=0,"",N('Novembre'!U11))</f>
        <v/>
      </c>
      <c r="N10" s="11">
        <f>IF(N('Décembre'!U11)=0,"",N('Décembre'!U11))</f>
        <v/>
      </c>
      <c r="O10" s="22">
        <f>IF(COUNT(C10:N10)=0,"",SUM(C10:N10))</f>
        <v/>
      </c>
      <c r="P10" s="22">
        <f>IF(COUNT(C10:N10)=0,"",ROUND(AVERAGE(C10:N10),1))</f>
        <v/>
      </c>
      <c r="Q10" s="11">
        <f>IF(COUNT(C10:N10)=0,"",MAX(C10:N10))</f>
        <v/>
      </c>
    </row>
    <row r="11">
      <c r="A11" s="33">
        <f>IF(Produits!$A$11="","",Produits!$A$11)</f>
        <v/>
      </c>
      <c r="B11" s="34">
        <f>IF(Produits!$A$11="","",Produits!$C$11)</f>
        <v/>
      </c>
      <c r="C11" s="11">
        <f>IF(N('Janvier'!U12)=0,"",N('Janvier'!U12))</f>
        <v/>
      </c>
      <c r="D11" s="11">
        <f>IF(N('Février'!U12)=0,"",N('Février'!U12))</f>
        <v/>
      </c>
      <c r="E11" s="11">
        <f>IF(N('Mars'!U12)=0,"",N('Mars'!U12))</f>
        <v/>
      </c>
      <c r="F11" s="11">
        <f>IF(N('Avril'!U12)=0,"",N('Avril'!U12))</f>
        <v/>
      </c>
      <c r="G11" s="11">
        <f>IF(N('Mai'!U12)=0,"",N('Mai'!U12))</f>
        <v/>
      </c>
      <c r="H11" s="11">
        <f>IF(N('Juin'!U12)=0,"",N('Juin'!U12))</f>
        <v/>
      </c>
      <c r="I11" s="11">
        <f>IF(N('Juillet'!U12)=0,"",N('Juillet'!U12))</f>
        <v/>
      </c>
      <c r="J11" s="11">
        <f>IF(N('Août'!U12)=0,"",N('Août'!U12))</f>
        <v/>
      </c>
      <c r="K11" s="11">
        <f>IF(N('Septembre'!U12)=0,"",N('Septembre'!U12))</f>
        <v/>
      </c>
      <c r="L11" s="11">
        <f>IF(N('Octobre'!U12)=0,"",N('Octobre'!U12))</f>
        <v/>
      </c>
      <c r="M11" s="11">
        <f>IF(N('Novembre'!U12)=0,"",N('Novembre'!U12))</f>
        <v/>
      </c>
      <c r="N11" s="11">
        <f>IF(N('Décembre'!U12)=0,"",N('Décembre'!U12))</f>
        <v/>
      </c>
      <c r="O11" s="22">
        <f>IF(COUNT(C11:N11)=0,"",SUM(C11:N11))</f>
        <v/>
      </c>
      <c r="P11" s="22">
        <f>IF(COUNT(C11:N11)=0,"",ROUND(AVERAGE(C11:N11),1))</f>
        <v/>
      </c>
      <c r="Q11" s="11">
        <f>IF(COUNT(C11:N11)=0,"",MAX(C11:N11))</f>
        <v/>
      </c>
    </row>
    <row r="12">
      <c r="A12" s="33">
        <f>IF(Produits!$A$12="","",Produits!$A$12)</f>
        <v/>
      </c>
      <c r="B12" s="34">
        <f>IF(Produits!$A$12="","",Produits!$C$12)</f>
        <v/>
      </c>
      <c r="C12" s="11">
        <f>IF(N('Janvier'!U13)=0,"",N('Janvier'!U13))</f>
        <v/>
      </c>
      <c r="D12" s="11">
        <f>IF(N('Février'!U13)=0,"",N('Février'!U13))</f>
        <v/>
      </c>
      <c r="E12" s="11">
        <f>IF(N('Mars'!U13)=0,"",N('Mars'!U13))</f>
        <v/>
      </c>
      <c r="F12" s="11">
        <f>IF(N('Avril'!U13)=0,"",N('Avril'!U13))</f>
        <v/>
      </c>
      <c r="G12" s="11">
        <f>IF(N('Mai'!U13)=0,"",N('Mai'!U13))</f>
        <v/>
      </c>
      <c r="H12" s="11">
        <f>IF(N('Juin'!U13)=0,"",N('Juin'!U13))</f>
        <v/>
      </c>
      <c r="I12" s="11">
        <f>IF(N('Juillet'!U13)=0,"",N('Juillet'!U13))</f>
        <v/>
      </c>
      <c r="J12" s="11">
        <f>IF(N('Août'!U13)=0,"",N('Août'!U13))</f>
        <v/>
      </c>
      <c r="K12" s="11">
        <f>IF(N('Septembre'!U13)=0,"",N('Septembre'!U13))</f>
        <v/>
      </c>
      <c r="L12" s="11">
        <f>IF(N('Octobre'!U13)=0,"",N('Octobre'!U13))</f>
        <v/>
      </c>
      <c r="M12" s="11">
        <f>IF(N('Novembre'!U13)=0,"",N('Novembre'!U13))</f>
        <v/>
      </c>
      <c r="N12" s="11">
        <f>IF(N('Décembre'!U13)=0,"",N('Décembre'!U13))</f>
        <v/>
      </c>
      <c r="O12" s="22">
        <f>IF(COUNT(C12:N12)=0,"",SUM(C12:N12))</f>
        <v/>
      </c>
      <c r="P12" s="22">
        <f>IF(COUNT(C12:N12)=0,"",ROUND(AVERAGE(C12:N12),1))</f>
        <v/>
      </c>
      <c r="Q12" s="11">
        <f>IF(COUNT(C12:N12)=0,"",MAX(C12:N12))</f>
        <v/>
      </c>
    </row>
    <row r="13">
      <c r="A13" s="33">
        <f>IF(Produits!$A$13="","",Produits!$A$13)</f>
        <v/>
      </c>
      <c r="B13" s="34">
        <f>IF(Produits!$A$13="","",Produits!$C$13)</f>
        <v/>
      </c>
      <c r="C13" s="11">
        <f>IF(N('Janvier'!U14)=0,"",N('Janvier'!U14))</f>
        <v/>
      </c>
      <c r="D13" s="11">
        <f>IF(N('Février'!U14)=0,"",N('Février'!U14))</f>
        <v/>
      </c>
      <c r="E13" s="11">
        <f>IF(N('Mars'!U14)=0,"",N('Mars'!U14))</f>
        <v/>
      </c>
      <c r="F13" s="11">
        <f>IF(N('Avril'!U14)=0,"",N('Avril'!U14))</f>
        <v/>
      </c>
      <c r="G13" s="11">
        <f>IF(N('Mai'!U14)=0,"",N('Mai'!U14))</f>
        <v/>
      </c>
      <c r="H13" s="11">
        <f>IF(N('Juin'!U14)=0,"",N('Juin'!U14))</f>
        <v/>
      </c>
      <c r="I13" s="11">
        <f>IF(N('Juillet'!U14)=0,"",N('Juillet'!U14))</f>
        <v/>
      </c>
      <c r="J13" s="11">
        <f>IF(N('Août'!U14)=0,"",N('Août'!U14))</f>
        <v/>
      </c>
      <c r="K13" s="11">
        <f>IF(N('Septembre'!U14)=0,"",N('Septembre'!U14))</f>
        <v/>
      </c>
      <c r="L13" s="11">
        <f>IF(N('Octobre'!U14)=0,"",N('Octobre'!U14))</f>
        <v/>
      </c>
      <c r="M13" s="11">
        <f>IF(N('Novembre'!U14)=0,"",N('Novembre'!U14))</f>
        <v/>
      </c>
      <c r="N13" s="11">
        <f>IF(N('Décembre'!U14)=0,"",N('Décembre'!U14))</f>
        <v/>
      </c>
      <c r="O13" s="22">
        <f>IF(COUNT(C13:N13)=0,"",SUM(C13:N13))</f>
        <v/>
      </c>
      <c r="P13" s="22">
        <f>IF(COUNT(C13:N13)=0,"",ROUND(AVERAGE(C13:N13),1))</f>
        <v/>
      </c>
      <c r="Q13" s="11">
        <f>IF(COUNT(C13:N13)=0,"",MAX(C13:N13))</f>
        <v/>
      </c>
    </row>
    <row r="14">
      <c r="A14" s="33">
        <f>IF(Produits!$A$14="","",Produits!$A$14)</f>
        <v/>
      </c>
      <c r="B14" s="34">
        <f>IF(Produits!$A$14="","",Produits!$C$14)</f>
        <v/>
      </c>
      <c r="C14" s="11">
        <f>IF(N('Janvier'!U15)=0,"",N('Janvier'!U15))</f>
        <v/>
      </c>
      <c r="D14" s="11">
        <f>IF(N('Février'!U15)=0,"",N('Février'!U15))</f>
        <v/>
      </c>
      <c r="E14" s="11">
        <f>IF(N('Mars'!U15)=0,"",N('Mars'!U15))</f>
        <v/>
      </c>
      <c r="F14" s="11">
        <f>IF(N('Avril'!U15)=0,"",N('Avril'!U15))</f>
        <v/>
      </c>
      <c r="G14" s="11">
        <f>IF(N('Mai'!U15)=0,"",N('Mai'!U15))</f>
        <v/>
      </c>
      <c r="H14" s="11">
        <f>IF(N('Juin'!U15)=0,"",N('Juin'!U15))</f>
        <v/>
      </c>
      <c r="I14" s="11">
        <f>IF(N('Juillet'!U15)=0,"",N('Juillet'!U15))</f>
        <v/>
      </c>
      <c r="J14" s="11">
        <f>IF(N('Août'!U15)=0,"",N('Août'!U15))</f>
        <v/>
      </c>
      <c r="K14" s="11">
        <f>IF(N('Septembre'!U15)=0,"",N('Septembre'!U15))</f>
        <v/>
      </c>
      <c r="L14" s="11">
        <f>IF(N('Octobre'!U15)=0,"",N('Octobre'!U15))</f>
        <v/>
      </c>
      <c r="M14" s="11">
        <f>IF(N('Novembre'!U15)=0,"",N('Novembre'!U15))</f>
        <v/>
      </c>
      <c r="N14" s="11">
        <f>IF(N('Décembre'!U15)=0,"",N('Décembre'!U15))</f>
        <v/>
      </c>
      <c r="O14" s="22">
        <f>IF(COUNT(C14:N14)=0,"",SUM(C14:N14))</f>
        <v/>
      </c>
      <c r="P14" s="22">
        <f>IF(COUNT(C14:N14)=0,"",ROUND(AVERAGE(C14:N14),1))</f>
        <v/>
      </c>
      <c r="Q14" s="11">
        <f>IF(COUNT(C14:N14)=0,"",MAX(C14:N14))</f>
        <v/>
      </c>
    </row>
    <row r="15">
      <c r="A15" s="33">
        <f>IF(Produits!$A$15="","",Produits!$A$15)</f>
        <v/>
      </c>
      <c r="B15" s="34">
        <f>IF(Produits!$A$15="","",Produits!$C$15)</f>
        <v/>
      </c>
      <c r="C15" s="11">
        <f>IF(N('Janvier'!U16)=0,"",N('Janvier'!U16))</f>
        <v/>
      </c>
      <c r="D15" s="11">
        <f>IF(N('Février'!U16)=0,"",N('Février'!U16))</f>
        <v/>
      </c>
      <c r="E15" s="11">
        <f>IF(N('Mars'!U16)=0,"",N('Mars'!U16))</f>
        <v/>
      </c>
      <c r="F15" s="11">
        <f>IF(N('Avril'!U16)=0,"",N('Avril'!U16))</f>
        <v/>
      </c>
      <c r="G15" s="11">
        <f>IF(N('Mai'!U16)=0,"",N('Mai'!U16))</f>
        <v/>
      </c>
      <c r="H15" s="11">
        <f>IF(N('Juin'!U16)=0,"",N('Juin'!U16))</f>
        <v/>
      </c>
      <c r="I15" s="11">
        <f>IF(N('Juillet'!U16)=0,"",N('Juillet'!U16))</f>
        <v/>
      </c>
      <c r="J15" s="11">
        <f>IF(N('Août'!U16)=0,"",N('Août'!U16))</f>
        <v/>
      </c>
      <c r="K15" s="11">
        <f>IF(N('Septembre'!U16)=0,"",N('Septembre'!U16))</f>
        <v/>
      </c>
      <c r="L15" s="11">
        <f>IF(N('Octobre'!U16)=0,"",N('Octobre'!U16))</f>
        <v/>
      </c>
      <c r="M15" s="11">
        <f>IF(N('Novembre'!U16)=0,"",N('Novembre'!U16))</f>
        <v/>
      </c>
      <c r="N15" s="11">
        <f>IF(N('Décembre'!U16)=0,"",N('Décembre'!U16))</f>
        <v/>
      </c>
      <c r="O15" s="22">
        <f>IF(COUNT(C15:N15)=0,"",SUM(C15:N15))</f>
        <v/>
      </c>
      <c r="P15" s="22">
        <f>IF(COUNT(C15:N15)=0,"",ROUND(AVERAGE(C15:N15),1))</f>
        <v/>
      </c>
      <c r="Q15" s="11">
        <f>IF(COUNT(C15:N15)=0,"",MAX(C15:N15))</f>
        <v/>
      </c>
    </row>
    <row r="16">
      <c r="A16" s="33">
        <f>IF(Produits!$A$16="","",Produits!$A$16)</f>
        <v/>
      </c>
      <c r="B16" s="34">
        <f>IF(Produits!$A$16="","",Produits!$C$16)</f>
        <v/>
      </c>
      <c r="C16" s="11">
        <f>IF(N('Janvier'!U17)=0,"",N('Janvier'!U17))</f>
        <v/>
      </c>
      <c r="D16" s="11">
        <f>IF(N('Février'!U17)=0,"",N('Février'!U17))</f>
        <v/>
      </c>
      <c r="E16" s="11">
        <f>IF(N('Mars'!U17)=0,"",N('Mars'!U17))</f>
        <v/>
      </c>
      <c r="F16" s="11">
        <f>IF(N('Avril'!U17)=0,"",N('Avril'!U17))</f>
        <v/>
      </c>
      <c r="G16" s="11">
        <f>IF(N('Mai'!U17)=0,"",N('Mai'!U17))</f>
        <v/>
      </c>
      <c r="H16" s="11">
        <f>IF(N('Juin'!U17)=0,"",N('Juin'!U17))</f>
        <v/>
      </c>
      <c r="I16" s="11">
        <f>IF(N('Juillet'!U17)=0,"",N('Juillet'!U17))</f>
        <v/>
      </c>
      <c r="J16" s="11">
        <f>IF(N('Août'!U17)=0,"",N('Août'!U17))</f>
        <v/>
      </c>
      <c r="K16" s="11">
        <f>IF(N('Septembre'!U17)=0,"",N('Septembre'!U17))</f>
        <v/>
      </c>
      <c r="L16" s="11">
        <f>IF(N('Octobre'!U17)=0,"",N('Octobre'!U17))</f>
        <v/>
      </c>
      <c r="M16" s="11">
        <f>IF(N('Novembre'!U17)=0,"",N('Novembre'!U17))</f>
        <v/>
      </c>
      <c r="N16" s="11">
        <f>IF(N('Décembre'!U17)=0,"",N('Décembre'!U17))</f>
        <v/>
      </c>
      <c r="O16" s="22">
        <f>IF(COUNT(C16:N16)=0,"",SUM(C16:N16))</f>
        <v/>
      </c>
      <c r="P16" s="22">
        <f>IF(COUNT(C16:N16)=0,"",ROUND(AVERAGE(C16:N16),1))</f>
        <v/>
      </c>
      <c r="Q16" s="11">
        <f>IF(COUNT(C16:N16)=0,"",MAX(C16:N16))</f>
        <v/>
      </c>
    </row>
    <row r="17">
      <c r="A17" s="33">
        <f>IF(Produits!$A$17="","",Produits!$A$17)</f>
        <v/>
      </c>
      <c r="B17" s="34">
        <f>IF(Produits!$A$17="","",Produits!$C$17)</f>
        <v/>
      </c>
      <c r="C17" s="11">
        <f>IF(N('Janvier'!U18)=0,"",N('Janvier'!U18))</f>
        <v/>
      </c>
      <c r="D17" s="11">
        <f>IF(N('Février'!U18)=0,"",N('Février'!U18))</f>
        <v/>
      </c>
      <c r="E17" s="11">
        <f>IF(N('Mars'!U18)=0,"",N('Mars'!U18))</f>
        <v/>
      </c>
      <c r="F17" s="11">
        <f>IF(N('Avril'!U18)=0,"",N('Avril'!U18))</f>
        <v/>
      </c>
      <c r="G17" s="11">
        <f>IF(N('Mai'!U18)=0,"",N('Mai'!U18))</f>
        <v/>
      </c>
      <c r="H17" s="11">
        <f>IF(N('Juin'!U18)=0,"",N('Juin'!U18))</f>
        <v/>
      </c>
      <c r="I17" s="11">
        <f>IF(N('Juillet'!U18)=0,"",N('Juillet'!U18))</f>
        <v/>
      </c>
      <c r="J17" s="11">
        <f>IF(N('Août'!U18)=0,"",N('Août'!U18))</f>
        <v/>
      </c>
      <c r="K17" s="11">
        <f>IF(N('Septembre'!U18)=0,"",N('Septembre'!U18))</f>
        <v/>
      </c>
      <c r="L17" s="11">
        <f>IF(N('Octobre'!U18)=0,"",N('Octobre'!U18))</f>
        <v/>
      </c>
      <c r="M17" s="11">
        <f>IF(N('Novembre'!U18)=0,"",N('Novembre'!U18))</f>
        <v/>
      </c>
      <c r="N17" s="11">
        <f>IF(N('Décembre'!U18)=0,"",N('Décembre'!U18))</f>
        <v/>
      </c>
      <c r="O17" s="22">
        <f>IF(COUNT(C17:N17)=0,"",SUM(C17:N17))</f>
        <v/>
      </c>
      <c r="P17" s="22">
        <f>IF(COUNT(C17:N17)=0,"",ROUND(AVERAGE(C17:N17),1))</f>
        <v/>
      </c>
      <c r="Q17" s="11">
        <f>IF(COUNT(C17:N17)=0,"",MAX(C17:N17))</f>
        <v/>
      </c>
    </row>
    <row r="18">
      <c r="A18" s="33">
        <f>IF(Produits!$A$18="","",Produits!$A$18)</f>
        <v/>
      </c>
      <c r="B18" s="34">
        <f>IF(Produits!$A$18="","",Produits!$C$18)</f>
        <v/>
      </c>
      <c r="C18" s="11">
        <f>IF(N('Janvier'!U19)=0,"",N('Janvier'!U19))</f>
        <v/>
      </c>
      <c r="D18" s="11">
        <f>IF(N('Février'!U19)=0,"",N('Février'!U19))</f>
        <v/>
      </c>
      <c r="E18" s="11">
        <f>IF(N('Mars'!U19)=0,"",N('Mars'!U19))</f>
        <v/>
      </c>
      <c r="F18" s="11">
        <f>IF(N('Avril'!U19)=0,"",N('Avril'!U19))</f>
        <v/>
      </c>
      <c r="G18" s="11">
        <f>IF(N('Mai'!U19)=0,"",N('Mai'!U19))</f>
        <v/>
      </c>
      <c r="H18" s="11">
        <f>IF(N('Juin'!U19)=0,"",N('Juin'!U19))</f>
        <v/>
      </c>
      <c r="I18" s="11">
        <f>IF(N('Juillet'!U19)=0,"",N('Juillet'!U19))</f>
        <v/>
      </c>
      <c r="J18" s="11">
        <f>IF(N('Août'!U19)=0,"",N('Août'!U19))</f>
        <v/>
      </c>
      <c r="K18" s="11">
        <f>IF(N('Septembre'!U19)=0,"",N('Septembre'!U19))</f>
        <v/>
      </c>
      <c r="L18" s="11">
        <f>IF(N('Octobre'!U19)=0,"",N('Octobre'!U19))</f>
        <v/>
      </c>
      <c r="M18" s="11">
        <f>IF(N('Novembre'!U19)=0,"",N('Novembre'!U19))</f>
        <v/>
      </c>
      <c r="N18" s="11">
        <f>IF(N('Décembre'!U19)=0,"",N('Décembre'!U19))</f>
        <v/>
      </c>
      <c r="O18" s="22">
        <f>IF(COUNT(C18:N18)=0,"",SUM(C18:N18))</f>
        <v/>
      </c>
      <c r="P18" s="22">
        <f>IF(COUNT(C18:N18)=0,"",ROUND(AVERAGE(C18:N18),1))</f>
        <v/>
      </c>
      <c r="Q18" s="11">
        <f>IF(COUNT(C18:N18)=0,"",MAX(C18:N18))</f>
        <v/>
      </c>
    </row>
    <row r="19">
      <c r="A19" s="33">
        <f>IF(Produits!$A$19="","",Produits!$A$19)</f>
        <v/>
      </c>
      <c r="B19" s="34">
        <f>IF(Produits!$A$19="","",Produits!$C$19)</f>
        <v/>
      </c>
      <c r="C19" s="11">
        <f>IF(N('Janvier'!U20)=0,"",N('Janvier'!U20))</f>
        <v/>
      </c>
      <c r="D19" s="11">
        <f>IF(N('Février'!U20)=0,"",N('Février'!U20))</f>
        <v/>
      </c>
      <c r="E19" s="11">
        <f>IF(N('Mars'!U20)=0,"",N('Mars'!U20))</f>
        <v/>
      </c>
      <c r="F19" s="11">
        <f>IF(N('Avril'!U20)=0,"",N('Avril'!U20))</f>
        <v/>
      </c>
      <c r="G19" s="11">
        <f>IF(N('Mai'!U20)=0,"",N('Mai'!U20))</f>
        <v/>
      </c>
      <c r="H19" s="11">
        <f>IF(N('Juin'!U20)=0,"",N('Juin'!U20))</f>
        <v/>
      </c>
      <c r="I19" s="11">
        <f>IF(N('Juillet'!U20)=0,"",N('Juillet'!U20))</f>
        <v/>
      </c>
      <c r="J19" s="11">
        <f>IF(N('Août'!U20)=0,"",N('Août'!U20))</f>
        <v/>
      </c>
      <c r="K19" s="11">
        <f>IF(N('Septembre'!U20)=0,"",N('Septembre'!U20))</f>
        <v/>
      </c>
      <c r="L19" s="11">
        <f>IF(N('Octobre'!U20)=0,"",N('Octobre'!U20))</f>
        <v/>
      </c>
      <c r="M19" s="11">
        <f>IF(N('Novembre'!U20)=0,"",N('Novembre'!U20))</f>
        <v/>
      </c>
      <c r="N19" s="11">
        <f>IF(N('Décembre'!U20)=0,"",N('Décembre'!U20))</f>
        <v/>
      </c>
      <c r="O19" s="22">
        <f>IF(COUNT(C19:N19)=0,"",SUM(C19:N19))</f>
        <v/>
      </c>
      <c r="P19" s="22">
        <f>IF(COUNT(C19:N19)=0,"",ROUND(AVERAGE(C19:N19),1))</f>
        <v/>
      </c>
      <c r="Q19" s="11">
        <f>IF(COUNT(C19:N19)=0,"",MAX(C19:N19))</f>
        <v/>
      </c>
    </row>
    <row r="20">
      <c r="A20" s="33">
        <f>IF(Produits!$A$20="","",Produits!$A$20)</f>
        <v/>
      </c>
      <c r="B20" s="34">
        <f>IF(Produits!$A$20="","",Produits!$C$20)</f>
        <v/>
      </c>
      <c r="C20" s="11">
        <f>IF(N('Janvier'!U21)=0,"",N('Janvier'!U21))</f>
        <v/>
      </c>
      <c r="D20" s="11">
        <f>IF(N('Février'!U21)=0,"",N('Février'!U21))</f>
        <v/>
      </c>
      <c r="E20" s="11">
        <f>IF(N('Mars'!U21)=0,"",N('Mars'!U21))</f>
        <v/>
      </c>
      <c r="F20" s="11">
        <f>IF(N('Avril'!U21)=0,"",N('Avril'!U21))</f>
        <v/>
      </c>
      <c r="G20" s="11">
        <f>IF(N('Mai'!U21)=0,"",N('Mai'!U21))</f>
        <v/>
      </c>
      <c r="H20" s="11">
        <f>IF(N('Juin'!U21)=0,"",N('Juin'!U21))</f>
        <v/>
      </c>
      <c r="I20" s="11">
        <f>IF(N('Juillet'!U21)=0,"",N('Juillet'!U21))</f>
        <v/>
      </c>
      <c r="J20" s="11">
        <f>IF(N('Août'!U21)=0,"",N('Août'!U21))</f>
        <v/>
      </c>
      <c r="K20" s="11">
        <f>IF(N('Septembre'!U21)=0,"",N('Septembre'!U21))</f>
        <v/>
      </c>
      <c r="L20" s="11">
        <f>IF(N('Octobre'!U21)=0,"",N('Octobre'!U21))</f>
        <v/>
      </c>
      <c r="M20" s="11">
        <f>IF(N('Novembre'!U21)=0,"",N('Novembre'!U21))</f>
        <v/>
      </c>
      <c r="N20" s="11">
        <f>IF(N('Décembre'!U21)=0,"",N('Décembre'!U21))</f>
        <v/>
      </c>
      <c r="O20" s="22">
        <f>IF(COUNT(C20:N20)=0,"",SUM(C20:N20))</f>
        <v/>
      </c>
      <c r="P20" s="22">
        <f>IF(COUNT(C20:N20)=0,"",ROUND(AVERAGE(C20:N20),1))</f>
        <v/>
      </c>
      <c r="Q20" s="11">
        <f>IF(COUNT(C20:N20)=0,"",MAX(C20:N20))</f>
        <v/>
      </c>
    </row>
    <row r="21">
      <c r="A21" s="33">
        <f>IF(Produits!$A$22="","",Produits!$A$22)</f>
        <v/>
      </c>
      <c r="B21" s="34">
        <f>IF(Produits!$A$22="","",Produits!$C$22)</f>
        <v/>
      </c>
      <c r="C21" s="11">
        <f>IF(N('Janvier'!U23)=0,"",N('Janvier'!U23))</f>
        <v/>
      </c>
      <c r="D21" s="11">
        <f>IF(N('Février'!U23)=0,"",N('Février'!U23))</f>
        <v/>
      </c>
      <c r="E21" s="11">
        <f>IF(N('Mars'!U23)=0,"",N('Mars'!U23))</f>
        <v/>
      </c>
      <c r="F21" s="11">
        <f>IF(N('Avril'!U23)=0,"",N('Avril'!U23))</f>
        <v/>
      </c>
      <c r="G21" s="11">
        <f>IF(N('Mai'!U23)=0,"",N('Mai'!U23))</f>
        <v/>
      </c>
      <c r="H21" s="11">
        <f>IF(N('Juin'!U23)=0,"",N('Juin'!U23))</f>
        <v/>
      </c>
      <c r="I21" s="11">
        <f>IF(N('Juillet'!U23)=0,"",N('Juillet'!U23))</f>
        <v/>
      </c>
      <c r="J21" s="11">
        <f>IF(N('Août'!U23)=0,"",N('Août'!U23))</f>
        <v/>
      </c>
      <c r="K21" s="11">
        <f>IF(N('Septembre'!U23)=0,"",N('Septembre'!U23))</f>
        <v/>
      </c>
      <c r="L21" s="11">
        <f>IF(N('Octobre'!U23)=0,"",N('Octobre'!U23))</f>
        <v/>
      </c>
      <c r="M21" s="11">
        <f>IF(N('Novembre'!U23)=0,"",N('Novembre'!U23))</f>
        <v/>
      </c>
      <c r="N21" s="11">
        <f>IF(N('Décembre'!U23)=0,"",N('Décembre'!U23))</f>
        <v/>
      </c>
      <c r="O21" s="22">
        <f>IF(COUNT(C21:N21)=0,"",SUM(C21:N21))</f>
        <v/>
      </c>
      <c r="P21" s="22">
        <f>IF(COUNT(C21:N21)=0,"",ROUND(AVERAGE(C21:N21),1))</f>
        <v/>
      </c>
      <c r="Q21" s="11">
        <f>IF(COUNT(C21:N21)=0,"",MAX(C21:N21))</f>
        <v/>
      </c>
    </row>
    <row r="22">
      <c r="A22" s="33">
        <f>IF(Produits!$A$23="","",Produits!$A$23)</f>
        <v/>
      </c>
      <c r="B22" s="34">
        <f>IF(Produits!$A$23="","",Produits!$C$23)</f>
        <v/>
      </c>
      <c r="C22" s="11">
        <f>IF(N('Janvier'!U24)=0,"",N('Janvier'!U24))</f>
        <v/>
      </c>
      <c r="D22" s="11">
        <f>IF(N('Février'!U24)=0,"",N('Février'!U24))</f>
        <v/>
      </c>
      <c r="E22" s="11">
        <f>IF(N('Mars'!U24)=0,"",N('Mars'!U24))</f>
        <v/>
      </c>
      <c r="F22" s="11">
        <f>IF(N('Avril'!U24)=0,"",N('Avril'!U24))</f>
        <v/>
      </c>
      <c r="G22" s="11">
        <f>IF(N('Mai'!U24)=0,"",N('Mai'!U24))</f>
        <v/>
      </c>
      <c r="H22" s="11">
        <f>IF(N('Juin'!U24)=0,"",N('Juin'!U24))</f>
        <v/>
      </c>
      <c r="I22" s="11">
        <f>IF(N('Juillet'!U24)=0,"",N('Juillet'!U24))</f>
        <v/>
      </c>
      <c r="J22" s="11">
        <f>IF(N('Août'!U24)=0,"",N('Août'!U24))</f>
        <v/>
      </c>
      <c r="K22" s="11">
        <f>IF(N('Septembre'!U24)=0,"",N('Septembre'!U24))</f>
        <v/>
      </c>
      <c r="L22" s="11">
        <f>IF(N('Octobre'!U24)=0,"",N('Octobre'!U24))</f>
        <v/>
      </c>
      <c r="M22" s="11">
        <f>IF(N('Novembre'!U24)=0,"",N('Novembre'!U24))</f>
        <v/>
      </c>
      <c r="N22" s="11">
        <f>IF(N('Décembre'!U24)=0,"",N('Décembre'!U24))</f>
        <v/>
      </c>
      <c r="O22" s="22">
        <f>IF(COUNT(C22:N22)=0,"",SUM(C22:N22))</f>
        <v/>
      </c>
      <c r="P22" s="22">
        <f>IF(COUNT(C22:N22)=0,"",ROUND(AVERAGE(C22:N22),1))</f>
        <v/>
      </c>
      <c r="Q22" s="11">
        <f>IF(COUNT(C22:N22)=0,"",MAX(C22:N22))</f>
        <v/>
      </c>
    </row>
    <row r="23">
      <c r="A23" s="33">
        <f>IF(Produits!$A$24="","",Produits!$A$24)</f>
        <v/>
      </c>
      <c r="B23" s="34">
        <f>IF(Produits!$A$24="","",Produits!$C$24)</f>
        <v/>
      </c>
      <c r="C23" s="11">
        <f>IF(N('Janvier'!U25)=0,"",N('Janvier'!U25))</f>
        <v/>
      </c>
      <c r="D23" s="11">
        <f>IF(N('Février'!U25)=0,"",N('Février'!U25))</f>
        <v/>
      </c>
      <c r="E23" s="11">
        <f>IF(N('Mars'!U25)=0,"",N('Mars'!U25))</f>
        <v/>
      </c>
      <c r="F23" s="11">
        <f>IF(N('Avril'!U25)=0,"",N('Avril'!U25))</f>
        <v/>
      </c>
      <c r="G23" s="11">
        <f>IF(N('Mai'!U25)=0,"",N('Mai'!U25))</f>
        <v/>
      </c>
      <c r="H23" s="11">
        <f>IF(N('Juin'!U25)=0,"",N('Juin'!U25))</f>
        <v/>
      </c>
      <c r="I23" s="11">
        <f>IF(N('Juillet'!U25)=0,"",N('Juillet'!U25))</f>
        <v/>
      </c>
      <c r="J23" s="11">
        <f>IF(N('Août'!U25)=0,"",N('Août'!U25))</f>
        <v/>
      </c>
      <c r="K23" s="11">
        <f>IF(N('Septembre'!U25)=0,"",N('Septembre'!U25))</f>
        <v/>
      </c>
      <c r="L23" s="11">
        <f>IF(N('Octobre'!U25)=0,"",N('Octobre'!U25))</f>
        <v/>
      </c>
      <c r="M23" s="11">
        <f>IF(N('Novembre'!U25)=0,"",N('Novembre'!U25))</f>
        <v/>
      </c>
      <c r="N23" s="11">
        <f>IF(N('Décembre'!U25)=0,"",N('Décembre'!U25))</f>
        <v/>
      </c>
      <c r="O23" s="22">
        <f>IF(COUNT(C23:N23)=0,"",SUM(C23:N23))</f>
        <v/>
      </c>
      <c r="P23" s="22">
        <f>IF(COUNT(C23:N23)=0,"",ROUND(AVERAGE(C23:N23),1))</f>
        <v/>
      </c>
      <c r="Q23" s="11">
        <f>IF(COUNT(C23:N23)=0,"",MAX(C23:N23))</f>
        <v/>
      </c>
    </row>
    <row r="24">
      <c r="A24" s="33">
        <f>IF(Produits!$A$25="","",Produits!$A$25)</f>
        <v/>
      </c>
      <c r="B24" s="34">
        <f>IF(Produits!$A$25="","",Produits!$C$25)</f>
        <v/>
      </c>
      <c r="C24" s="11">
        <f>IF(N('Janvier'!U26)=0,"",N('Janvier'!U26))</f>
        <v/>
      </c>
      <c r="D24" s="11">
        <f>IF(N('Février'!U26)=0,"",N('Février'!U26))</f>
        <v/>
      </c>
      <c r="E24" s="11">
        <f>IF(N('Mars'!U26)=0,"",N('Mars'!U26))</f>
        <v/>
      </c>
      <c r="F24" s="11">
        <f>IF(N('Avril'!U26)=0,"",N('Avril'!U26))</f>
        <v/>
      </c>
      <c r="G24" s="11">
        <f>IF(N('Mai'!U26)=0,"",N('Mai'!U26))</f>
        <v/>
      </c>
      <c r="H24" s="11">
        <f>IF(N('Juin'!U26)=0,"",N('Juin'!U26))</f>
        <v/>
      </c>
      <c r="I24" s="11">
        <f>IF(N('Juillet'!U26)=0,"",N('Juillet'!U26))</f>
        <v/>
      </c>
      <c r="J24" s="11">
        <f>IF(N('Août'!U26)=0,"",N('Août'!U26))</f>
        <v/>
      </c>
      <c r="K24" s="11">
        <f>IF(N('Septembre'!U26)=0,"",N('Septembre'!U26))</f>
        <v/>
      </c>
      <c r="L24" s="11">
        <f>IF(N('Octobre'!U26)=0,"",N('Octobre'!U26))</f>
        <v/>
      </c>
      <c r="M24" s="11">
        <f>IF(N('Novembre'!U26)=0,"",N('Novembre'!U26))</f>
        <v/>
      </c>
      <c r="N24" s="11">
        <f>IF(N('Décembre'!U26)=0,"",N('Décembre'!U26))</f>
        <v/>
      </c>
      <c r="O24" s="22">
        <f>IF(COUNT(C24:N24)=0,"",SUM(C24:N24))</f>
        <v/>
      </c>
      <c r="P24" s="22">
        <f>IF(COUNT(C24:N24)=0,"",ROUND(AVERAGE(C24:N24),1))</f>
        <v/>
      </c>
      <c r="Q24" s="11">
        <f>IF(COUNT(C24:N24)=0,"",MAX(C24:N24))</f>
        <v/>
      </c>
    </row>
    <row r="25">
      <c r="A25" s="33">
        <f>IF(Produits!$A$26="","",Produits!$A$26)</f>
        <v/>
      </c>
      <c r="B25" s="34">
        <f>IF(Produits!$A$26="","",Produits!$C$26)</f>
        <v/>
      </c>
      <c r="C25" s="11">
        <f>IF(N('Janvier'!U27)=0,"",N('Janvier'!U27))</f>
        <v/>
      </c>
      <c r="D25" s="11">
        <f>IF(N('Février'!U27)=0,"",N('Février'!U27))</f>
        <v/>
      </c>
      <c r="E25" s="11">
        <f>IF(N('Mars'!U27)=0,"",N('Mars'!U27))</f>
        <v/>
      </c>
      <c r="F25" s="11">
        <f>IF(N('Avril'!U27)=0,"",N('Avril'!U27))</f>
        <v/>
      </c>
      <c r="G25" s="11">
        <f>IF(N('Mai'!U27)=0,"",N('Mai'!U27))</f>
        <v/>
      </c>
      <c r="H25" s="11">
        <f>IF(N('Juin'!U27)=0,"",N('Juin'!U27))</f>
        <v/>
      </c>
      <c r="I25" s="11">
        <f>IF(N('Juillet'!U27)=0,"",N('Juillet'!U27))</f>
        <v/>
      </c>
      <c r="J25" s="11">
        <f>IF(N('Août'!U27)=0,"",N('Août'!U27))</f>
        <v/>
      </c>
      <c r="K25" s="11">
        <f>IF(N('Septembre'!U27)=0,"",N('Septembre'!U27))</f>
        <v/>
      </c>
      <c r="L25" s="11">
        <f>IF(N('Octobre'!U27)=0,"",N('Octobre'!U27))</f>
        <v/>
      </c>
      <c r="M25" s="11">
        <f>IF(N('Novembre'!U27)=0,"",N('Novembre'!U27))</f>
        <v/>
      </c>
      <c r="N25" s="11">
        <f>IF(N('Décembre'!U27)=0,"",N('Décembre'!U27))</f>
        <v/>
      </c>
      <c r="O25" s="22">
        <f>IF(COUNT(C25:N25)=0,"",SUM(C25:N25))</f>
        <v/>
      </c>
      <c r="P25" s="22">
        <f>IF(COUNT(C25:N25)=0,"",ROUND(AVERAGE(C25:N25),1))</f>
        <v/>
      </c>
      <c r="Q25" s="11">
        <f>IF(COUNT(C25:N25)=0,"",MAX(C25:N25))</f>
        <v/>
      </c>
    </row>
    <row r="26">
      <c r="A26" s="33">
        <f>IF(Produits!$A$27="","",Produits!$A$27)</f>
        <v/>
      </c>
      <c r="B26" s="34">
        <f>IF(Produits!$A$27="","",Produits!$C$27)</f>
        <v/>
      </c>
      <c r="C26" s="11">
        <f>IF(N('Janvier'!U28)=0,"",N('Janvier'!U28))</f>
        <v/>
      </c>
      <c r="D26" s="11">
        <f>IF(N('Février'!U28)=0,"",N('Février'!U28))</f>
        <v/>
      </c>
      <c r="E26" s="11">
        <f>IF(N('Mars'!U28)=0,"",N('Mars'!U28))</f>
        <v/>
      </c>
      <c r="F26" s="11">
        <f>IF(N('Avril'!U28)=0,"",N('Avril'!U28))</f>
        <v/>
      </c>
      <c r="G26" s="11">
        <f>IF(N('Mai'!U28)=0,"",N('Mai'!U28))</f>
        <v/>
      </c>
      <c r="H26" s="11">
        <f>IF(N('Juin'!U28)=0,"",N('Juin'!U28))</f>
        <v/>
      </c>
      <c r="I26" s="11">
        <f>IF(N('Juillet'!U28)=0,"",N('Juillet'!U28))</f>
        <v/>
      </c>
      <c r="J26" s="11">
        <f>IF(N('Août'!U28)=0,"",N('Août'!U28))</f>
        <v/>
      </c>
      <c r="K26" s="11">
        <f>IF(N('Septembre'!U28)=0,"",N('Septembre'!U28))</f>
        <v/>
      </c>
      <c r="L26" s="11">
        <f>IF(N('Octobre'!U28)=0,"",N('Octobre'!U28))</f>
        <v/>
      </c>
      <c r="M26" s="11">
        <f>IF(N('Novembre'!U28)=0,"",N('Novembre'!U28))</f>
        <v/>
      </c>
      <c r="N26" s="11">
        <f>IF(N('Décembre'!U28)=0,"",N('Décembre'!U28))</f>
        <v/>
      </c>
      <c r="O26" s="22">
        <f>IF(COUNT(C26:N26)=0,"",SUM(C26:N26))</f>
        <v/>
      </c>
      <c r="P26" s="22">
        <f>IF(COUNT(C26:N26)=0,"",ROUND(AVERAGE(C26:N26),1))</f>
        <v/>
      </c>
      <c r="Q26" s="11">
        <f>IF(COUNT(C26:N26)=0,"",MAX(C26:N26))</f>
        <v/>
      </c>
    </row>
    <row r="27">
      <c r="A27" s="33">
        <f>IF(Produits!$A$28="","",Produits!$A$28)</f>
        <v/>
      </c>
      <c r="B27" s="34">
        <f>IF(Produits!$A$28="","",Produits!$C$28)</f>
        <v/>
      </c>
      <c r="C27" s="11">
        <f>IF(N('Janvier'!U29)=0,"",N('Janvier'!U29))</f>
        <v/>
      </c>
      <c r="D27" s="11">
        <f>IF(N('Février'!U29)=0,"",N('Février'!U29))</f>
        <v/>
      </c>
      <c r="E27" s="11">
        <f>IF(N('Mars'!U29)=0,"",N('Mars'!U29))</f>
        <v/>
      </c>
      <c r="F27" s="11">
        <f>IF(N('Avril'!U29)=0,"",N('Avril'!U29))</f>
        <v/>
      </c>
      <c r="G27" s="11">
        <f>IF(N('Mai'!U29)=0,"",N('Mai'!U29))</f>
        <v/>
      </c>
      <c r="H27" s="11">
        <f>IF(N('Juin'!U29)=0,"",N('Juin'!U29))</f>
        <v/>
      </c>
      <c r="I27" s="11">
        <f>IF(N('Juillet'!U29)=0,"",N('Juillet'!U29))</f>
        <v/>
      </c>
      <c r="J27" s="11">
        <f>IF(N('Août'!U29)=0,"",N('Août'!U29))</f>
        <v/>
      </c>
      <c r="K27" s="11">
        <f>IF(N('Septembre'!U29)=0,"",N('Septembre'!U29))</f>
        <v/>
      </c>
      <c r="L27" s="11">
        <f>IF(N('Octobre'!U29)=0,"",N('Octobre'!U29))</f>
        <v/>
      </c>
      <c r="M27" s="11">
        <f>IF(N('Novembre'!U29)=0,"",N('Novembre'!U29))</f>
        <v/>
      </c>
      <c r="N27" s="11">
        <f>IF(N('Décembre'!U29)=0,"",N('Décembre'!U29))</f>
        <v/>
      </c>
      <c r="O27" s="22">
        <f>IF(COUNT(C27:N27)=0,"",SUM(C27:N27))</f>
        <v/>
      </c>
      <c r="P27" s="22">
        <f>IF(COUNT(C27:N27)=0,"",ROUND(AVERAGE(C27:N27),1))</f>
        <v/>
      </c>
      <c r="Q27" s="11">
        <f>IF(COUNT(C27:N27)=0,"",MAX(C27:N27))</f>
        <v/>
      </c>
    </row>
    <row r="28">
      <c r="A28" s="33">
        <f>IF(Produits!$A$29="","",Produits!$A$29)</f>
        <v/>
      </c>
      <c r="B28" s="34">
        <f>IF(Produits!$A$29="","",Produits!$C$29)</f>
        <v/>
      </c>
      <c r="C28" s="11">
        <f>IF(N('Janvier'!U30)=0,"",N('Janvier'!U30))</f>
        <v/>
      </c>
      <c r="D28" s="11">
        <f>IF(N('Février'!U30)=0,"",N('Février'!U30))</f>
        <v/>
      </c>
      <c r="E28" s="11">
        <f>IF(N('Mars'!U30)=0,"",N('Mars'!U30))</f>
        <v/>
      </c>
      <c r="F28" s="11">
        <f>IF(N('Avril'!U30)=0,"",N('Avril'!U30))</f>
        <v/>
      </c>
      <c r="G28" s="11">
        <f>IF(N('Mai'!U30)=0,"",N('Mai'!U30))</f>
        <v/>
      </c>
      <c r="H28" s="11">
        <f>IF(N('Juin'!U30)=0,"",N('Juin'!U30))</f>
        <v/>
      </c>
      <c r="I28" s="11">
        <f>IF(N('Juillet'!U30)=0,"",N('Juillet'!U30))</f>
        <v/>
      </c>
      <c r="J28" s="11">
        <f>IF(N('Août'!U30)=0,"",N('Août'!U30))</f>
        <v/>
      </c>
      <c r="K28" s="11">
        <f>IF(N('Septembre'!U30)=0,"",N('Septembre'!U30))</f>
        <v/>
      </c>
      <c r="L28" s="11">
        <f>IF(N('Octobre'!U30)=0,"",N('Octobre'!U30))</f>
        <v/>
      </c>
      <c r="M28" s="11">
        <f>IF(N('Novembre'!U30)=0,"",N('Novembre'!U30))</f>
        <v/>
      </c>
      <c r="N28" s="11">
        <f>IF(N('Décembre'!U30)=0,"",N('Décembre'!U30))</f>
        <v/>
      </c>
      <c r="O28" s="22">
        <f>IF(COUNT(C28:N28)=0,"",SUM(C28:N28))</f>
        <v/>
      </c>
      <c r="P28" s="22">
        <f>IF(COUNT(C28:N28)=0,"",ROUND(AVERAGE(C28:N28),1))</f>
        <v/>
      </c>
      <c r="Q28" s="11">
        <f>IF(COUNT(C28:N28)=0,"",MAX(C28:N28))</f>
        <v/>
      </c>
    </row>
    <row r="29">
      <c r="A29" s="33">
        <f>IF(Produits!$A$30="","",Produits!$A$30)</f>
        <v/>
      </c>
      <c r="B29" s="34">
        <f>IF(Produits!$A$30="","",Produits!$C$30)</f>
        <v/>
      </c>
      <c r="C29" s="11">
        <f>IF(N('Janvier'!U31)=0,"",N('Janvier'!U31))</f>
        <v/>
      </c>
      <c r="D29" s="11">
        <f>IF(N('Février'!U31)=0,"",N('Février'!U31))</f>
        <v/>
      </c>
      <c r="E29" s="11">
        <f>IF(N('Mars'!U31)=0,"",N('Mars'!U31))</f>
        <v/>
      </c>
      <c r="F29" s="11">
        <f>IF(N('Avril'!U31)=0,"",N('Avril'!U31))</f>
        <v/>
      </c>
      <c r="G29" s="11">
        <f>IF(N('Mai'!U31)=0,"",N('Mai'!U31))</f>
        <v/>
      </c>
      <c r="H29" s="11">
        <f>IF(N('Juin'!U31)=0,"",N('Juin'!U31))</f>
        <v/>
      </c>
      <c r="I29" s="11">
        <f>IF(N('Juillet'!U31)=0,"",N('Juillet'!U31))</f>
        <v/>
      </c>
      <c r="J29" s="11">
        <f>IF(N('Août'!U31)=0,"",N('Août'!U31))</f>
        <v/>
      </c>
      <c r="K29" s="11">
        <f>IF(N('Septembre'!U31)=0,"",N('Septembre'!U31))</f>
        <v/>
      </c>
      <c r="L29" s="11">
        <f>IF(N('Octobre'!U31)=0,"",N('Octobre'!U31))</f>
        <v/>
      </c>
      <c r="M29" s="11">
        <f>IF(N('Novembre'!U31)=0,"",N('Novembre'!U31))</f>
        <v/>
      </c>
      <c r="N29" s="11">
        <f>IF(N('Décembre'!U31)=0,"",N('Décembre'!U31))</f>
        <v/>
      </c>
      <c r="O29" s="22">
        <f>IF(COUNT(C29:N29)=0,"",SUM(C29:N29))</f>
        <v/>
      </c>
      <c r="P29" s="22">
        <f>IF(COUNT(C29:N29)=0,"",ROUND(AVERAGE(C29:N29),1))</f>
        <v/>
      </c>
      <c r="Q29" s="11">
        <f>IF(COUNT(C29:N29)=0,"",MAX(C29:N29))</f>
        <v/>
      </c>
    </row>
    <row r="30">
      <c r="A30" s="33">
        <f>IF(Produits!$A$31="","",Produits!$A$31)</f>
        <v/>
      </c>
      <c r="B30" s="34">
        <f>IF(Produits!$A$31="","",Produits!$C$31)</f>
        <v/>
      </c>
      <c r="C30" s="11">
        <f>IF(N('Janvier'!U32)=0,"",N('Janvier'!U32))</f>
        <v/>
      </c>
      <c r="D30" s="11">
        <f>IF(N('Février'!U32)=0,"",N('Février'!U32))</f>
        <v/>
      </c>
      <c r="E30" s="11">
        <f>IF(N('Mars'!U32)=0,"",N('Mars'!U32))</f>
        <v/>
      </c>
      <c r="F30" s="11">
        <f>IF(N('Avril'!U32)=0,"",N('Avril'!U32))</f>
        <v/>
      </c>
      <c r="G30" s="11">
        <f>IF(N('Mai'!U32)=0,"",N('Mai'!U32))</f>
        <v/>
      </c>
      <c r="H30" s="11">
        <f>IF(N('Juin'!U32)=0,"",N('Juin'!U32))</f>
        <v/>
      </c>
      <c r="I30" s="11">
        <f>IF(N('Juillet'!U32)=0,"",N('Juillet'!U32))</f>
        <v/>
      </c>
      <c r="J30" s="11">
        <f>IF(N('Août'!U32)=0,"",N('Août'!U32))</f>
        <v/>
      </c>
      <c r="K30" s="11">
        <f>IF(N('Septembre'!U32)=0,"",N('Septembre'!U32))</f>
        <v/>
      </c>
      <c r="L30" s="11">
        <f>IF(N('Octobre'!U32)=0,"",N('Octobre'!U32))</f>
        <v/>
      </c>
      <c r="M30" s="11">
        <f>IF(N('Novembre'!U32)=0,"",N('Novembre'!U32))</f>
        <v/>
      </c>
      <c r="N30" s="11">
        <f>IF(N('Décembre'!U32)=0,"",N('Décembre'!U32))</f>
        <v/>
      </c>
      <c r="O30" s="22">
        <f>IF(COUNT(C30:N30)=0,"",SUM(C30:N30))</f>
        <v/>
      </c>
      <c r="P30" s="22">
        <f>IF(COUNT(C30:N30)=0,"",ROUND(AVERAGE(C30:N30),1))</f>
        <v/>
      </c>
      <c r="Q30" s="11">
        <f>IF(COUNT(C30:N30)=0,"",MAX(C30:N30))</f>
        <v/>
      </c>
    </row>
    <row r="31">
      <c r="A31" s="33">
        <f>IF(Produits!$A$32="","",Produits!$A$32)</f>
        <v/>
      </c>
      <c r="B31" s="34">
        <f>IF(Produits!$A$32="","",Produits!$C$32)</f>
        <v/>
      </c>
      <c r="C31" s="11">
        <f>IF(N('Janvier'!U33)=0,"",N('Janvier'!U33))</f>
        <v/>
      </c>
      <c r="D31" s="11">
        <f>IF(N('Février'!U33)=0,"",N('Février'!U33))</f>
        <v/>
      </c>
      <c r="E31" s="11">
        <f>IF(N('Mars'!U33)=0,"",N('Mars'!U33))</f>
        <v/>
      </c>
      <c r="F31" s="11">
        <f>IF(N('Avril'!U33)=0,"",N('Avril'!U33))</f>
        <v/>
      </c>
      <c r="G31" s="11">
        <f>IF(N('Mai'!U33)=0,"",N('Mai'!U33))</f>
        <v/>
      </c>
      <c r="H31" s="11">
        <f>IF(N('Juin'!U33)=0,"",N('Juin'!U33))</f>
        <v/>
      </c>
      <c r="I31" s="11">
        <f>IF(N('Juillet'!U33)=0,"",N('Juillet'!U33))</f>
        <v/>
      </c>
      <c r="J31" s="11">
        <f>IF(N('Août'!U33)=0,"",N('Août'!U33))</f>
        <v/>
      </c>
      <c r="K31" s="11">
        <f>IF(N('Septembre'!U33)=0,"",N('Septembre'!U33))</f>
        <v/>
      </c>
      <c r="L31" s="11">
        <f>IF(N('Octobre'!U33)=0,"",N('Octobre'!U33))</f>
        <v/>
      </c>
      <c r="M31" s="11">
        <f>IF(N('Novembre'!U33)=0,"",N('Novembre'!U33))</f>
        <v/>
      </c>
      <c r="N31" s="11">
        <f>IF(N('Décembre'!U33)=0,"",N('Décembre'!U33))</f>
        <v/>
      </c>
      <c r="O31" s="22">
        <f>IF(COUNT(C31:N31)=0,"",SUM(C31:N31))</f>
        <v/>
      </c>
      <c r="P31" s="22">
        <f>IF(COUNT(C31:N31)=0,"",ROUND(AVERAGE(C31:N31),1))</f>
        <v/>
      </c>
      <c r="Q31" s="11">
        <f>IF(COUNT(C31:N31)=0,"",MAX(C31:N31))</f>
        <v/>
      </c>
    </row>
    <row r="32">
      <c r="A32" s="33">
        <f>IF(Produits!$A$33="","",Produits!$A$33)</f>
        <v/>
      </c>
      <c r="B32" s="34">
        <f>IF(Produits!$A$33="","",Produits!$C$33)</f>
        <v/>
      </c>
      <c r="C32" s="11">
        <f>IF(N('Janvier'!U34)=0,"",N('Janvier'!U34))</f>
        <v/>
      </c>
      <c r="D32" s="11">
        <f>IF(N('Février'!U34)=0,"",N('Février'!U34))</f>
        <v/>
      </c>
      <c r="E32" s="11">
        <f>IF(N('Mars'!U34)=0,"",N('Mars'!U34))</f>
        <v/>
      </c>
      <c r="F32" s="11">
        <f>IF(N('Avril'!U34)=0,"",N('Avril'!U34))</f>
        <v/>
      </c>
      <c r="G32" s="11">
        <f>IF(N('Mai'!U34)=0,"",N('Mai'!U34))</f>
        <v/>
      </c>
      <c r="H32" s="11">
        <f>IF(N('Juin'!U34)=0,"",N('Juin'!U34))</f>
        <v/>
      </c>
      <c r="I32" s="11">
        <f>IF(N('Juillet'!U34)=0,"",N('Juillet'!U34))</f>
        <v/>
      </c>
      <c r="J32" s="11">
        <f>IF(N('Août'!U34)=0,"",N('Août'!U34))</f>
        <v/>
      </c>
      <c r="K32" s="11">
        <f>IF(N('Septembre'!U34)=0,"",N('Septembre'!U34))</f>
        <v/>
      </c>
      <c r="L32" s="11">
        <f>IF(N('Octobre'!U34)=0,"",N('Octobre'!U34))</f>
        <v/>
      </c>
      <c r="M32" s="11">
        <f>IF(N('Novembre'!U34)=0,"",N('Novembre'!U34))</f>
        <v/>
      </c>
      <c r="N32" s="11">
        <f>IF(N('Décembre'!U34)=0,"",N('Décembre'!U34))</f>
        <v/>
      </c>
      <c r="O32" s="22">
        <f>IF(COUNT(C32:N32)=0,"",SUM(C32:N32))</f>
        <v/>
      </c>
      <c r="P32" s="22">
        <f>IF(COUNT(C32:N32)=0,"",ROUND(AVERAGE(C32:N32),1))</f>
        <v/>
      </c>
      <c r="Q32" s="11">
        <f>IF(COUNT(C32:N32)=0,"",MAX(C32:N32))</f>
        <v/>
      </c>
    </row>
    <row r="33">
      <c r="A33" s="33">
        <f>IF(Produits!$A$34="","",Produits!$A$34)</f>
        <v/>
      </c>
      <c r="B33" s="34">
        <f>IF(Produits!$A$34="","",Produits!$C$34)</f>
        <v/>
      </c>
      <c r="C33" s="11">
        <f>IF(N('Janvier'!U35)=0,"",N('Janvier'!U35))</f>
        <v/>
      </c>
      <c r="D33" s="11">
        <f>IF(N('Février'!U35)=0,"",N('Février'!U35))</f>
        <v/>
      </c>
      <c r="E33" s="11">
        <f>IF(N('Mars'!U35)=0,"",N('Mars'!U35))</f>
        <v/>
      </c>
      <c r="F33" s="11">
        <f>IF(N('Avril'!U35)=0,"",N('Avril'!U35))</f>
        <v/>
      </c>
      <c r="G33" s="11">
        <f>IF(N('Mai'!U35)=0,"",N('Mai'!U35))</f>
        <v/>
      </c>
      <c r="H33" s="11">
        <f>IF(N('Juin'!U35)=0,"",N('Juin'!U35))</f>
        <v/>
      </c>
      <c r="I33" s="11">
        <f>IF(N('Juillet'!U35)=0,"",N('Juillet'!U35))</f>
        <v/>
      </c>
      <c r="J33" s="11">
        <f>IF(N('Août'!U35)=0,"",N('Août'!U35))</f>
        <v/>
      </c>
      <c r="K33" s="11">
        <f>IF(N('Septembre'!U35)=0,"",N('Septembre'!U35))</f>
        <v/>
      </c>
      <c r="L33" s="11">
        <f>IF(N('Octobre'!U35)=0,"",N('Octobre'!U35))</f>
        <v/>
      </c>
      <c r="M33" s="11">
        <f>IF(N('Novembre'!U35)=0,"",N('Novembre'!U35))</f>
        <v/>
      </c>
      <c r="N33" s="11">
        <f>IF(N('Décembre'!U35)=0,"",N('Décembre'!U35))</f>
        <v/>
      </c>
      <c r="O33" s="22">
        <f>IF(COUNT(C33:N33)=0,"",SUM(C33:N33))</f>
        <v/>
      </c>
      <c r="P33" s="22">
        <f>IF(COUNT(C33:N33)=0,"",ROUND(AVERAGE(C33:N33),1))</f>
        <v/>
      </c>
      <c r="Q33" s="11">
        <f>IF(COUNT(C33:N33)=0,"",MAX(C33:N33))</f>
        <v/>
      </c>
    </row>
    <row r="34">
      <c r="A34" s="33">
        <f>IF(Produits!$A$35="","",Produits!$A$35)</f>
        <v/>
      </c>
      <c r="B34" s="34">
        <f>IF(Produits!$A$35="","",Produits!$C$35)</f>
        <v/>
      </c>
      <c r="C34" s="11">
        <f>IF(N('Janvier'!U36)=0,"",N('Janvier'!U36))</f>
        <v/>
      </c>
      <c r="D34" s="11">
        <f>IF(N('Février'!U36)=0,"",N('Février'!U36))</f>
        <v/>
      </c>
      <c r="E34" s="11">
        <f>IF(N('Mars'!U36)=0,"",N('Mars'!U36))</f>
        <v/>
      </c>
      <c r="F34" s="11">
        <f>IF(N('Avril'!U36)=0,"",N('Avril'!U36))</f>
        <v/>
      </c>
      <c r="G34" s="11">
        <f>IF(N('Mai'!U36)=0,"",N('Mai'!U36))</f>
        <v/>
      </c>
      <c r="H34" s="11">
        <f>IF(N('Juin'!U36)=0,"",N('Juin'!U36))</f>
        <v/>
      </c>
      <c r="I34" s="11">
        <f>IF(N('Juillet'!U36)=0,"",N('Juillet'!U36))</f>
        <v/>
      </c>
      <c r="J34" s="11">
        <f>IF(N('Août'!U36)=0,"",N('Août'!U36))</f>
        <v/>
      </c>
      <c r="K34" s="11">
        <f>IF(N('Septembre'!U36)=0,"",N('Septembre'!U36))</f>
        <v/>
      </c>
      <c r="L34" s="11">
        <f>IF(N('Octobre'!U36)=0,"",N('Octobre'!U36))</f>
        <v/>
      </c>
      <c r="M34" s="11">
        <f>IF(N('Novembre'!U36)=0,"",N('Novembre'!U36))</f>
        <v/>
      </c>
      <c r="N34" s="11">
        <f>IF(N('Décembre'!U36)=0,"",N('Décembre'!U36))</f>
        <v/>
      </c>
      <c r="O34" s="22">
        <f>IF(COUNT(C34:N34)=0,"",SUM(C34:N34))</f>
        <v/>
      </c>
      <c r="P34" s="22">
        <f>IF(COUNT(C34:N34)=0,"",ROUND(AVERAGE(C34:N34),1))</f>
        <v/>
      </c>
      <c r="Q34" s="11">
        <f>IF(COUNT(C34:N34)=0,"",MAX(C34:N34))</f>
        <v/>
      </c>
    </row>
    <row r="35">
      <c r="A35" s="33">
        <f>IF(Produits!$A$36="","",Produits!$A$36)</f>
        <v/>
      </c>
      <c r="B35" s="34">
        <f>IF(Produits!$A$36="","",Produits!$C$36)</f>
        <v/>
      </c>
      <c r="C35" s="11">
        <f>IF(N('Janvier'!U37)=0,"",N('Janvier'!U37))</f>
        <v/>
      </c>
      <c r="D35" s="11">
        <f>IF(N('Février'!U37)=0,"",N('Février'!U37))</f>
        <v/>
      </c>
      <c r="E35" s="11">
        <f>IF(N('Mars'!U37)=0,"",N('Mars'!U37))</f>
        <v/>
      </c>
      <c r="F35" s="11">
        <f>IF(N('Avril'!U37)=0,"",N('Avril'!U37))</f>
        <v/>
      </c>
      <c r="G35" s="11">
        <f>IF(N('Mai'!U37)=0,"",N('Mai'!U37))</f>
        <v/>
      </c>
      <c r="H35" s="11">
        <f>IF(N('Juin'!U37)=0,"",N('Juin'!U37))</f>
        <v/>
      </c>
      <c r="I35" s="11">
        <f>IF(N('Juillet'!U37)=0,"",N('Juillet'!U37))</f>
        <v/>
      </c>
      <c r="J35" s="11">
        <f>IF(N('Août'!U37)=0,"",N('Août'!U37))</f>
        <v/>
      </c>
      <c r="K35" s="11">
        <f>IF(N('Septembre'!U37)=0,"",N('Septembre'!U37))</f>
        <v/>
      </c>
      <c r="L35" s="11">
        <f>IF(N('Octobre'!U37)=0,"",N('Octobre'!U37))</f>
        <v/>
      </c>
      <c r="M35" s="11">
        <f>IF(N('Novembre'!U37)=0,"",N('Novembre'!U37))</f>
        <v/>
      </c>
      <c r="N35" s="11">
        <f>IF(N('Décembre'!U37)=0,"",N('Décembre'!U37))</f>
        <v/>
      </c>
      <c r="O35" s="22">
        <f>IF(COUNT(C35:N35)=0,"",SUM(C35:N35))</f>
        <v/>
      </c>
      <c r="P35" s="22">
        <f>IF(COUNT(C35:N35)=0,"",ROUND(AVERAGE(C35:N35),1))</f>
        <v/>
      </c>
      <c r="Q35" s="11">
        <f>IF(COUNT(C35:N35)=0,"",MAX(C35:N35))</f>
        <v/>
      </c>
    </row>
    <row r="36">
      <c r="A36" s="33">
        <f>IF(Produits!$A$38="","",Produits!$A$38)</f>
        <v/>
      </c>
      <c r="B36" s="34">
        <f>IF(Produits!$A$38="","",Produits!$C$38)</f>
        <v/>
      </c>
      <c r="C36" s="11">
        <f>IF(N('Janvier'!U39)=0,"",N('Janvier'!U39))</f>
        <v/>
      </c>
      <c r="D36" s="11">
        <f>IF(N('Février'!U39)=0,"",N('Février'!U39))</f>
        <v/>
      </c>
      <c r="E36" s="11">
        <f>IF(N('Mars'!U39)=0,"",N('Mars'!U39))</f>
        <v/>
      </c>
      <c r="F36" s="11">
        <f>IF(N('Avril'!U39)=0,"",N('Avril'!U39))</f>
        <v/>
      </c>
      <c r="G36" s="11">
        <f>IF(N('Mai'!U39)=0,"",N('Mai'!U39))</f>
        <v/>
      </c>
      <c r="H36" s="11">
        <f>IF(N('Juin'!U39)=0,"",N('Juin'!U39))</f>
        <v/>
      </c>
      <c r="I36" s="11">
        <f>IF(N('Juillet'!U39)=0,"",N('Juillet'!U39))</f>
        <v/>
      </c>
      <c r="J36" s="11">
        <f>IF(N('Août'!U39)=0,"",N('Août'!U39))</f>
        <v/>
      </c>
      <c r="K36" s="11">
        <f>IF(N('Septembre'!U39)=0,"",N('Septembre'!U39))</f>
        <v/>
      </c>
      <c r="L36" s="11">
        <f>IF(N('Octobre'!U39)=0,"",N('Octobre'!U39))</f>
        <v/>
      </c>
      <c r="M36" s="11">
        <f>IF(N('Novembre'!U39)=0,"",N('Novembre'!U39))</f>
        <v/>
      </c>
      <c r="N36" s="11">
        <f>IF(N('Décembre'!U39)=0,"",N('Décembre'!U39))</f>
        <v/>
      </c>
      <c r="O36" s="22">
        <f>IF(COUNT(C36:N36)=0,"",SUM(C36:N36))</f>
        <v/>
      </c>
      <c r="P36" s="22">
        <f>IF(COUNT(C36:N36)=0,"",ROUND(AVERAGE(C36:N36),1))</f>
        <v/>
      </c>
      <c r="Q36" s="11">
        <f>IF(COUNT(C36:N36)=0,"",MAX(C36:N36))</f>
        <v/>
      </c>
    </row>
    <row r="37">
      <c r="A37" s="33">
        <f>IF(Produits!$A$39="","",Produits!$A$39)</f>
        <v/>
      </c>
      <c r="B37" s="34">
        <f>IF(Produits!$A$39="","",Produits!$C$39)</f>
        <v/>
      </c>
      <c r="C37" s="11">
        <f>IF(N('Janvier'!U40)=0,"",N('Janvier'!U40))</f>
        <v/>
      </c>
      <c r="D37" s="11">
        <f>IF(N('Février'!U40)=0,"",N('Février'!U40))</f>
        <v/>
      </c>
      <c r="E37" s="11">
        <f>IF(N('Mars'!U40)=0,"",N('Mars'!U40))</f>
        <v/>
      </c>
      <c r="F37" s="11">
        <f>IF(N('Avril'!U40)=0,"",N('Avril'!U40))</f>
        <v/>
      </c>
      <c r="G37" s="11">
        <f>IF(N('Mai'!U40)=0,"",N('Mai'!U40))</f>
        <v/>
      </c>
      <c r="H37" s="11">
        <f>IF(N('Juin'!U40)=0,"",N('Juin'!U40))</f>
        <v/>
      </c>
      <c r="I37" s="11">
        <f>IF(N('Juillet'!U40)=0,"",N('Juillet'!U40))</f>
        <v/>
      </c>
      <c r="J37" s="11">
        <f>IF(N('Août'!U40)=0,"",N('Août'!U40))</f>
        <v/>
      </c>
      <c r="K37" s="11">
        <f>IF(N('Septembre'!U40)=0,"",N('Septembre'!U40))</f>
        <v/>
      </c>
      <c r="L37" s="11">
        <f>IF(N('Octobre'!U40)=0,"",N('Octobre'!U40))</f>
        <v/>
      </c>
      <c r="M37" s="11">
        <f>IF(N('Novembre'!U40)=0,"",N('Novembre'!U40))</f>
        <v/>
      </c>
      <c r="N37" s="11">
        <f>IF(N('Décembre'!U40)=0,"",N('Décembre'!U40))</f>
        <v/>
      </c>
      <c r="O37" s="22">
        <f>IF(COUNT(C37:N37)=0,"",SUM(C37:N37))</f>
        <v/>
      </c>
      <c r="P37" s="22">
        <f>IF(COUNT(C37:N37)=0,"",ROUND(AVERAGE(C37:N37),1))</f>
        <v/>
      </c>
      <c r="Q37" s="11">
        <f>IF(COUNT(C37:N37)=0,"",MAX(C37:N37))</f>
        <v/>
      </c>
    </row>
    <row r="38">
      <c r="A38" s="33">
        <f>IF(Produits!$A$40="","",Produits!$A$40)</f>
        <v/>
      </c>
      <c r="B38" s="34">
        <f>IF(Produits!$A$40="","",Produits!$C$40)</f>
        <v/>
      </c>
      <c r="C38" s="11">
        <f>IF(N('Janvier'!U41)=0,"",N('Janvier'!U41))</f>
        <v/>
      </c>
      <c r="D38" s="11">
        <f>IF(N('Février'!U41)=0,"",N('Février'!U41))</f>
        <v/>
      </c>
      <c r="E38" s="11">
        <f>IF(N('Mars'!U41)=0,"",N('Mars'!U41))</f>
        <v/>
      </c>
      <c r="F38" s="11">
        <f>IF(N('Avril'!U41)=0,"",N('Avril'!U41))</f>
        <v/>
      </c>
      <c r="G38" s="11">
        <f>IF(N('Mai'!U41)=0,"",N('Mai'!U41))</f>
        <v/>
      </c>
      <c r="H38" s="11">
        <f>IF(N('Juin'!U41)=0,"",N('Juin'!U41))</f>
        <v/>
      </c>
      <c r="I38" s="11">
        <f>IF(N('Juillet'!U41)=0,"",N('Juillet'!U41))</f>
        <v/>
      </c>
      <c r="J38" s="11">
        <f>IF(N('Août'!U41)=0,"",N('Août'!U41))</f>
        <v/>
      </c>
      <c r="K38" s="11">
        <f>IF(N('Septembre'!U41)=0,"",N('Septembre'!U41))</f>
        <v/>
      </c>
      <c r="L38" s="11">
        <f>IF(N('Octobre'!U41)=0,"",N('Octobre'!U41))</f>
        <v/>
      </c>
      <c r="M38" s="11">
        <f>IF(N('Novembre'!U41)=0,"",N('Novembre'!U41))</f>
        <v/>
      </c>
      <c r="N38" s="11">
        <f>IF(N('Décembre'!U41)=0,"",N('Décembre'!U41))</f>
        <v/>
      </c>
      <c r="O38" s="22">
        <f>IF(COUNT(C38:N38)=0,"",SUM(C38:N38))</f>
        <v/>
      </c>
      <c r="P38" s="22">
        <f>IF(COUNT(C38:N38)=0,"",ROUND(AVERAGE(C38:N38),1))</f>
        <v/>
      </c>
      <c r="Q38" s="11">
        <f>IF(COUNT(C38:N38)=0,"",MAX(C38:N38))</f>
        <v/>
      </c>
    </row>
    <row r="39">
      <c r="A39" s="33">
        <f>IF(Produits!$A$41="","",Produits!$A$41)</f>
        <v/>
      </c>
      <c r="B39" s="34">
        <f>IF(Produits!$A$41="","",Produits!$C$41)</f>
        <v/>
      </c>
      <c r="C39" s="11">
        <f>IF(N('Janvier'!U42)=0,"",N('Janvier'!U42))</f>
        <v/>
      </c>
      <c r="D39" s="11">
        <f>IF(N('Février'!U42)=0,"",N('Février'!U42))</f>
        <v/>
      </c>
      <c r="E39" s="11">
        <f>IF(N('Mars'!U42)=0,"",N('Mars'!U42))</f>
        <v/>
      </c>
      <c r="F39" s="11">
        <f>IF(N('Avril'!U42)=0,"",N('Avril'!U42))</f>
        <v/>
      </c>
      <c r="G39" s="11">
        <f>IF(N('Mai'!U42)=0,"",N('Mai'!U42))</f>
        <v/>
      </c>
      <c r="H39" s="11">
        <f>IF(N('Juin'!U42)=0,"",N('Juin'!U42))</f>
        <v/>
      </c>
      <c r="I39" s="11">
        <f>IF(N('Juillet'!U42)=0,"",N('Juillet'!U42))</f>
        <v/>
      </c>
      <c r="J39" s="11">
        <f>IF(N('Août'!U42)=0,"",N('Août'!U42))</f>
        <v/>
      </c>
      <c r="K39" s="11">
        <f>IF(N('Septembre'!U42)=0,"",N('Septembre'!U42))</f>
        <v/>
      </c>
      <c r="L39" s="11">
        <f>IF(N('Octobre'!U42)=0,"",N('Octobre'!U42))</f>
        <v/>
      </c>
      <c r="M39" s="11">
        <f>IF(N('Novembre'!U42)=0,"",N('Novembre'!U42))</f>
        <v/>
      </c>
      <c r="N39" s="11">
        <f>IF(N('Décembre'!U42)=0,"",N('Décembre'!U42))</f>
        <v/>
      </c>
      <c r="O39" s="22">
        <f>IF(COUNT(C39:N39)=0,"",SUM(C39:N39))</f>
        <v/>
      </c>
      <c r="P39" s="22">
        <f>IF(COUNT(C39:N39)=0,"",ROUND(AVERAGE(C39:N39),1))</f>
        <v/>
      </c>
      <c r="Q39" s="11">
        <f>IF(COUNT(C39:N39)=0,"",MAX(C39:N39))</f>
        <v/>
      </c>
    </row>
    <row r="40">
      <c r="A40" s="33">
        <f>IF(Produits!$A$42="","",Produits!$A$42)</f>
        <v/>
      </c>
      <c r="B40" s="34">
        <f>IF(Produits!$A$42="","",Produits!$C$42)</f>
        <v/>
      </c>
      <c r="C40" s="11">
        <f>IF(N('Janvier'!U43)=0,"",N('Janvier'!U43))</f>
        <v/>
      </c>
      <c r="D40" s="11">
        <f>IF(N('Février'!U43)=0,"",N('Février'!U43))</f>
        <v/>
      </c>
      <c r="E40" s="11">
        <f>IF(N('Mars'!U43)=0,"",N('Mars'!U43))</f>
        <v/>
      </c>
      <c r="F40" s="11">
        <f>IF(N('Avril'!U43)=0,"",N('Avril'!U43))</f>
        <v/>
      </c>
      <c r="G40" s="11">
        <f>IF(N('Mai'!U43)=0,"",N('Mai'!U43))</f>
        <v/>
      </c>
      <c r="H40" s="11">
        <f>IF(N('Juin'!U43)=0,"",N('Juin'!U43))</f>
        <v/>
      </c>
      <c r="I40" s="11">
        <f>IF(N('Juillet'!U43)=0,"",N('Juillet'!U43))</f>
        <v/>
      </c>
      <c r="J40" s="11">
        <f>IF(N('Août'!U43)=0,"",N('Août'!U43))</f>
        <v/>
      </c>
      <c r="K40" s="11">
        <f>IF(N('Septembre'!U43)=0,"",N('Septembre'!U43))</f>
        <v/>
      </c>
      <c r="L40" s="11">
        <f>IF(N('Octobre'!U43)=0,"",N('Octobre'!U43))</f>
        <v/>
      </c>
      <c r="M40" s="11">
        <f>IF(N('Novembre'!U43)=0,"",N('Novembre'!U43))</f>
        <v/>
      </c>
      <c r="N40" s="11">
        <f>IF(N('Décembre'!U43)=0,"",N('Décembre'!U43))</f>
        <v/>
      </c>
      <c r="O40" s="22">
        <f>IF(COUNT(C40:N40)=0,"",SUM(C40:N40))</f>
        <v/>
      </c>
      <c r="P40" s="22">
        <f>IF(COUNT(C40:N40)=0,"",ROUND(AVERAGE(C40:N40),1))</f>
        <v/>
      </c>
      <c r="Q40" s="11">
        <f>IF(COUNT(C40:N40)=0,"",MAX(C40:N40))</f>
        <v/>
      </c>
    </row>
    <row r="41">
      <c r="A41" s="33">
        <f>IF(Produits!$A$43="","",Produits!$A$43)</f>
        <v/>
      </c>
      <c r="B41" s="34">
        <f>IF(Produits!$A$43="","",Produits!$C$43)</f>
        <v/>
      </c>
      <c r="C41" s="11">
        <f>IF(N('Janvier'!U44)=0,"",N('Janvier'!U44))</f>
        <v/>
      </c>
      <c r="D41" s="11">
        <f>IF(N('Février'!U44)=0,"",N('Février'!U44))</f>
        <v/>
      </c>
      <c r="E41" s="11">
        <f>IF(N('Mars'!U44)=0,"",N('Mars'!U44))</f>
        <v/>
      </c>
      <c r="F41" s="11">
        <f>IF(N('Avril'!U44)=0,"",N('Avril'!U44))</f>
        <v/>
      </c>
      <c r="G41" s="11">
        <f>IF(N('Mai'!U44)=0,"",N('Mai'!U44))</f>
        <v/>
      </c>
      <c r="H41" s="11">
        <f>IF(N('Juin'!U44)=0,"",N('Juin'!U44))</f>
        <v/>
      </c>
      <c r="I41" s="11">
        <f>IF(N('Juillet'!U44)=0,"",N('Juillet'!U44))</f>
        <v/>
      </c>
      <c r="J41" s="11">
        <f>IF(N('Août'!U44)=0,"",N('Août'!U44))</f>
        <v/>
      </c>
      <c r="K41" s="11">
        <f>IF(N('Septembre'!U44)=0,"",N('Septembre'!U44))</f>
        <v/>
      </c>
      <c r="L41" s="11">
        <f>IF(N('Octobre'!U44)=0,"",N('Octobre'!U44))</f>
        <v/>
      </c>
      <c r="M41" s="11">
        <f>IF(N('Novembre'!U44)=0,"",N('Novembre'!U44))</f>
        <v/>
      </c>
      <c r="N41" s="11">
        <f>IF(N('Décembre'!U44)=0,"",N('Décembre'!U44))</f>
        <v/>
      </c>
      <c r="O41" s="22">
        <f>IF(COUNT(C41:N41)=0,"",SUM(C41:N41))</f>
        <v/>
      </c>
      <c r="P41" s="22">
        <f>IF(COUNT(C41:N41)=0,"",ROUND(AVERAGE(C41:N41),1))</f>
        <v/>
      </c>
      <c r="Q41" s="11">
        <f>IF(COUNT(C41:N41)=0,"",MAX(C41:N41))</f>
        <v/>
      </c>
    </row>
    <row r="42">
      <c r="A42" s="33">
        <f>IF(Produits!$A$44="","",Produits!$A$44)</f>
        <v/>
      </c>
      <c r="B42" s="34">
        <f>IF(Produits!$A$44="","",Produits!$C$44)</f>
        <v/>
      </c>
      <c r="C42" s="11">
        <f>IF(N('Janvier'!U45)=0,"",N('Janvier'!U45))</f>
        <v/>
      </c>
      <c r="D42" s="11">
        <f>IF(N('Février'!U45)=0,"",N('Février'!U45))</f>
        <v/>
      </c>
      <c r="E42" s="11">
        <f>IF(N('Mars'!U45)=0,"",N('Mars'!U45))</f>
        <v/>
      </c>
      <c r="F42" s="11">
        <f>IF(N('Avril'!U45)=0,"",N('Avril'!U45))</f>
        <v/>
      </c>
      <c r="G42" s="11">
        <f>IF(N('Mai'!U45)=0,"",N('Mai'!U45))</f>
        <v/>
      </c>
      <c r="H42" s="11">
        <f>IF(N('Juin'!U45)=0,"",N('Juin'!U45))</f>
        <v/>
      </c>
      <c r="I42" s="11">
        <f>IF(N('Juillet'!U45)=0,"",N('Juillet'!U45))</f>
        <v/>
      </c>
      <c r="J42" s="11">
        <f>IF(N('Août'!U45)=0,"",N('Août'!U45))</f>
        <v/>
      </c>
      <c r="K42" s="11">
        <f>IF(N('Septembre'!U45)=0,"",N('Septembre'!U45))</f>
        <v/>
      </c>
      <c r="L42" s="11">
        <f>IF(N('Octobre'!U45)=0,"",N('Octobre'!U45))</f>
        <v/>
      </c>
      <c r="M42" s="11">
        <f>IF(N('Novembre'!U45)=0,"",N('Novembre'!U45))</f>
        <v/>
      </c>
      <c r="N42" s="11">
        <f>IF(N('Décembre'!U45)=0,"",N('Décembre'!U45))</f>
        <v/>
      </c>
      <c r="O42" s="22">
        <f>IF(COUNT(C42:N42)=0,"",SUM(C42:N42))</f>
        <v/>
      </c>
      <c r="P42" s="22">
        <f>IF(COUNT(C42:N42)=0,"",ROUND(AVERAGE(C42:N42),1))</f>
        <v/>
      </c>
      <c r="Q42" s="11">
        <f>IF(COUNT(C42:N42)=0,"",MAX(C42:N42))</f>
        <v/>
      </c>
    </row>
    <row r="43">
      <c r="A43" s="33">
        <f>IF(Produits!$A$45="","",Produits!$A$45)</f>
        <v/>
      </c>
      <c r="B43" s="34">
        <f>IF(Produits!$A$45="","",Produits!$C$45)</f>
        <v/>
      </c>
      <c r="C43" s="11">
        <f>IF(N('Janvier'!U46)=0,"",N('Janvier'!U46))</f>
        <v/>
      </c>
      <c r="D43" s="11">
        <f>IF(N('Février'!U46)=0,"",N('Février'!U46))</f>
        <v/>
      </c>
      <c r="E43" s="11">
        <f>IF(N('Mars'!U46)=0,"",N('Mars'!U46))</f>
        <v/>
      </c>
      <c r="F43" s="11">
        <f>IF(N('Avril'!U46)=0,"",N('Avril'!U46))</f>
        <v/>
      </c>
      <c r="G43" s="11">
        <f>IF(N('Mai'!U46)=0,"",N('Mai'!U46))</f>
        <v/>
      </c>
      <c r="H43" s="11">
        <f>IF(N('Juin'!U46)=0,"",N('Juin'!U46))</f>
        <v/>
      </c>
      <c r="I43" s="11">
        <f>IF(N('Juillet'!U46)=0,"",N('Juillet'!U46))</f>
        <v/>
      </c>
      <c r="J43" s="11">
        <f>IF(N('Août'!U46)=0,"",N('Août'!U46))</f>
        <v/>
      </c>
      <c r="K43" s="11">
        <f>IF(N('Septembre'!U46)=0,"",N('Septembre'!U46))</f>
        <v/>
      </c>
      <c r="L43" s="11">
        <f>IF(N('Octobre'!U46)=0,"",N('Octobre'!U46))</f>
        <v/>
      </c>
      <c r="M43" s="11">
        <f>IF(N('Novembre'!U46)=0,"",N('Novembre'!U46))</f>
        <v/>
      </c>
      <c r="N43" s="11">
        <f>IF(N('Décembre'!U46)=0,"",N('Décembre'!U46))</f>
        <v/>
      </c>
      <c r="O43" s="22">
        <f>IF(COUNT(C43:N43)=0,"",SUM(C43:N43))</f>
        <v/>
      </c>
      <c r="P43" s="22">
        <f>IF(COUNT(C43:N43)=0,"",ROUND(AVERAGE(C43:N43),1))</f>
        <v/>
      </c>
      <c r="Q43" s="11">
        <f>IF(COUNT(C43:N43)=0,"",MAX(C43:N43))</f>
        <v/>
      </c>
    </row>
    <row r="44">
      <c r="A44" s="33">
        <f>IF(Produits!$A$46="","",Produits!$A$46)</f>
        <v/>
      </c>
      <c r="B44" s="34">
        <f>IF(Produits!$A$46="","",Produits!$C$46)</f>
        <v/>
      </c>
      <c r="C44" s="11">
        <f>IF(N('Janvier'!U47)=0,"",N('Janvier'!U47))</f>
        <v/>
      </c>
      <c r="D44" s="11">
        <f>IF(N('Février'!U47)=0,"",N('Février'!U47))</f>
        <v/>
      </c>
      <c r="E44" s="11">
        <f>IF(N('Mars'!U47)=0,"",N('Mars'!U47))</f>
        <v/>
      </c>
      <c r="F44" s="11">
        <f>IF(N('Avril'!U47)=0,"",N('Avril'!U47))</f>
        <v/>
      </c>
      <c r="G44" s="11">
        <f>IF(N('Mai'!U47)=0,"",N('Mai'!U47))</f>
        <v/>
      </c>
      <c r="H44" s="11">
        <f>IF(N('Juin'!U47)=0,"",N('Juin'!U47))</f>
        <v/>
      </c>
      <c r="I44" s="11">
        <f>IF(N('Juillet'!U47)=0,"",N('Juillet'!U47))</f>
        <v/>
      </c>
      <c r="J44" s="11">
        <f>IF(N('Août'!U47)=0,"",N('Août'!U47))</f>
        <v/>
      </c>
      <c r="K44" s="11">
        <f>IF(N('Septembre'!U47)=0,"",N('Septembre'!U47))</f>
        <v/>
      </c>
      <c r="L44" s="11">
        <f>IF(N('Octobre'!U47)=0,"",N('Octobre'!U47))</f>
        <v/>
      </c>
      <c r="M44" s="11">
        <f>IF(N('Novembre'!U47)=0,"",N('Novembre'!U47))</f>
        <v/>
      </c>
      <c r="N44" s="11">
        <f>IF(N('Décembre'!U47)=0,"",N('Décembre'!U47))</f>
        <v/>
      </c>
      <c r="O44" s="22">
        <f>IF(COUNT(C44:N44)=0,"",SUM(C44:N44))</f>
        <v/>
      </c>
      <c r="P44" s="22">
        <f>IF(COUNT(C44:N44)=0,"",ROUND(AVERAGE(C44:N44),1))</f>
        <v/>
      </c>
      <c r="Q44" s="11">
        <f>IF(COUNT(C44:N44)=0,"",MAX(C44:N44))</f>
        <v/>
      </c>
    </row>
    <row r="45">
      <c r="A45" s="33">
        <f>IF(Produits!$A$47="","",Produits!$A$47)</f>
        <v/>
      </c>
      <c r="B45" s="34">
        <f>IF(Produits!$A$47="","",Produits!$C$47)</f>
        <v/>
      </c>
      <c r="C45" s="11">
        <f>IF(N('Janvier'!U48)=0,"",N('Janvier'!U48))</f>
        <v/>
      </c>
      <c r="D45" s="11">
        <f>IF(N('Février'!U48)=0,"",N('Février'!U48))</f>
        <v/>
      </c>
      <c r="E45" s="11">
        <f>IF(N('Mars'!U48)=0,"",N('Mars'!U48))</f>
        <v/>
      </c>
      <c r="F45" s="11">
        <f>IF(N('Avril'!U48)=0,"",N('Avril'!U48))</f>
        <v/>
      </c>
      <c r="G45" s="11">
        <f>IF(N('Mai'!U48)=0,"",N('Mai'!U48))</f>
        <v/>
      </c>
      <c r="H45" s="11">
        <f>IF(N('Juin'!U48)=0,"",N('Juin'!U48))</f>
        <v/>
      </c>
      <c r="I45" s="11">
        <f>IF(N('Juillet'!U48)=0,"",N('Juillet'!U48))</f>
        <v/>
      </c>
      <c r="J45" s="11">
        <f>IF(N('Août'!U48)=0,"",N('Août'!U48))</f>
        <v/>
      </c>
      <c r="K45" s="11">
        <f>IF(N('Septembre'!U48)=0,"",N('Septembre'!U48))</f>
        <v/>
      </c>
      <c r="L45" s="11">
        <f>IF(N('Octobre'!U48)=0,"",N('Octobre'!U48))</f>
        <v/>
      </c>
      <c r="M45" s="11">
        <f>IF(N('Novembre'!U48)=0,"",N('Novembre'!U48))</f>
        <v/>
      </c>
      <c r="N45" s="11">
        <f>IF(N('Décembre'!U48)=0,"",N('Décembre'!U48))</f>
        <v/>
      </c>
      <c r="O45" s="22">
        <f>IF(COUNT(C45:N45)=0,"",SUM(C45:N45))</f>
        <v/>
      </c>
      <c r="P45" s="22">
        <f>IF(COUNT(C45:N45)=0,"",ROUND(AVERAGE(C45:N45),1))</f>
        <v/>
      </c>
      <c r="Q45" s="11">
        <f>IF(COUNT(C45:N45)=0,"",MAX(C45:N45))</f>
        <v/>
      </c>
    </row>
    <row r="46">
      <c r="A46" s="33">
        <f>IF(Produits!$A$48="","",Produits!$A$48)</f>
        <v/>
      </c>
      <c r="B46" s="34">
        <f>IF(Produits!$A$48="","",Produits!$C$48)</f>
        <v/>
      </c>
      <c r="C46" s="11">
        <f>IF(N('Janvier'!U49)=0,"",N('Janvier'!U49))</f>
        <v/>
      </c>
      <c r="D46" s="11">
        <f>IF(N('Février'!U49)=0,"",N('Février'!U49))</f>
        <v/>
      </c>
      <c r="E46" s="11">
        <f>IF(N('Mars'!U49)=0,"",N('Mars'!U49))</f>
        <v/>
      </c>
      <c r="F46" s="11">
        <f>IF(N('Avril'!U49)=0,"",N('Avril'!U49))</f>
        <v/>
      </c>
      <c r="G46" s="11">
        <f>IF(N('Mai'!U49)=0,"",N('Mai'!U49))</f>
        <v/>
      </c>
      <c r="H46" s="11">
        <f>IF(N('Juin'!U49)=0,"",N('Juin'!U49))</f>
        <v/>
      </c>
      <c r="I46" s="11">
        <f>IF(N('Juillet'!U49)=0,"",N('Juillet'!U49))</f>
        <v/>
      </c>
      <c r="J46" s="11">
        <f>IF(N('Août'!U49)=0,"",N('Août'!U49))</f>
        <v/>
      </c>
      <c r="K46" s="11">
        <f>IF(N('Septembre'!U49)=0,"",N('Septembre'!U49))</f>
        <v/>
      </c>
      <c r="L46" s="11">
        <f>IF(N('Octobre'!U49)=0,"",N('Octobre'!U49))</f>
        <v/>
      </c>
      <c r="M46" s="11">
        <f>IF(N('Novembre'!U49)=0,"",N('Novembre'!U49))</f>
        <v/>
      </c>
      <c r="N46" s="11">
        <f>IF(N('Décembre'!U49)=0,"",N('Décembre'!U49))</f>
        <v/>
      </c>
      <c r="O46" s="22">
        <f>IF(COUNT(C46:N46)=0,"",SUM(C46:N46))</f>
        <v/>
      </c>
      <c r="P46" s="22">
        <f>IF(COUNT(C46:N46)=0,"",ROUND(AVERAGE(C46:N46),1))</f>
        <v/>
      </c>
      <c r="Q46" s="11">
        <f>IF(COUNT(C46:N46)=0,"",MAX(C46:N46))</f>
        <v/>
      </c>
    </row>
    <row r="47">
      <c r="A47" s="33">
        <f>IF(Produits!$A$49="","",Produits!$A$49)</f>
        <v/>
      </c>
      <c r="B47" s="34">
        <f>IF(Produits!$A$49="","",Produits!$C$49)</f>
        <v/>
      </c>
      <c r="C47" s="11">
        <f>IF(N('Janvier'!U50)=0,"",N('Janvier'!U50))</f>
        <v/>
      </c>
      <c r="D47" s="11">
        <f>IF(N('Février'!U50)=0,"",N('Février'!U50))</f>
        <v/>
      </c>
      <c r="E47" s="11">
        <f>IF(N('Mars'!U50)=0,"",N('Mars'!U50))</f>
        <v/>
      </c>
      <c r="F47" s="11">
        <f>IF(N('Avril'!U50)=0,"",N('Avril'!U50))</f>
        <v/>
      </c>
      <c r="G47" s="11">
        <f>IF(N('Mai'!U50)=0,"",N('Mai'!U50))</f>
        <v/>
      </c>
      <c r="H47" s="11">
        <f>IF(N('Juin'!U50)=0,"",N('Juin'!U50))</f>
        <v/>
      </c>
      <c r="I47" s="11">
        <f>IF(N('Juillet'!U50)=0,"",N('Juillet'!U50))</f>
        <v/>
      </c>
      <c r="J47" s="11">
        <f>IF(N('Août'!U50)=0,"",N('Août'!U50))</f>
        <v/>
      </c>
      <c r="K47" s="11">
        <f>IF(N('Septembre'!U50)=0,"",N('Septembre'!U50))</f>
        <v/>
      </c>
      <c r="L47" s="11">
        <f>IF(N('Octobre'!U50)=0,"",N('Octobre'!U50))</f>
        <v/>
      </c>
      <c r="M47" s="11">
        <f>IF(N('Novembre'!U50)=0,"",N('Novembre'!U50))</f>
        <v/>
      </c>
      <c r="N47" s="11">
        <f>IF(N('Décembre'!U50)=0,"",N('Décembre'!U50))</f>
        <v/>
      </c>
      <c r="O47" s="22">
        <f>IF(COUNT(C47:N47)=0,"",SUM(C47:N47))</f>
        <v/>
      </c>
      <c r="P47" s="22">
        <f>IF(COUNT(C47:N47)=0,"",ROUND(AVERAGE(C47:N47),1))</f>
        <v/>
      </c>
      <c r="Q47" s="11">
        <f>IF(COUNT(C47:N47)=0,"",MAX(C47:N47))</f>
        <v/>
      </c>
    </row>
    <row r="48">
      <c r="A48" s="33">
        <f>IF(Produits!$A$50="","",Produits!$A$50)</f>
        <v/>
      </c>
      <c r="B48" s="34">
        <f>IF(Produits!$A$50="","",Produits!$C$50)</f>
        <v/>
      </c>
      <c r="C48" s="11">
        <f>IF(N('Janvier'!U51)=0,"",N('Janvier'!U51))</f>
        <v/>
      </c>
      <c r="D48" s="11">
        <f>IF(N('Février'!U51)=0,"",N('Février'!U51))</f>
        <v/>
      </c>
      <c r="E48" s="11">
        <f>IF(N('Mars'!U51)=0,"",N('Mars'!U51))</f>
        <v/>
      </c>
      <c r="F48" s="11">
        <f>IF(N('Avril'!U51)=0,"",N('Avril'!U51))</f>
        <v/>
      </c>
      <c r="G48" s="11">
        <f>IF(N('Mai'!U51)=0,"",N('Mai'!U51))</f>
        <v/>
      </c>
      <c r="H48" s="11">
        <f>IF(N('Juin'!U51)=0,"",N('Juin'!U51))</f>
        <v/>
      </c>
      <c r="I48" s="11">
        <f>IF(N('Juillet'!U51)=0,"",N('Juillet'!U51))</f>
        <v/>
      </c>
      <c r="J48" s="11">
        <f>IF(N('Août'!U51)=0,"",N('Août'!U51))</f>
        <v/>
      </c>
      <c r="K48" s="11">
        <f>IF(N('Septembre'!U51)=0,"",N('Septembre'!U51))</f>
        <v/>
      </c>
      <c r="L48" s="11">
        <f>IF(N('Octobre'!U51)=0,"",N('Octobre'!U51))</f>
        <v/>
      </c>
      <c r="M48" s="11">
        <f>IF(N('Novembre'!U51)=0,"",N('Novembre'!U51))</f>
        <v/>
      </c>
      <c r="N48" s="11">
        <f>IF(N('Décembre'!U51)=0,"",N('Décembre'!U51))</f>
        <v/>
      </c>
      <c r="O48" s="22">
        <f>IF(COUNT(C48:N48)=0,"",SUM(C48:N48))</f>
        <v/>
      </c>
      <c r="P48" s="22">
        <f>IF(COUNT(C48:N48)=0,"",ROUND(AVERAGE(C48:N48),1))</f>
        <v/>
      </c>
      <c r="Q48" s="11">
        <f>IF(COUNT(C48:N48)=0,"",MAX(C48:N48))</f>
        <v/>
      </c>
    </row>
    <row r="49">
      <c r="A49" s="33">
        <f>IF(Produits!$A$51="","",Produits!$A$51)</f>
        <v/>
      </c>
      <c r="B49" s="34">
        <f>IF(Produits!$A$51="","",Produits!$C$51)</f>
        <v/>
      </c>
      <c r="C49" s="11">
        <f>IF(N('Janvier'!U52)=0,"",N('Janvier'!U52))</f>
        <v/>
      </c>
      <c r="D49" s="11">
        <f>IF(N('Février'!U52)=0,"",N('Février'!U52))</f>
        <v/>
      </c>
      <c r="E49" s="11">
        <f>IF(N('Mars'!U52)=0,"",N('Mars'!U52))</f>
        <v/>
      </c>
      <c r="F49" s="11">
        <f>IF(N('Avril'!U52)=0,"",N('Avril'!U52))</f>
        <v/>
      </c>
      <c r="G49" s="11">
        <f>IF(N('Mai'!U52)=0,"",N('Mai'!U52))</f>
        <v/>
      </c>
      <c r="H49" s="11">
        <f>IF(N('Juin'!U52)=0,"",N('Juin'!U52))</f>
        <v/>
      </c>
      <c r="I49" s="11">
        <f>IF(N('Juillet'!U52)=0,"",N('Juillet'!U52))</f>
        <v/>
      </c>
      <c r="J49" s="11">
        <f>IF(N('Août'!U52)=0,"",N('Août'!U52))</f>
        <v/>
      </c>
      <c r="K49" s="11">
        <f>IF(N('Septembre'!U52)=0,"",N('Septembre'!U52))</f>
        <v/>
      </c>
      <c r="L49" s="11">
        <f>IF(N('Octobre'!U52)=0,"",N('Octobre'!U52))</f>
        <v/>
      </c>
      <c r="M49" s="11">
        <f>IF(N('Novembre'!U52)=0,"",N('Novembre'!U52))</f>
        <v/>
      </c>
      <c r="N49" s="11">
        <f>IF(N('Décembre'!U52)=0,"",N('Décembre'!U52))</f>
        <v/>
      </c>
      <c r="O49" s="22">
        <f>IF(COUNT(C49:N49)=0,"",SUM(C49:N49))</f>
        <v/>
      </c>
      <c r="P49" s="22">
        <f>IF(COUNT(C49:N49)=0,"",ROUND(AVERAGE(C49:N49),1))</f>
        <v/>
      </c>
      <c r="Q49" s="11">
        <f>IF(COUNT(C49:N49)=0,"",MAX(C49:N49))</f>
        <v/>
      </c>
    </row>
    <row r="50">
      <c r="A50" s="33">
        <f>IF(Produits!$A$52="","",Produits!$A$52)</f>
        <v/>
      </c>
      <c r="B50" s="34">
        <f>IF(Produits!$A$52="","",Produits!$C$52)</f>
        <v/>
      </c>
      <c r="C50" s="11">
        <f>IF(N('Janvier'!U53)=0,"",N('Janvier'!U53))</f>
        <v/>
      </c>
      <c r="D50" s="11">
        <f>IF(N('Février'!U53)=0,"",N('Février'!U53))</f>
        <v/>
      </c>
      <c r="E50" s="11">
        <f>IF(N('Mars'!U53)=0,"",N('Mars'!U53))</f>
        <v/>
      </c>
      <c r="F50" s="11">
        <f>IF(N('Avril'!U53)=0,"",N('Avril'!U53))</f>
        <v/>
      </c>
      <c r="G50" s="11">
        <f>IF(N('Mai'!U53)=0,"",N('Mai'!U53))</f>
        <v/>
      </c>
      <c r="H50" s="11">
        <f>IF(N('Juin'!U53)=0,"",N('Juin'!U53))</f>
        <v/>
      </c>
      <c r="I50" s="11">
        <f>IF(N('Juillet'!U53)=0,"",N('Juillet'!U53))</f>
        <v/>
      </c>
      <c r="J50" s="11">
        <f>IF(N('Août'!U53)=0,"",N('Août'!U53))</f>
        <v/>
      </c>
      <c r="K50" s="11">
        <f>IF(N('Septembre'!U53)=0,"",N('Septembre'!U53))</f>
        <v/>
      </c>
      <c r="L50" s="11">
        <f>IF(N('Octobre'!U53)=0,"",N('Octobre'!U53))</f>
        <v/>
      </c>
      <c r="M50" s="11">
        <f>IF(N('Novembre'!U53)=0,"",N('Novembre'!U53))</f>
        <v/>
      </c>
      <c r="N50" s="11">
        <f>IF(N('Décembre'!U53)=0,"",N('Décembre'!U53))</f>
        <v/>
      </c>
      <c r="O50" s="22">
        <f>IF(COUNT(C50:N50)=0,"",SUM(C50:N50))</f>
        <v/>
      </c>
      <c r="P50" s="22">
        <f>IF(COUNT(C50:N50)=0,"",ROUND(AVERAGE(C50:N50),1))</f>
        <v/>
      </c>
      <c r="Q50" s="11">
        <f>IF(COUNT(C50:N50)=0,"",MAX(C50:N50))</f>
        <v/>
      </c>
    </row>
    <row r="51">
      <c r="A51" s="33">
        <f>IF(Produits!$A$54="","",Produits!$A$54)</f>
        <v/>
      </c>
      <c r="B51" s="34">
        <f>IF(Produits!$A$54="","",Produits!$C$54)</f>
        <v/>
      </c>
      <c r="C51" s="11">
        <f>IF(N('Janvier'!U55)=0,"",N('Janvier'!U55))</f>
        <v/>
      </c>
      <c r="D51" s="11">
        <f>IF(N('Février'!U55)=0,"",N('Février'!U55))</f>
        <v/>
      </c>
      <c r="E51" s="11">
        <f>IF(N('Mars'!U55)=0,"",N('Mars'!U55))</f>
        <v/>
      </c>
      <c r="F51" s="11">
        <f>IF(N('Avril'!U55)=0,"",N('Avril'!U55))</f>
        <v/>
      </c>
      <c r="G51" s="11">
        <f>IF(N('Mai'!U55)=0,"",N('Mai'!U55))</f>
        <v/>
      </c>
      <c r="H51" s="11">
        <f>IF(N('Juin'!U55)=0,"",N('Juin'!U55))</f>
        <v/>
      </c>
      <c r="I51" s="11">
        <f>IF(N('Juillet'!U55)=0,"",N('Juillet'!U55))</f>
        <v/>
      </c>
      <c r="J51" s="11">
        <f>IF(N('Août'!U55)=0,"",N('Août'!U55))</f>
        <v/>
      </c>
      <c r="K51" s="11">
        <f>IF(N('Septembre'!U55)=0,"",N('Septembre'!U55))</f>
        <v/>
      </c>
      <c r="L51" s="11">
        <f>IF(N('Octobre'!U55)=0,"",N('Octobre'!U55))</f>
        <v/>
      </c>
      <c r="M51" s="11">
        <f>IF(N('Novembre'!U55)=0,"",N('Novembre'!U55))</f>
        <v/>
      </c>
      <c r="N51" s="11">
        <f>IF(N('Décembre'!U55)=0,"",N('Décembre'!U55))</f>
        <v/>
      </c>
      <c r="O51" s="22">
        <f>IF(COUNT(C51:N51)=0,"",SUM(C51:N51))</f>
        <v/>
      </c>
      <c r="P51" s="22">
        <f>IF(COUNT(C51:N51)=0,"",ROUND(AVERAGE(C51:N51),1))</f>
        <v/>
      </c>
      <c r="Q51" s="11">
        <f>IF(COUNT(C51:N51)=0,"",MAX(C51:N51))</f>
        <v/>
      </c>
    </row>
    <row r="52">
      <c r="A52" s="33">
        <f>IF(Produits!$A$55="","",Produits!$A$55)</f>
        <v/>
      </c>
      <c r="B52" s="34">
        <f>IF(Produits!$A$55="","",Produits!$C$55)</f>
        <v/>
      </c>
      <c r="C52" s="11">
        <f>IF(N('Janvier'!U56)=0,"",N('Janvier'!U56))</f>
        <v/>
      </c>
      <c r="D52" s="11">
        <f>IF(N('Février'!U56)=0,"",N('Février'!U56))</f>
        <v/>
      </c>
      <c r="E52" s="11">
        <f>IF(N('Mars'!U56)=0,"",N('Mars'!U56))</f>
        <v/>
      </c>
      <c r="F52" s="11">
        <f>IF(N('Avril'!U56)=0,"",N('Avril'!U56))</f>
        <v/>
      </c>
      <c r="G52" s="11">
        <f>IF(N('Mai'!U56)=0,"",N('Mai'!U56))</f>
        <v/>
      </c>
      <c r="H52" s="11">
        <f>IF(N('Juin'!U56)=0,"",N('Juin'!U56))</f>
        <v/>
      </c>
      <c r="I52" s="11">
        <f>IF(N('Juillet'!U56)=0,"",N('Juillet'!U56))</f>
        <v/>
      </c>
      <c r="J52" s="11">
        <f>IF(N('Août'!U56)=0,"",N('Août'!U56))</f>
        <v/>
      </c>
      <c r="K52" s="11">
        <f>IF(N('Septembre'!U56)=0,"",N('Septembre'!U56))</f>
        <v/>
      </c>
      <c r="L52" s="11">
        <f>IF(N('Octobre'!U56)=0,"",N('Octobre'!U56))</f>
        <v/>
      </c>
      <c r="M52" s="11">
        <f>IF(N('Novembre'!U56)=0,"",N('Novembre'!U56))</f>
        <v/>
      </c>
      <c r="N52" s="11">
        <f>IF(N('Décembre'!U56)=0,"",N('Décembre'!U56))</f>
        <v/>
      </c>
      <c r="O52" s="22">
        <f>IF(COUNT(C52:N52)=0,"",SUM(C52:N52))</f>
        <v/>
      </c>
      <c r="P52" s="22">
        <f>IF(COUNT(C52:N52)=0,"",ROUND(AVERAGE(C52:N52),1))</f>
        <v/>
      </c>
      <c r="Q52" s="11">
        <f>IF(COUNT(C52:N52)=0,"",MAX(C52:N52))</f>
        <v/>
      </c>
    </row>
    <row r="53">
      <c r="A53" s="33">
        <f>IF(Produits!$A$56="","",Produits!$A$56)</f>
        <v/>
      </c>
      <c r="B53" s="34">
        <f>IF(Produits!$A$56="","",Produits!$C$56)</f>
        <v/>
      </c>
      <c r="C53" s="11">
        <f>IF(N('Janvier'!U57)=0,"",N('Janvier'!U57))</f>
        <v/>
      </c>
      <c r="D53" s="11">
        <f>IF(N('Février'!U57)=0,"",N('Février'!U57))</f>
        <v/>
      </c>
      <c r="E53" s="11">
        <f>IF(N('Mars'!U57)=0,"",N('Mars'!U57))</f>
        <v/>
      </c>
      <c r="F53" s="11">
        <f>IF(N('Avril'!U57)=0,"",N('Avril'!U57))</f>
        <v/>
      </c>
      <c r="G53" s="11">
        <f>IF(N('Mai'!U57)=0,"",N('Mai'!U57))</f>
        <v/>
      </c>
      <c r="H53" s="11">
        <f>IF(N('Juin'!U57)=0,"",N('Juin'!U57))</f>
        <v/>
      </c>
      <c r="I53" s="11">
        <f>IF(N('Juillet'!U57)=0,"",N('Juillet'!U57))</f>
        <v/>
      </c>
      <c r="J53" s="11">
        <f>IF(N('Août'!U57)=0,"",N('Août'!U57))</f>
        <v/>
      </c>
      <c r="K53" s="11">
        <f>IF(N('Septembre'!U57)=0,"",N('Septembre'!U57))</f>
        <v/>
      </c>
      <c r="L53" s="11">
        <f>IF(N('Octobre'!U57)=0,"",N('Octobre'!U57))</f>
        <v/>
      </c>
      <c r="M53" s="11">
        <f>IF(N('Novembre'!U57)=0,"",N('Novembre'!U57))</f>
        <v/>
      </c>
      <c r="N53" s="11">
        <f>IF(N('Décembre'!U57)=0,"",N('Décembre'!U57))</f>
        <v/>
      </c>
      <c r="O53" s="22">
        <f>IF(COUNT(C53:N53)=0,"",SUM(C53:N53))</f>
        <v/>
      </c>
      <c r="P53" s="22">
        <f>IF(COUNT(C53:N53)=0,"",ROUND(AVERAGE(C53:N53),1))</f>
        <v/>
      </c>
      <c r="Q53" s="11">
        <f>IF(COUNT(C53:N53)=0,"",MAX(C53:N53))</f>
        <v/>
      </c>
    </row>
    <row r="54">
      <c r="A54" s="33">
        <f>IF(Produits!$A$57="","",Produits!$A$57)</f>
        <v/>
      </c>
      <c r="B54" s="34">
        <f>IF(Produits!$A$57="","",Produits!$C$57)</f>
        <v/>
      </c>
      <c r="C54" s="11">
        <f>IF(N('Janvier'!U58)=0,"",N('Janvier'!U58))</f>
        <v/>
      </c>
      <c r="D54" s="11">
        <f>IF(N('Février'!U58)=0,"",N('Février'!U58))</f>
        <v/>
      </c>
      <c r="E54" s="11">
        <f>IF(N('Mars'!U58)=0,"",N('Mars'!U58))</f>
        <v/>
      </c>
      <c r="F54" s="11">
        <f>IF(N('Avril'!U58)=0,"",N('Avril'!U58))</f>
        <v/>
      </c>
      <c r="G54" s="11">
        <f>IF(N('Mai'!U58)=0,"",N('Mai'!U58))</f>
        <v/>
      </c>
      <c r="H54" s="11">
        <f>IF(N('Juin'!U58)=0,"",N('Juin'!U58))</f>
        <v/>
      </c>
      <c r="I54" s="11">
        <f>IF(N('Juillet'!U58)=0,"",N('Juillet'!U58))</f>
        <v/>
      </c>
      <c r="J54" s="11">
        <f>IF(N('Août'!U58)=0,"",N('Août'!U58))</f>
        <v/>
      </c>
      <c r="K54" s="11">
        <f>IF(N('Septembre'!U58)=0,"",N('Septembre'!U58))</f>
        <v/>
      </c>
      <c r="L54" s="11">
        <f>IF(N('Octobre'!U58)=0,"",N('Octobre'!U58))</f>
        <v/>
      </c>
      <c r="M54" s="11">
        <f>IF(N('Novembre'!U58)=0,"",N('Novembre'!U58))</f>
        <v/>
      </c>
      <c r="N54" s="11">
        <f>IF(N('Décembre'!U58)=0,"",N('Décembre'!U58))</f>
        <v/>
      </c>
      <c r="O54" s="22">
        <f>IF(COUNT(C54:N54)=0,"",SUM(C54:N54))</f>
        <v/>
      </c>
      <c r="P54" s="22">
        <f>IF(COUNT(C54:N54)=0,"",ROUND(AVERAGE(C54:N54),1))</f>
        <v/>
      </c>
      <c r="Q54" s="11">
        <f>IF(COUNT(C54:N54)=0,"",MAX(C54:N54))</f>
        <v/>
      </c>
    </row>
    <row r="55">
      <c r="A55" s="33">
        <f>IF(Produits!$A$58="","",Produits!$A$58)</f>
        <v/>
      </c>
      <c r="B55" s="34">
        <f>IF(Produits!$A$58="","",Produits!$C$58)</f>
        <v/>
      </c>
      <c r="C55" s="11">
        <f>IF(N('Janvier'!U59)=0,"",N('Janvier'!U59))</f>
        <v/>
      </c>
      <c r="D55" s="11">
        <f>IF(N('Février'!U59)=0,"",N('Février'!U59))</f>
        <v/>
      </c>
      <c r="E55" s="11">
        <f>IF(N('Mars'!U59)=0,"",N('Mars'!U59))</f>
        <v/>
      </c>
      <c r="F55" s="11">
        <f>IF(N('Avril'!U59)=0,"",N('Avril'!U59))</f>
        <v/>
      </c>
      <c r="G55" s="11">
        <f>IF(N('Mai'!U59)=0,"",N('Mai'!U59))</f>
        <v/>
      </c>
      <c r="H55" s="11">
        <f>IF(N('Juin'!U59)=0,"",N('Juin'!U59))</f>
        <v/>
      </c>
      <c r="I55" s="11">
        <f>IF(N('Juillet'!U59)=0,"",N('Juillet'!U59))</f>
        <v/>
      </c>
      <c r="J55" s="11">
        <f>IF(N('Août'!U59)=0,"",N('Août'!U59))</f>
        <v/>
      </c>
      <c r="K55" s="11">
        <f>IF(N('Septembre'!U59)=0,"",N('Septembre'!U59))</f>
        <v/>
      </c>
      <c r="L55" s="11">
        <f>IF(N('Octobre'!U59)=0,"",N('Octobre'!U59))</f>
        <v/>
      </c>
      <c r="M55" s="11">
        <f>IF(N('Novembre'!U59)=0,"",N('Novembre'!U59))</f>
        <v/>
      </c>
      <c r="N55" s="11">
        <f>IF(N('Décembre'!U59)=0,"",N('Décembre'!U59))</f>
        <v/>
      </c>
      <c r="O55" s="22">
        <f>IF(COUNT(C55:N55)=0,"",SUM(C55:N55))</f>
        <v/>
      </c>
      <c r="P55" s="22">
        <f>IF(COUNT(C55:N55)=0,"",ROUND(AVERAGE(C55:N55),1))</f>
        <v/>
      </c>
      <c r="Q55" s="11">
        <f>IF(COUNT(C55:N55)=0,"",MAX(C55:N55))</f>
        <v/>
      </c>
    </row>
    <row r="56">
      <c r="A56" s="33">
        <f>IF(Produits!$A$59="","",Produits!$A$59)</f>
        <v/>
      </c>
      <c r="B56" s="34">
        <f>IF(Produits!$A$59="","",Produits!$C$59)</f>
        <v/>
      </c>
      <c r="C56" s="11">
        <f>IF(N('Janvier'!U60)=0,"",N('Janvier'!U60))</f>
        <v/>
      </c>
      <c r="D56" s="11">
        <f>IF(N('Février'!U60)=0,"",N('Février'!U60))</f>
        <v/>
      </c>
      <c r="E56" s="11">
        <f>IF(N('Mars'!U60)=0,"",N('Mars'!U60))</f>
        <v/>
      </c>
      <c r="F56" s="11">
        <f>IF(N('Avril'!U60)=0,"",N('Avril'!U60))</f>
        <v/>
      </c>
      <c r="G56" s="11">
        <f>IF(N('Mai'!U60)=0,"",N('Mai'!U60))</f>
        <v/>
      </c>
      <c r="H56" s="11">
        <f>IF(N('Juin'!U60)=0,"",N('Juin'!U60))</f>
        <v/>
      </c>
      <c r="I56" s="11">
        <f>IF(N('Juillet'!U60)=0,"",N('Juillet'!U60))</f>
        <v/>
      </c>
      <c r="J56" s="11">
        <f>IF(N('Août'!U60)=0,"",N('Août'!U60))</f>
        <v/>
      </c>
      <c r="K56" s="11">
        <f>IF(N('Septembre'!U60)=0,"",N('Septembre'!U60))</f>
        <v/>
      </c>
      <c r="L56" s="11">
        <f>IF(N('Octobre'!U60)=0,"",N('Octobre'!U60))</f>
        <v/>
      </c>
      <c r="M56" s="11">
        <f>IF(N('Novembre'!U60)=0,"",N('Novembre'!U60))</f>
        <v/>
      </c>
      <c r="N56" s="11">
        <f>IF(N('Décembre'!U60)=0,"",N('Décembre'!U60))</f>
        <v/>
      </c>
      <c r="O56" s="22">
        <f>IF(COUNT(C56:N56)=0,"",SUM(C56:N56))</f>
        <v/>
      </c>
      <c r="P56" s="22">
        <f>IF(COUNT(C56:N56)=0,"",ROUND(AVERAGE(C56:N56),1))</f>
        <v/>
      </c>
      <c r="Q56" s="11">
        <f>IF(COUNT(C56:N56)=0,"",MAX(C56:N56))</f>
        <v/>
      </c>
    </row>
    <row r="57">
      <c r="A57" s="33">
        <f>IF(Produits!$A$60="","",Produits!$A$60)</f>
        <v/>
      </c>
      <c r="B57" s="34">
        <f>IF(Produits!$A$60="","",Produits!$C$60)</f>
        <v/>
      </c>
      <c r="C57" s="11">
        <f>IF(N('Janvier'!U61)=0,"",N('Janvier'!U61))</f>
        <v/>
      </c>
      <c r="D57" s="11">
        <f>IF(N('Février'!U61)=0,"",N('Février'!U61))</f>
        <v/>
      </c>
      <c r="E57" s="11">
        <f>IF(N('Mars'!U61)=0,"",N('Mars'!U61))</f>
        <v/>
      </c>
      <c r="F57" s="11">
        <f>IF(N('Avril'!U61)=0,"",N('Avril'!U61))</f>
        <v/>
      </c>
      <c r="G57" s="11">
        <f>IF(N('Mai'!U61)=0,"",N('Mai'!U61))</f>
        <v/>
      </c>
      <c r="H57" s="11">
        <f>IF(N('Juin'!U61)=0,"",N('Juin'!U61))</f>
        <v/>
      </c>
      <c r="I57" s="11">
        <f>IF(N('Juillet'!U61)=0,"",N('Juillet'!U61))</f>
        <v/>
      </c>
      <c r="J57" s="11">
        <f>IF(N('Août'!U61)=0,"",N('Août'!U61))</f>
        <v/>
      </c>
      <c r="K57" s="11">
        <f>IF(N('Septembre'!U61)=0,"",N('Septembre'!U61))</f>
        <v/>
      </c>
      <c r="L57" s="11">
        <f>IF(N('Octobre'!U61)=0,"",N('Octobre'!U61))</f>
        <v/>
      </c>
      <c r="M57" s="11">
        <f>IF(N('Novembre'!U61)=0,"",N('Novembre'!U61))</f>
        <v/>
      </c>
      <c r="N57" s="11">
        <f>IF(N('Décembre'!U61)=0,"",N('Décembre'!U61))</f>
        <v/>
      </c>
      <c r="O57" s="22">
        <f>IF(COUNT(C57:N57)=0,"",SUM(C57:N57))</f>
        <v/>
      </c>
      <c r="P57" s="22">
        <f>IF(COUNT(C57:N57)=0,"",ROUND(AVERAGE(C57:N57),1))</f>
        <v/>
      </c>
      <c r="Q57" s="11">
        <f>IF(COUNT(C57:N57)=0,"",MAX(C57:N57))</f>
        <v/>
      </c>
    </row>
    <row r="58">
      <c r="A58" s="33">
        <f>IF(Produits!$A$61="","",Produits!$A$61)</f>
        <v/>
      </c>
      <c r="B58" s="34">
        <f>IF(Produits!$A$61="","",Produits!$C$61)</f>
        <v/>
      </c>
      <c r="C58" s="11">
        <f>IF(N('Janvier'!U62)=0,"",N('Janvier'!U62))</f>
        <v/>
      </c>
      <c r="D58" s="11">
        <f>IF(N('Février'!U62)=0,"",N('Février'!U62))</f>
        <v/>
      </c>
      <c r="E58" s="11">
        <f>IF(N('Mars'!U62)=0,"",N('Mars'!U62))</f>
        <v/>
      </c>
      <c r="F58" s="11">
        <f>IF(N('Avril'!U62)=0,"",N('Avril'!U62))</f>
        <v/>
      </c>
      <c r="G58" s="11">
        <f>IF(N('Mai'!U62)=0,"",N('Mai'!U62))</f>
        <v/>
      </c>
      <c r="H58" s="11">
        <f>IF(N('Juin'!U62)=0,"",N('Juin'!U62))</f>
        <v/>
      </c>
      <c r="I58" s="11">
        <f>IF(N('Juillet'!U62)=0,"",N('Juillet'!U62))</f>
        <v/>
      </c>
      <c r="J58" s="11">
        <f>IF(N('Août'!U62)=0,"",N('Août'!U62))</f>
        <v/>
      </c>
      <c r="K58" s="11">
        <f>IF(N('Septembre'!U62)=0,"",N('Septembre'!U62))</f>
        <v/>
      </c>
      <c r="L58" s="11">
        <f>IF(N('Octobre'!U62)=0,"",N('Octobre'!U62))</f>
        <v/>
      </c>
      <c r="M58" s="11">
        <f>IF(N('Novembre'!U62)=0,"",N('Novembre'!U62))</f>
        <v/>
      </c>
      <c r="N58" s="11">
        <f>IF(N('Décembre'!U62)=0,"",N('Décembre'!U62))</f>
        <v/>
      </c>
      <c r="O58" s="22">
        <f>IF(COUNT(C58:N58)=0,"",SUM(C58:N58))</f>
        <v/>
      </c>
      <c r="P58" s="22">
        <f>IF(COUNT(C58:N58)=0,"",ROUND(AVERAGE(C58:N58),1))</f>
        <v/>
      </c>
      <c r="Q58" s="11">
        <f>IF(COUNT(C58:N58)=0,"",MAX(C58:N58))</f>
        <v/>
      </c>
    </row>
    <row r="59">
      <c r="A59" s="33">
        <f>IF(Produits!$A$62="","",Produits!$A$62)</f>
        <v/>
      </c>
      <c r="B59" s="34">
        <f>IF(Produits!$A$62="","",Produits!$C$62)</f>
        <v/>
      </c>
      <c r="C59" s="11">
        <f>IF(N('Janvier'!U63)=0,"",N('Janvier'!U63))</f>
        <v/>
      </c>
      <c r="D59" s="11">
        <f>IF(N('Février'!U63)=0,"",N('Février'!U63))</f>
        <v/>
      </c>
      <c r="E59" s="11">
        <f>IF(N('Mars'!U63)=0,"",N('Mars'!U63))</f>
        <v/>
      </c>
      <c r="F59" s="11">
        <f>IF(N('Avril'!U63)=0,"",N('Avril'!U63))</f>
        <v/>
      </c>
      <c r="G59" s="11">
        <f>IF(N('Mai'!U63)=0,"",N('Mai'!U63))</f>
        <v/>
      </c>
      <c r="H59" s="11">
        <f>IF(N('Juin'!U63)=0,"",N('Juin'!U63))</f>
        <v/>
      </c>
      <c r="I59" s="11">
        <f>IF(N('Juillet'!U63)=0,"",N('Juillet'!U63))</f>
        <v/>
      </c>
      <c r="J59" s="11">
        <f>IF(N('Août'!U63)=0,"",N('Août'!U63))</f>
        <v/>
      </c>
      <c r="K59" s="11">
        <f>IF(N('Septembre'!U63)=0,"",N('Septembre'!U63))</f>
        <v/>
      </c>
      <c r="L59" s="11">
        <f>IF(N('Octobre'!U63)=0,"",N('Octobre'!U63))</f>
        <v/>
      </c>
      <c r="M59" s="11">
        <f>IF(N('Novembre'!U63)=0,"",N('Novembre'!U63))</f>
        <v/>
      </c>
      <c r="N59" s="11">
        <f>IF(N('Décembre'!U63)=0,"",N('Décembre'!U63))</f>
        <v/>
      </c>
      <c r="O59" s="22">
        <f>IF(COUNT(C59:N59)=0,"",SUM(C59:N59))</f>
        <v/>
      </c>
      <c r="P59" s="22">
        <f>IF(COUNT(C59:N59)=0,"",ROUND(AVERAGE(C59:N59),1))</f>
        <v/>
      </c>
      <c r="Q59" s="11">
        <f>IF(COUNT(C59:N59)=0,"",MAX(C59:N59))</f>
        <v/>
      </c>
    </row>
    <row r="60">
      <c r="A60" s="33">
        <f>IF(Produits!$A$63="","",Produits!$A$63)</f>
        <v/>
      </c>
      <c r="B60" s="34">
        <f>IF(Produits!$A$63="","",Produits!$C$63)</f>
        <v/>
      </c>
      <c r="C60" s="11">
        <f>IF(N('Janvier'!U64)=0,"",N('Janvier'!U64))</f>
        <v/>
      </c>
      <c r="D60" s="11">
        <f>IF(N('Février'!U64)=0,"",N('Février'!U64))</f>
        <v/>
      </c>
      <c r="E60" s="11">
        <f>IF(N('Mars'!U64)=0,"",N('Mars'!U64))</f>
        <v/>
      </c>
      <c r="F60" s="11">
        <f>IF(N('Avril'!U64)=0,"",N('Avril'!U64))</f>
        <v/>
      </c>
      <c r="G60" s="11">
        <f>IF(N('Mai'!U64)=0,"",N('Mai'!U64))</f>
        <v/>
      </c>
      <c r="H60" s="11">
        <f>IF(N('Juin'!U64)=0,"",N('Juin'!U64))</f>
        <v/>
      </c>
      <c r="I60" s="11">
        <f>IF(N('Juillet'!U64)=0,"",N('Juillet'!U64))</f>
        <v/>
      </c>
      <c r="J60" s="11">
        <f>IF(N('Août'!U64)=0,"",N('Août'!U64))</f>
        <v/>
      </c>
      <c r="K60" s="11">
        <f>IF(N('Septembre'!U64)=0,"",N('Septembre'!U64))</f>
        <v/>
      </c>
      <c r="L60" s="11">
        <f>IF(N('Octobre'!U64)=0,"",N('Octobre'!U64))</f>
        <v/>
      </c>
      <c r="M60" s="11">
        <f>IF(N('Novembre'!U64)=0,"",N('Novembre'!U64))</f>
        <v/>
      </c>
      <c r="N60" s="11">
        <f>IF(N('Décembre'!U64)=0,"",N('Décembre'!U64))</f>
        <v/>
      </c>
      <c r="O60" s="22">
        <f>IF(COUNT(C60:N60)=0,"",SUM(C60:N60))</f>
        <v/>
      </c>
      <c r="P60" s="22">
        <f>IF(COUNT(C60:N60)=0,"",ROUND(AVERAGE(C60:N60),1))</f>
        <v/>
      </c>
      <c r="Q60" s="11">
        <f>IF(COUNT(C60:N60)=0,"",MAX(C60:N60))</f>
        <v/>
      </c>
    </row>
    <row r="61">
      <c r="A61" s="33">
        <f>IF(Produits!$A$64="","",Produits!$A$64)</f>
        <v/>
      </c>
      <c r="B61" s="34">
        <f>IF(Produits!$A$64="","",Produits!$C$64)</f>
        <v/>
      </c>
      <c r="C61" s="11">
        <f>IF(N('Janvier'!U65)=0,"",N('Janvier'!U65))</f>
        <v/>
      </c>
      <c r="D61" s="11">
        <f>IF(N('Février'!U65)=0,"",N('Février'!U65))</f>
        <v/>
      </c>
      <c r="E61" s="11">
        <f>IF(N('Mars'!U65)=0,"",N('Mars'!U65))</f>
        <v/>
      </c>
      <c r="F61" s="11">
        <f>IF(N('Avril'!U65)=0,"",N('Avril'!U65))</f>
        <v/>
      </c>
      <c r="G61" s="11">
        <f>IF(N('Mai'!U65)=0,"",N('Mai'!U65))</f>
        <v/>
      </c>
      <c r="H61" s="11">
        <f>IF(N('Juin'!U65)=0,"",N('Juin'!U65))</f>
        <v/>
      </c>
      <c r="I61" s="11">
        <f>IF(N('Juillet'!U65)=0,"",N('Juillet'!U65))</f>
        <v/>
      </c>
      <c r="J61" s="11">
        <f>IF(N('Août'!U65)=0,"",N('Août'!U65))</f>
        <v/>
      </c>
      <c r="K61" s="11">
        <f>IF(N('Septembre'!U65)=0,"",N('Septembre'!U65))</f>
        <v/>
      </c>
      <c r="L61" s="11">
        <f>IF(N('Octobre'!U65)=0,"",N('Octobre'!U65))</f>
        <v/>
      </c>
      <c r="M61" s="11">
        <f>IF(N('Novembre'!U65)=0,"",N('Novembre'!U65))</f>
        <v/>
      </c>
      <c r="N61" s="11">
        <f>IF(N('Décembre'!U65)=0,"",N('Décembre'!U65))</f>
        <v/>
      </c>
      <c r="O61" s="22">
        <f>IF(COUNT(C61:N61)=0,"",SUM(C61:N61))</f>
        <v/>
      </c>
      <c r="P61" s="22">
        <f>IF(COUNT(C61:N61)=0,"",ROUND(AVERAGE(C61:N61),1))</f>
        <v/>
      </c>
      <c r="Q61" s="11">
        <f>IF(COUNT(C61:N61)=0,"",MAX(C61:N61))</f>
        <v/>
      </c>
    </row>
    <row r="62">
      <c r="A62" s="33">
        <f>IF(Produits!$A$65="","",Produits!$A$65)</f>
        <v/>
      </c>
      <c r="B62" s="34">
        <f>IF(Produits!$A$65="","",Produits!$C$65)</f>
        <v/>
      </c>
      <c r="C62" s="11">
        <f>IF(N('Janvier'!U66)=0,"",N('Janvier'!U66))</f>
        <v/>
      </c>
      <c r="D62" s="11">
        <f>IF(N('Février'!U66)=0,"",N('Février'!U66))</f>
        <v/>
      </c>
      <c r="E62" s="11">
        <f>IF(N('Mars'!U66)=0,"",N('Mars'!U66))</f>
        <v/>
      </c>
      <c r="F62" s="11">
        <f>IF(N('Avril'!U66)=0,"",N('Avril'!U66))</f>
        <v/>
      </c>
      <c r="G62" s="11">
        <f>IF(N('Mai'!U66)=0,"",N('Mai'!U66))</f>
        <v/>
      </c>
      <c r="H62" s="11">
        <f>IF(N('Juin'!U66)=0,"",N('Juin'!U66))</f>
        <v/>
      </c>
      <c r="I62" s="11">
        <f>IF(N('Juillet'!U66)=0,"",N('Juillet'!U66))</f>
        <v/>
      </c>
      <c r="J62" s="11">
        <f>IF(N('Août'!U66)=0,"",N('Août'!U66))</f>
        <v/>
      </c>
      <c r="K62" s="11">
        <f>IF(N('Septembre'!U66)=0,"",N('Septembre'!U66))</f>
        <v/>
      </c>
      <c r="L62" s="11">
        <f>IF(N('Octobre'!U66)=0,"",N('Octobre'!U66))</f>
        <v/>
      </c>
      <c r="M62" s="11">
        <f>IF(N('Novembre'!U66)=0,"",N('Novembre'!U66))</f>
        <v/>
      </c>
      <c r="N62" s="11">
        <f>IF(N('Décembre'!U66)=0,"",N('Décembre'!U66))</f>
        <v/>
      </c>
      <c r="O62" s="22">
        <f>IF(COUNT(C62:N62)=0,"",SUM(C62:N62))</f>
        <v/>
      </c>
      <c r="P62" s="22">
        <f>IF(COUNT(C62:N62)=0,"",ROUND(AVERAGE(C62:N62),1))</f>
        <v/>
      </c>
      <c r="Q62" s="11">
        <f>IF(COUNT(C62:N62)=0,"",MAX(C62:N62))</f>
        <v/>
      </c>
    </row>
    <row r="63">
      <c r="A63" s="33">
        <f>IF(Produits!$A$66="","",Produits!$A$66)</f>
        <v/>
      </c>
      <c r="B63" s="34">
        <f>IF(Produits!$A$66="","",Produits!$C$66)</f>
        <v/>
      </c>
      <c r="C63" s="11">
        <f>IF(N('Janvier'!U67)=0,"",N('Janvier'!U67))</f>
        <v/>
      </c>
      <c r="D63" s="11">
        <f>IF(N('Février'!U67)=0,"",N('Février'!U67))</f>
        <v/>
      </c>
      <c r="E63" s="11">
        <f>IF(N('Mars'!U67)=0,"",N('Mars'!U67))</f>
        <v/>
      </c>
      <c r="F63" s="11">
        <f>IF(N('Avril'!U67)=0,"",N('Avril'!U67))</f>
        <v/>
      </c>
      <c r="G63" s="11">
        <f>IF(N('Mai'!U67)=0,"",N('Mai'!U67))</f>
        <v/>
      </c>
      <c r="H63" s="11">
        <f>IF(N('Juin'!U67)=0,"",N('Juin'!U67))</f>
        <v/>
      </c>
      <c r="I63" s="11">
        <f>IF(N('Juillet'!U67)=0,"",N('Juillet'!U67))</f>
        <v/>
      </c>
      <c r="J63" s="11">
        <f>IF(N('Août'!U67)=0,"",N('Août'!U67))</f>
        <v/>
      </c>
      <c r="K63" s="11">
        <f>IF(N('Septembre'!U67)=0,"",N('Septembre'!U67))</f>
        <v/>
      </c>
      <c r="L63" s="11">
        <f>IF(N('Octobre'!U67)=0,"",N('Octobre'!U67))</f>
        <v/>
      </c>
      <c r="M63" s="11">
        <f>IF(N('Novembre'!U67)=0,"",N('Novembre'!U67))</f>
        <v/>
      </c>
      <c r="N63" s="11">
        <f>IF(N('Décembre'!U67)=0,"",N('Décembre'!U67))</f>
        <v/>
      </c>
      <c r="O63" s="22">
        <f>IF(COUNT(C63:N63)=0,"",SUM(C63:N63))</f>
        <v/>
      </c>
      <c r="P63" s="22">
        <f>IF(COUNT(C63:N63)=0,"",ROUND(AVERAGE(C63:N63),1))</f>
        <v/>
      </c>
      <c r="Q63" s="11">
        <f>IF(COUNT(C63:N63)=0,"",MAX(C63:N63))</f>
        <v/>
      </c>
    </row>
    <row r="64">
      <c r="A64" s="33">
        <f>IF(Produits!$A$67="","",Produits!$A$67)</f>
        <v/>
      </c>
      <c r="B64" s="34">
        <f>IF(Produits!$A$67="","",Produits!$C$67)</f>
        <v/>
      </c>
      <c r="C64" s="11">
        <f>IF(N('Janvier'!U68)=0,"",N('Janvier'!U68))</f>
        <v/>
      </c>
      <c r="D64" s="11">
        <f>IF(N('Février'!U68)=0,"",N('Février'!U68))</f>
        <v/>
      </c>
      <c r="E64" s="11">
        <f>IF(N('Mars'!U68)=0,"",N('Mars'!U68))</f>
        <v/>
      </c>
      <c r="F64" s="11">
        <f>IF(N('Avril'!U68)=0,"",N('Avril'!U68))</f>
        <v/>
      </c>
      <c r="G64" s="11">
        <f>IF(N('Mai'!U68)=0,"",N('Mai'!U68))</f>
        <v/>
      </c>
      <c r="H64" s="11">
        <f>IF(N('Juin'!U68)=0,"",N('Juin'!U68))</f>
        <v/>
      </c>
      <c r="I64" s="11">
        <f>IF(N('Juillet'!U68)=0,"",N('Juillet'!U68))</f>
        <v/>
      </c>
      <c r="J64" s="11">
        <f>IF(N('Août'!U68)=0,"",N('Août'!U68))</f>
        <v/>
      </c>
      <c r="K64" s="11">
        <f>IF(N('Septembre'!U68)=0,"",N('Septembre'!U68))</f>
        <v/>
      </c>
      <c r="L64" s="11">
        <f>IF(N('Octobre'!U68)=0,"",N('Octobre'!U68))</f>
        <v/>
      </c>
      <c r="M64" s="11">
        <f>IF(N('Novembre'!U68)=0,"",N('Novembre'!U68))</f>
        <v/>
      </c>
      <c r="N64" s="11">
        <f>IF(N('Décembre'!U68)=0,"",N('Décembre'!U68))</f>
        <v/>
      </c>
      <c r="O64" s="22">
        <f>IF(COUNT(C64:N64)=0,"",SUM(C64:N64))</f>
        <v/>
      </c>
      <c r="P64" s="22">
        <f>IF(COUNT(C64:N64)=0,"",ROUND(AVERAGE(C64:N64),1))</f>
        <v/>
      </c>
      <c r="Q64" s="11">
        <f>IF(COUNT(C64:N64)=0,"",MAX(C64:N64))</f>
        <v/>
      </c>
    </row>
    <row r="65">
      <c r="A65" s="33">
        <f>IF(Produits!$A$68="","",Produits!$A$68)</f>
        <v/>
      </c>
      <c r="B65" s="34">
        <f>IF(Produits!$A$68="","",Produits!$C$68)</f>
        <v/>
      </c>
      <c r="C65" s="11">
        <f>IF(N('Janvier'!U69)=0,"",N('Janvier'!U69))</f>
        <v/>
      </c>
      <c r="D65" s="11">
        <f>IF(N('Février'!U69)=0,"",N('Février'!U69))</f>
        <v/>
      </c>
      <c r="E65" s="11">
        <f>IF(N('Mars'!U69)=0,"",N('Mars'!U69))</f>
        <v/>
      </c>
      <c r="F65" s="11">
        <f>IF(N('Avril'!U69)=0,"",N('Avril'!U69))</f>
        <v/>
      </c>
      <c r="G65" s="11">
        <f>IF(N('Mai'!U69)=0,"",N('Mai'!U69))</f>
        <v/>
      </c>
      <c r="H65" s="11">
        <f>IF(N('Juin'!U69)=0,"",N('Juin'!U69))</f>
        <v/>
      </c>
      <c r="I65" s="11">
        <f>IF(N('Juillet'!U69)=0,"",N('Juillet'!U69))</f>
        <v/>
      </c>
      <c r="J65" s="11">
        <f>IF(N('Août'!U69)=0,"",N('Août'!U69))</f>
        <v/>
      </c>
      <c r="K65" s="11">
        <f>IF(N('Septembre'!U69)=0,"",N('Septembre'!U69))</f>
        <v/>
      </c>
      <c r="L65" s="11">
        <f>IF(N('Octobre'!U69)=0,"",N('Octobre'!U69))</f>
        <v/>
      </c>
      <c r="M65" s="11">
        <f>IF(N('Novembre'!U69)=0,"",N('Novembre'!U69))</f>
        <v/>
      </c>
      <c r="N65" s="11">
        <f>IF(N('Décembre'!U69)=0,"",N('Décembre'!U69))</f>
        <v/>
      </c>
      <c r="O65" s="22">
        <f>IF(COUNT(C65:N65)=0,"",SUM(C65:N65))</f>
        <v/>
      </c>
      <c r="P65" s="22">
        <f>IF(COUNT(C65:N65)=0,"",ROUND(AVERAGE(C65:N65),1))</f>
        <v/>
      </c>
      <c r="Q65" s="11">
        <f>IF(COUNT(C65:N65)=0,"",MAX(C65:N65))</f>
        <v/>
      </c>
    </row>
    <row r="68">
      <c r="A68" s="14" t="inlineStr">
        <is>
          <t>Dépenses par mois (€)</t>
        </is>
      </c>
    </row>
    <row r="69">
      <c r="A69" s="15" t="inlineStr">
        <is>
          <t>Produit</t>
        </is>
      </c>
      <c r="B69" s="15" t="inlineStr">
        <is>
          <t>Unité</t>
        </is>
      </c>
      <c r="C69" s="15" t="inlineStr">
        <is>
          <t>Janv.</t>
        </is>
      </c>
      <c r="D69" s="15" t="inlineStr">
        <is>
          <t>Févr.</t>
        </is>
      </c>
      <c r="E69" s="15" t="inlineStr">
        <is>
          <t>Mars</t>
        </is>
      </c>
      <c r="F69" s="15" t="inlineStr">
        <is>
          <t>Avr.</t>
        </is>
      </c>
      <c r="G69" s="15" t="inlineStr">
        <is>
          <t>Mai</t>
        </is>
      </c>
      <c r="H69" s="15" t="inlineStr">
        <is>
          <t>Juin</t>
        </is>
      </c>
      <c r="I69" s="15" t="inlineStr">
        <is>
          <t>Juil.</t>
        </is>
      </c>
      <c r="J69" s="15" t="inlineStr">
        <is>
          <t>Août</t>
        </is>
      </c>
      <c r="K69" s="15" t="inlineStr">
        <is>
          <t>Sept.</t>
        </is>
      </c>
      <c r="L69" s="15" t="inlineStr">
        <is>
          <t>Oct.</t>
        </is>
      </c>
      <c r="M69" s="15" t="inlineStr">
        <is>
          <t>Nov.</t>
        </is>
      </c>
      <c r="N69" s="15" t="inlineStr">
        <is>
          <t>Déc.</t>
        </is>
      </c>
      <c r="O69" s="15" t="inlineStr">
        <is>
          <t>Total</t>
        </is>
      </c>
    </row>
    <row r="70">
      <c r="A70" s="33">
        <f>IF(Produits!$A$6="","",Produits!$A$6)</f>
        <v/>
      </c>
      <c r="B70" s="34">
        <f>IF(Produits!$A$6="","",Produits!$C$6)</f>
        <v/>
      </c>
      <c r="C70" s="18">
        <f>IF(N('Janvier'!X7)=0,"",N('Janvier'!X7))</f>
        <v/>
      </c>
      <c r="D70" s="18">
        <f>IF(N('Février'!X7)=0,"",N('Février'!X7))</f>
        <v/>
      </c>
      <c r="E70" s="18">
        <f>IF(N('Mars'!X7)=0,"",N('Mars'!X7))</f>
        <v/>
      </c>
      <c r="F70" s="18">
        <f>IF(N('Avril'!X7)=0,"",N('Avril'!X7))</f>
        <v/>
      </c>
      <c r="G70" s="18">
        <f>IF(N('Mai'!X7)=0,"",N('Mai'!X7))</f>
        <v/>
      </c>
      <c r="H70" s="18">
        <f>IF(N('Juin'!X7)=0,"",N('Juin'!X7))</f>
        <v/>
      </c>
      <c r="I70" s="18">
        <f>IF(N('Juillet'!X7)=0,"",N('Juillet'!X7))</f>
        <v/>
      </c>
      <c r="J70" s="18">
        <f>IF(N('Août'!X7)=0,"",N('Août'!X7))</f>
        <v/>
      </c>
      <c r="K70" s="18">
        <f>IF(N('Septembre'!X7)=0,"",N('Septembre'!X7))</f>
        <v/>
      </c>
      <c r="L70" s="18">
        <f>IF(N('Octobre'!X7)=0,"",N('Octobre'!X7))</f>
        <v/>
      </c>
      <c r="M70" s="18">
        <f>IF(N('Novembre'!X7)=0,"",N('Novembre'!X7))</f>
        <v/>
      </c>
      <c r="N70" s="18">
        <f>IF(N('Décembre'!X7)=0,"",N('Décembre'!X7))</f>
        <v/>
      </c>
      <c r="O70" s="36">
        <f>IF(COUNT(C70:N70)=0,"",SUM(C70:N70))</f>
        <v/>
      </c>
    </row>
    <row r="71">
      <c r="A71" s="33">
        <f>IF(Produits!$A$7="","",Produits!$A$7)</f>
        <v/>
      </c>
      <c r="B71" s="34">
        <f>IF(Produits!$A$7="","",Produits!$C$7)</f>
        <v/>
      </c>
      <c r="C71" s="18">
        <f>IF(N('Janvier'!X8)=0,"",N('Janvier'!X8))</f>
        <v/>
      </c>
      <c r="D71" s="18">
        <f>IF(N('Février'!X8)=0,"",N('Février'!X8))</f>
        <v/>
      </c>
      <c r="E71" s="18">
        <f>IF(N('Mars'!X8)=0,"",N('Mars'!X8))</f>
        <v/>
      </c>
      <c r="F71" s="18">
        <f>IF(N('Avril'!X8)=0,"",N('Avril'!X8))</f>
        <v/>
      </c>
      <c r="G71" s="18">
        <f>IF(N('Mai'!X8)=0,"",N('Mai'!X8))</f>
        <v/>
      </c>
      <c r="H71" s="18">
        <f>IF(N('Juin'!X8)=0,"",N('Juin'!X8))</f>
        <v/>
      </c>
      <c r="I71" s="18">
        <f>IF(N('Juillet'!X8)=0,"",N('Juillet'!X8))</f>
        <v/>
      </c>
      <c r="J71" s="18">
        <f>IF(N('Août'!X8)=0,"",N('Août'!X8))</f>
        <v/>
      </c>
      <c r="K71" s="18">
        <f>IF(N('Septembre'!X8)=0,"",N('Septembre'!X8))</f>
        <v/>
      </c>
      <c r="L71" s="18">
        <f>IF(N('Octobre'!X8)=0,"",N('Octobre'!X8))</f>
        <v/>
      </c>
      <c r="M71" s="18">
        <f>IF(N('Novembre'!X8)=0,"",N('Novembre'!X8))</f>
        <v/>
      </c>
      <c r="N71" s="18">
        <f>IF(N('Décembre'!X8)=0,"",N('Décembre'!X8))</f>
        <v/>
      </c>
      <c r="O71" s="36">
        <f>IF(COUNT(C71:N71)=0,"",SUM(C71:N71))</f>
        <v/>
      </c>
    </row>
    <row r="72">
      <c r="A72" s="33">
        <f>IF(Produits!$A$8="","",Produits!$A$8)</f>
        <v/>
      </c>
      <c r="B72" s="34">
        <f>IF(Produits!$A$8="","",Produits!$C$8)</f>
        <v/>
      </c>
      <c r="C72" s="18">
        <f>IF(N('Janvier'!X9)=0,"",N('Janvier'!X9))</f>
        <v/>
      </c>
      <c r="D72" s="18">
        <f>IF(N('Février'!X9)=0,"",N('Février'!X9))</f>
        <v/>
      </c>
      <c r="E72" s="18">
        <f>IF(N('Mars'!X9)=0,"",N('Mars'!X9))</f>
        <v/>
      </c>
      <c r="F72" s="18">
        <f>IF(N('Avril'!X9)=0,"",N('Avril'!X9))</f>
        <v/>
      </c>
      <c r="G72" s="18">
        <f>IF(N('Mai'!X9)=0,"",N('Mai'!X9))</f>
        <v/>
      </c>
      <c r="H72" s="18">
        <f>IF(N('Juin'!X9)=0,"",N('Juin'!X9))</f>
        <v/>
      </c>
      <c r="I72" s="18">
        <f>IF(N('Juillet'!X9)=0,"",N('Juillet'!X9))</f>
        <v/>
      </c>
      <c r="J72" s="18">
        <f>IF(N('Août'!X9)=0,"",N('Août'!X9))</f>
        <v/>
      </c>
      <c r="K72" s="18">
        <f>IF(N('Septembre'!X9)=0,"",N('Septembre'!X9))</f>
        <v/>
      </c>
      <c r="L72" s="18">
        <f>IF(N('Octobre'!X9)=0,"",N('Octobre'!X9))</f>
        <v/>
      </c>
      <c r="M72" s="18">
        <f>IF(N('Novembre'!X9)=0,"",N('Novembre'!X9))</f>
        <v/>
      </c>
      <c r="N72" s="18">
        <f>IF(N('Décembre'!X9)=0,"",N('Décembre'!X9))</f>
        <v/>
      </c>
      <c r="O72" s="36">
        <f>IF(COUNT(C72:N72)=0,"",SUM(C72:N72))</f>
        <v/>
      </c>
    </row>
    <row r="73">
      <c r="A73" s="33">
        <f>IF(Produits!$A$9="","",Produits!$A$9)</f>
        <v/>
      </c>
      <c r="B73" s="34">
        <f>IF(Produits!$A$9="","",Produits!$C$9)</f>
        <v/>
      </c>
      <c r="C73" s="18">
        <f>IF(N('Janvier'!X10)=0,"",N('Janvier'!X10))</f>
        <v/>
      </c>
      <c r="D73" s="18">
        <f>IF(N('Février'!X10)=0,"",N('Février'!X10))</f>
        <v/>
      </c>
      <c r="E73" s="18">
        <f>IF(N('Mars'!X10)=0,"",N('Mars'!X10))</f>
        <v/>
      </c>
      <c r="F73" s="18">
        <f>IF(N('Avril'!X10)=0,"",N('Avril'!X10))</f>
        <v/>
      </c>
      <c r="G73" s="18">
        <f>IF(N('Mai'!X10)=0,"",N('Mai'!X10))</f>
        <v/>
      </c>
      <c r="H73" s="18">
        <f>IF(N('Juin'!X10)=0,"",N('Juin'!X10))</f>
        <v/>
      </c>
      <c r="I73" s="18">
        <f>IF(N('Juillet'!X10)=0,"",N('Juillet'!X10))</f>
        <v/>
      </c>
      <c r="J73" s="18">
        <f>IF(N('Août'!X10)=0,"",N('Août'!X10))</f>
        <v/>
      </c>
      <c r="K73" s="18">
        <f>IF(N('Septembre'!X10)=0,"",N('Septembre'!X10))</f>
        <v/>
      </c>
      <c r="L73" s="18">
        <f>IF(N('Octobre'!X10)=0,"",N('Octobre'!X10))</f>
        <v/>
      </c>
      <c r="M73" s="18">
        <f>IF(N('Novembre'!X10)=0,"",N('Novembre'!X10))</f>
        <v/>
      </c>
      <c r="N73" s="18">
        <f>IF(N('Décembre'!X10)=0,"",N('Décembre'!X10))</f>
        <v/>
      </c>
      <c r="O73" s="36">
        <f>IF(COUNT(C73:N73)=0,"",SUM(C73:N73))</f>
        <v/>
      </c>
    </row>
    <row r="74">
      <c r="A74" s="33">
        <f>IF(Produits!$A$10="","",Produits!$A$10)</f>
        <v/>
      </c>
      <c r="B74" s="34">
        <f>IF(Produits!$A$10="","",Produits!$C$10)</f>
        <v/>
      </c>
      <c r="C74" s="18">
        <f>IF(N('Janvier'!X11)=0,"",N('Janvier'!X11))</f>
        <v/>
      </c>
      <c r="D74" s="18">
        <f>IF(N('Février'!X11)=0,"",N('Février'!X11))</f>
        <v/>
      </c>
      <c r="E74" s="18">
        <f>IF(N('Mars'!X11)=0,"",N('Mars'!X11))</f>
        <v/>
      </c>
      <c r="F74" s="18">
        <f>IF(N('Avril'!X11)=0,"",N('Avril'!X11))</f>
        <v/>
      </c>
      <c r="G74" s="18">
        <f>IF(N('Mai'!X11)=0,"",N('Mai'!X11))</f>
        <v/>
      </c>
      <c r="H74" s="18">
        <f>IF(N('Juin'!X11)=0,"",N('Juin'!X11))</f>
        <v/>
      </c>
      <c r="I74" s="18">
        <f>IF(N('Juillet'!X11)=0,"",N('Juillet'!X11))</f>
        <v/>
      </c>
      <c r="J74" s="18">
        <f>IF(N('Août'!X11)=0,"",N('Août'!X11))</f>
        <v/>
      </c>
      <c r="K74" s="18">
        <f>IF(N('Septembre'!X11)=0,"",N('Septembre'!X11))</f>
        <v/>
      </c>
      <c r="L74" s="18">
        <f>IF(N('Octobre'!X11)=0,"",N('Octobre'!X11))</f>
        <v/>
      </c>
      <c r="M74" s="18">
        <f>IF(N('Novembre'!X11)=0,"",N('Novembre'!X11))</f>
        <v/>
      </c>
      <c r="N74" s="18">
        <f>IF(N('Décembre'!X11)=0,"",N('Décembre'!X11))</f>
        <v/>
      </c>
      <c r="O74" s="36">
        <f>IF(COUNT(C74:N74)=0,"",SUM(C74:N74))</f>
        <v/>
      </c>
    </row>
    <row r="75">
      <c r="A75" s="33">
        <f>IF(Produits!$A$11="","",Produits!$A$11)</f>
        <v/>
      </c>
      <c r="B75" s="34">
        <f>IF(Produits!$A$11="","",Produits!$C$11)</f>
        <v/>
      </c>
      <c r="C75" s="18">
        <f>IF(N('Janvier'!X12)=0,"",N('Janvier'!X12))</f>
        <v/>
      </c>
      <c r="D75" s="18">
        <f>IF(N('Février'!X12)=0,"",N('Février'!X12))</f>
        <v/>
      </c>
      <c r="E75" s="18">
        <f>IF(N('Mars'!X12)=0,"",N('Mars'!X12))</f>
        <v/>
      </c>
      <c r="F75" s="18">
        <f>IF(N('Avril'!X12)=0,"",N('Avril'!X12))</f>
        <v/>
      </c>
      <c r="G75" s="18">
        <f>IF(N('Mai'!X12)=0,"",N('Mai'!X12))</f>
        <v/>
      </c>
      <c r="H75" s="18">
        <f>IF(N('Juin'!X12)=0,"",N('Juin'!X12))</f>
        <v/>
      </c>
      <c r="I75" s="18">
        <f>IF(N('Juillet'!X12)=0,"",N('Juillet'!X12))</f>
        <v/>
      </c>
      <c r="J75" s="18">
        <f>IF(N('Août'!X12)=0,"",N('Août'!X12))</f>
        <v/>
      </c>
      <c r="K75" s="18">
        <f>IF(N('Septembre'!X12)=0,"",N('Septembre'!X12))</f>
        <v/>
      </c>
      <c r="L75" s="18">
        <f>IF(N('Octobre'!X12)=0,"",N('Octobre'!X12))</f>
        <v/>
      </c>
      <c r="M75" s="18">
        <f>IF(N('Novembre'!X12)=0,"",N('Novembre'!X12))</f>
        <v/>
      </c>
      <c r="N75" s="18">
        <f>IF(N('Décembre'!X12)=0,"",N('Décembre'!X12))</f>
        <v/>
      </c>
      <c r="O75" s="36">
        <f>IF(COUNT(C75:N75)=0,"",SUM(C75:N75))</f>
        <v/>
      </c>
    </row>
    <row r="76">
      <c r="A76" s="33">
        <f>IF(Produits!$A$12="","",Produits!$A$12)</f>
        <v/>
      </c>
      <c r="B76" s="34">
        <f>IF(Produits!$A$12="","",Produits!$C$12)</f>
        <v/>
      </c>
      <c r="C76" s="18">
        <f>IF(N('Janvier'!X13)=0,"",N('Janvier'!X13))</f>
        <v/>
      </c>
      <c r="D76" s="18">
        <f>IF(N('Février'!X13)=0,"",N('Février'!X13))</f>
        <v/>
      </c>
      <c r="E76" s="18">
        <f>IF(N('Mars'!X13)=0,"",N('Mars'!X13))</f>
        <v/>
      </c>
      <c r="F76" s="18">
        <f>IF(N('Avril'!X13)=0,"",N('Avril'!X13))</f>
        <v/>
      </c>
      <c r="G76" s="18">
        <f>IF(N('Mai'!X13)=0,"",N('Mai'!X13))</f>
        <v/>
      </c>
      <c r="H76" s="18">
        <f>IF(N('Juin'!X13)=0,"",N('Juin'!X13))</f>
        <v/>
      </c>
      <c r="I76" s="18">
        <f>IF(N('Juillet'!X13)=0,"",N('Juillet'!X13))</f>
        <v/>
      </c>
      <c r="J76" s="18">
        <f>IF(N('Août'!X13)=0,"",N('Août'!X13))</f>
        <v/>
      </c>
      <c r="K76" s="18">
        <f>IF(N('Septembre'!X13)=0,"",N('Septembre'!X13))</f>
        <v/>
      </c>
      <c r="L76" s="18">
        <f>IF(N('Octobre'!X13)=0,"",N('Octobre'!X13))</f>
        <v/>
      </c>
      <c r="M76" s="18">
        <f>IF(N('Novembre'!X13)=0,"",N('Novembre'!X13))</f>
        <v/>
      </c>
      <c r="N76" s="18">
        <f>IF(N('Décembre'!X13)=0,"",N('Décembre'!X13))</f>
        <v/>
      </c>
      <c r="O76" s="36">
        <f>IF(COUNT(C76:N76)=0,"",SUM(C76:N76))</f>
        <v/>
      </c>
    </row>
    <row r="77">
      <c r="A77" s="33">
        <f>IF(Produits!$A$13="","",Produits!$A$13)</f>
        <v/>
      </c>
      <c r="B77" s="34">
        <f>IF(Produits!$A$13="","",Produits!$C$13)</f>
        <v/>
      </c>
      <c r="C77" s="18">
        <f>IF(N('Janvier'!X14)=0,"",N('Janvier'!X14))</f>
        <v/>
      </c>
      <c r="D77" s="18">
        <f>IF(N('Février'!X14)=0,"",N('Février'!X14))</f>
        <v/>
      </c>
      <c r="E77" s="18">
        <f>IF(N('Mars'!X14)=0,"",N('Mars'!X14))</f>
        <v/>
      </c>
      <c r="F77" s="18">
        <f>IF(N('Avril'!X14)=0,"",N('Avril'!X14))</f>
        <v/>
      </c>
      <c r="G77" s="18">
        <f>IF(N('Mai'!X14)=0,"",N('Mai'!X14))</f>
        <v/>
      </c>
      <c r="H77" s="18">
        <f>IF(N('Juin'!X14)=0,"",N('Juin'!X14))</f>
        <v/>
      </c>
      <c r="I77" s="18">
        <f>IF(N('Juillet'!X14)=0,"",N('Juillet'!X14))</f>
        <v/>
      </c>
      <c r="J77" s="18">
        <f>IF(N('Août'!X14)=0,"",N('Août'!X14))</f>
        <v/>
      </c>
      <c r="K77" s="18">
        <f>IF(N('Septembre'!X14)=0,"",N('Septembre'!X14))</f>
        <v/>
      </c>
      <c r="L77" s="18">
        <f>IF(N('Octobre'!X14)=0,"",N('Octobre'!X14))</f>
        <v/>
      </c>
      <c r="M77" s="18">
        <f>IF(N('Novembre'!X14)=0,"",N('Novembre'!X14))</f>
        <v/>
      </c>
      <c r="N77" s="18">
        <f>IF(N('Décembre'!X14)=0,"",N('Décembre'!X14))</f>
        <v/>
      </c>
      <c r="O77" s="36">
        <f>IF(COUNT(C77:N77)=0,"",SUM(C77:N77))</f>
        <v/>
      </c>
    </row>
    <row r="78">
      <c r="A78" s="33">
        <f>IF(Produits!$A$14="","",Produits!$A$14)</f>
        <v/>
      </c>
      <c r="B78" s="34">
        <f>IF(Produits!$A$14="","",Produits!$C$14)</f>
        <v/>
      </c>
      <c r="C78" s="18">
        <f>IF(N('Janvier'!X15)=0,"",N('Janvier'!X15))</f>
        <v/>
      </c>
      <c r="D78" s="18">
        <f>IF(N('Février'!X15)=0,"",N('Février'!X15))</f>
        <v/>
      </c>
      <c r="E78" s="18">
        <f>IF(N('Mars'!X15)=0,"",N('Mars'!X15))</f>
        <v/>
      </c>
      <c r="F78" s="18">
        <f>IF(N('Avril'!X15)=0,"",N('Avril'!X15))</f>
        <v/>
      </c>
      <c r="G78" s="18">
        <f>IF(N('Mai'!X15)=0,"",N('Mai'!X15))</f>
        <v/>
      </c>
      <c r="H78" s="18">
        <f>IF(N('Juin'!X15)=0,"",N('Juin'!X15))</f>
        <v/>
      </c>
      <c r="I78" s="18">
        <f>IF(N('Juillet'!X15)=0,"",N('Juillet'!X15))</f>
        <v/>
      </c>
      <c r="J78" s="18">
        <f>IF(N('Août'!X15)=0,"",N('Août'!X15))</f>
        <v/>
      </c>
      <c r="K78" s="18">
        <f>IF(N('Septembre'!X15)=0,"",N('Septembre'!X15))</f>
        <v/>
      </c>
      <c r="L78" s="18">
        <f>IF(N('Octobre'!X15)=0,"",N('Octobre'!X15))</f>
        <v/>
      </c>
      <c r="M78" s="18">
        <f>IF(N('Novembre'!X15)=0,"",N('Novembre'!X15))</f>
        <v/>
      </c>
      <c r="N78" s="18">
        <f>IF(N('Décembre'!X15)=0,"",N('Décembre'!X15))</f>
        <v/>
      </c>
      <c r="O78" s="36">
        <f>IF(COUNT(C78:N78)=0,"",SUM(C78:N78))</f>
        <v/>
      </c>
    </row>
    <row r="79">
      <c r="A79" s="33">
        <f>IF(Produits!$A$15="","",Produits!$A$15)</f>
        <v/>
      </c>
      <c r="B79" s="34">
        <f>IF(Produits!$A$15="","",Produits!$C$15)</f>
        <v/>
      </c>
      <c r="C79" s="18">
        <f>IF(N('Janvier'!X16)=0,"",N('Janvier'!X16))</f>
        <v/>
      </c>
      <c r="D79" s="18">
        <f>IF(N('Février'!X16)=0,"",N('Février'!X16))</f>
        <v/>
      </c>
      <c r="E79" s="18">
        <f>IF(N('Mars'!X16)=0,"",N('Mars'!X16))</f>
        <v/>
      </c>
      <c r="F79" s="18">
        <f>IF(N('Avril'!X16)=0,"",N('Avril'!X16))</f>
        <v/>
      </c>
      <c r="G79" s="18">
        <f>IF(N('Mai'!X16)=0,"",N('Mai'!X16))</f>
        <v/>
      </c>
      <c r="H79" s="18">
        <f>IF(N('Juin'!X16)=0,"",N('Juin'!X16))</f>
        <v/>
      </c>
      <c r="I79" s="18">
        <f>IF(N('Juillet'!X16)=0,"",N('Juillet'!X16))</f>
        <v/>
      </c>
      <c r="J79" s="18">
        <f>IF(N('Août'!X16)=0,"",N('Août'!X16))</f>
        <v/>
      </c>
      <c r="K79" s="18">
        <f>IF(N('Septembre'!X16)=0,"",N('Septembre'!X16))</f>
        <v/>
      </c>
      <c r="L79" s="18">
        <f>IF(N('Octobre'!X16)=0,"",N('Octobre'!X16))</f>
        <v/>
      </c>
      <c r="M79" s="18">
        <f>IF(N('Novembre'!X16)=0,"",N('Novembre'!X16))</f>
        <v/>
      </c>
      <c r="N79" s="18">
        <f>IF(N('Décembre'!X16)=0,"",N('Décembre'!X16))</f>
        <v/>
      </c>
      <c r="O79" s="36">
        <f>IF(COUNT(C79:N79)=0,"",SUM(C79:N79))</f>
        <v/>
      </c>
    </row>
    <row r="80">
      <c r="A80" s="33">
        <f>IF(Produits!$A$16="","",Produits!$A$16)</f>
        <v/>
      </c>
      <c r="B80" s="34">
        <f>IF(Produits!$A$16="","",Produits!$C$16)</f>
        <v/>
      </c>
      <c r="C80" s="18">
        <f>IF(N('Janvier'!X17)=0,"",N('Janvier'!X17))</f>
        <v/>
      </c>
      <c r="D80" s="18">
        <f>IF(N('Février'!X17)=0,"",N('Février'!X17))</f>
        <v/>
      </c>
      <c r="E80" s="18">
        <f>IF(N('Mars'!X17)=0,"",N('Mars'!X17))</f>
        <v/>
      </c>
      <c r="F80" s="18">
        <f>IF(N('Avril'!X17)=0,"",N('Avril'!X17))</f>
        <v/>
      </c>
      <c r="G80" s="18">
        <f>IF(N('Mai'!X17)=0,"",N('Mai'!X17))</f>
        <v/>
      </c>
      <c r="H80" s="18">
        <f>IF(N('Juin'!X17)=0,"",N('Juin'!X17))</f>
        <v/>
      </c>
      <c r="I80" s="18">
        <f>IF(N('Juillet'!X17)=0,"",N('Juillet'!X17))</f>
        <v/>
      </c>
      <c r="J80" s="18">
        <f>IF(N('Août'!X17)=0,"",N('Août'!X17))</f>
        <v/>
      </c>
      <c r="K80" s="18">
        <f>IF(N('Septembre'!X17)=0,"",N('Septembre'!X17))</f>
        <v/>
      </c>
      <c r="L80" s="18">
        <f>IF(N('Octobre'!X17)=0,"",N('Octobre'!X17))</f>
        <v/>
      </c>
      <c r="M80" s="18">
        <f>IF(N('Novembre'!X17)=0,"",N('Novembre'!X17))</f>
        <v/>
      </c>
      <c r="N80" s="18">
        <f>IF(N('Décembre'!X17)=0,"",N('Décembre'!X17))</f>
        <v/>
      </c>
      <c r="O80" s="36">
        <f>IF(COUNT(C80:N80)=0,"",SUM(C80:N80))</f>
        <v/>
      </c>
    </row>
    <row r="81">
      <c r="A81" s="33">
        <f>IF(Produits!$A$17="","",Produits!$A$17)</f>
        <v/>
      </c>
      <c r="B81" s="34">
        <f>IF(Produits!$A$17="","",Produits!$C$17)</f>
        <v/>
      </c>
      <c r="C81" s="18">
        <f>IF(N('Janvier'!X18)=0,"",N('Janvier'!X18))</f>
        <v/>
      </c>
      <c r="D81" s="18">
        <f>IF(N('Février'!X18)=0,"",N('Février'!X18))</f>
        <v/>
      </c>
      <c r="E81" s="18">
        <f>IF(N('Mars'!X18)=0,"",N('Mars'!X18))</f>
        <v/>
      </c>
      <c r="F81" s="18">
        <f>IF(N('Avril'!X18)=0,"",N('Avril'!X18))</f>
        <v/>
      </c>
      <c r="G81" s="18">
        <f>IF(N('Mai'!X18)=0,"",N('Mai'!X18))</f>
        <v/>
      </c>
      <c r="H81" s="18">
        <f>IF(N('Juin'!X18)=0,"",N('Juin'!X18))</f>
        <v/>
      </c>
      <c r="I81" s="18">
        <f>IF(N('Juillet'!X18)=0,"",N('Juillet'!X18))</f>
        <v/>
      </c>
      <c r="J81" s="18">
        <f>IF(N('Août'!X18)=0,"",N('Août'!X18))</f>
        <v/>
      </c>
      <c r="K81" s="18">
        <f>IF(N('Septembre'!X18)=0,"",N('Septembre'!X18))</f>
        <v/>
      </c>
      <c r="L81" s="18">
        <f>IF(N('Octobre'!X18)=0,"",N('Octobre'!X18))</f>
        <v/>
      </c>
      <c r="M81" s="18">
        <f>IF(N('Novembre'!X18)=0,"",N('Novembre'!X18))</f>
        <v/>
      </c>
      <c r="N81" s="18">
        <f>IF(N('Décembre'!X18)=0,"",N('Décembre'!X18))</f>
        <v/>
      </c>
      <c r="O81" s="36">
        <f>IF(COUNT(C81:N81)=0,"",SUM(C81:N81))</f>
        <v/>
      </c>
    </row>
    <row r="82">
      <c r="A82" s="33">
        <f>IF(Produits!$A$18="","",Produits!$A$18)</f>
        <v/>
      </c>
      <c r="B82" s="34">
        <f>IF(Produits!$A$18="","",Produits!$C$18)</f>
        <v/>
      </c>
      <c r="C82" s="18">
        <f>IF(N('Janvier'!X19)=0,"",N('Janvier'!X19))</f>
        <v/>
      </c>
      <c r="D82" s="18">
        <f>IF(N('Février'!X19)=0,"",N('Février'!X19))</f>
        <v/>
      </c>
      <c r="E82" s="18">
        <f>IF(N('Mars'!X19)=0,"",N('Mars'!X19))</f>
        <v/>
      </c>
      <c r="F82" s="18">
        <f>IF(N('Avril'!X19)=0,"",N('Avril'!X19))</f>
        <v/>
      </c>
      <c r="G82" s="18">
        <f>IF(N('Mai'!X19)=0,"",N('Mai'!X19))</f>
        <v/>
      </c>
      <c r="H82" s="18">
        <f>IF(N('Juin'!X19)=0,"",N('Juin'!X19))</f>
        <v/>
      </c>
      <c r="I82" s="18">
        <f>IF(N('Juillet'!X19)=0,"",N('Juillet'!X19))</f>
        <v/>
      </c>
      <c r="J82" s="18">
        <f>IF(N('Août'!X19)=0,"",N('Août'!X19))</f>
        <v/>
      </c>
      <c r="K82" s="18">
        <f>IF(N('Septembre'!X19)=0,"",N('Septembre'!X19))</f>
        <v/>
      </c>
      <c r="L82" s="18">
        <f>IF(N('Octobre'!X19)=0,"",N('Octobre'!X19))</f>
        <v/>
      </c>
      <c r="M82" s="18">
        <f>IF(N('Novembre'!X19)=0,"",N('Novembre'!X19))</f>
        <v/>
      </c>
      <c r="N82" s="18">
        <f>IF(N('Décembre'!X19)=0,"",N('Décembre'!X19))</f>
        <v/>
      </c>
      <c r="O82" s="36">
        <f>IF(COUNT(C82:N82)=0,"",SUM(C82:N82))</f>
        <v/>
      </c>
    </row>
    <row r="83">
      <c r="A83" s="33">
        <f>IF(Produits!$A$19="","",Produits!$A$19)</f>
        <v/>
      </c>
      <c r="B83" s="34">
        <f>IF(Produits!$A$19="","",Produits!$C$19)</f>
        <v/>
      </c>
      <c r="C83" s="18">
        <f>IF(N('Janvier'!X20)=0,"",N('Janvier'!X20))</f>
        <v/>
      </c>
      <c r="D83" s="18">
        <f>IF(N('Février'!X20)=0,"",N('Février'!X20))</f>
        <v/>
      </c>
      <c r="E83" s="18">
        <f>IF(N('Mars'!X20)=0,"",N('Mars'!X20))</f>
        <v/>
      </c>
      <c r="F83" s="18">
        <f>IF(N('Avril'!X20)=0,"",N('Avril'!X20))</f>
        <v/>
      </c>
      <c r="G83" s="18">
        <f>IF(N('Mai'!X20)=0,"",N('Mai'!X20))</f>
        <v/>
      </c>
      <c r="H83" s="18">
        <f>IF(N('Juin'!X20)=0,"",N('Juin'!X20))</f>
        <v/>
      </c>
      <c r="I83" s="18">
        <f>IF(N('Juillet'!X20)=0,"",N('Juillet'!X20))</f>
        <v/>
      </c>
      <c r="J83" s="18">
        <f>IF(N('Août'!X20)=0,"",N('Août'!X20))</f>
        <v/>
      </c>
      <c r="K83" s="18">
        <f>IF(N('Septembre'!X20)=0,"",N('Septembre'!X20))</f>
        <v/>
      </c>
      <c r="L83" s="18">
        <f>IF(N('Octobre'!X20)=0,"",N('Octobre'!X20))</f>
        <v/>
      </c>
      <c r="M83" s="18">
        <f>IF(N('Novembre'!X20)=0,"",N('Novembre'!X20))</f>
        <v/>
      </c>
      <c r="N83" s="18">
        <f>IF(N('Décembre'!X20)=0,"",N('Décembre'!X20))</f>
        <v/>
      </c>
      <c r="O83" s="36">
        <f>IF(COUNT(C83:N83)=0,"",SUM(C83:N83))</f>
        <v/>
      </c>
    </row>
    <row r="84">
      <c r="A84" s="33">
        <f>IF(Produits!$A$20="","",Produits!$A$20)</f>
        <v/>
      </c>
      <c r="B84" s="34">
        <f>IF(Produits!$A$20="","",Produits!$C$20)</f>
        <v/>
      </c>
      <c r="C84" s="18">
        <f>IF(N('Janvier'!X21)=0,"",N('Janvier'!X21))</f>
        <v/>
      </c>
      <c r="D84" s="18">
        <f>IF(N('Février'!X21)=0,"",N('Février'!X21))</f>
        <v/>
      </c>
      <c r="E84" s="18">
        <f>IF(N('Mars'!X21)=0,"",N('Mars'!X21))</f>
        <v/>
      </c>
      <c r="F84" s="18">
        <f>IF(N('Avril'!X21)=0,"",N('Avril'!X21))</f>
        <v/>
      </c>
      <c r="G84" s="18">
        <f>IF(N('Mai'!X21)=0,"",N('Mai'!X21))</f>
        <v/>
      </c>
      <c r="H84" s="18">
        <f>IF(N('Juin'!X21)=0,"",N('Juin'!X21))</f>
        <v/>
      </c>
      <c r="I84" s="18">
        <f>IF(N('Juillet'!X21)=0,"",N('Juillet'!X21))</f>
        <v/>
      </c>
      <c r="J84" s="18">
        <f>IF(N('Août'!X21)=0,"",N('Août'!X21))</f>
        <v/>
      </c>
      <c r="K84" s="18">
        <f>IF(N('Septembre'!X21)=0,"",N('Septembre'!X21))</f>
        <v/>
      </c>
      <c r="L84" s="18">
        <f>IF(N('Octobre'!X21)=0,"",N('Octobre'!X21))</f>
        <v/>
      </c>
      <c r="M84" s="18">
        <f>IF(N('Novembre'!X21)=0,"",N('Novembre'!X21))</f>
        <v/>
      </c>
      <c r="N84" s="18">
        <f>IF(N('Décembre'!X21)=0,"",N('Décembre'!X21))</f>
        <v/>
      </c>
      <c r="O84" s="36">
        <f>IF(COUNT(C84:N84)=0,"",SUM(C84:N84))</f>
        <v/>
      </c>
    </row>
    <row r="85">
      <c r="A85" s="33">
        <f>IF(Produits!$A$22="","",Produits!$A$22)</f>
        <v/>
      </c>
      <c r="B85" s="34">
        <f>IF(Produits!$A$22="","",Produits!$C$22)</f>
        <v/>
      </c>
      <c r="C85" s="18">
        <f>IF(N('Janvier'!X23)=0,"",N('Janvier'!X23))</f>
        <v/>
      </c>
      <c r="D85" s="18">
        <f>IF(N('Février'!X23)=0,"",N('Février'!X23))</f>
        <v/>
      </c>
      <c r="E85" s="18">
        <f>IF(N('Mars'!X23)=0,"",N('Mars'!X23))</f>
        <v/>
      </c>
      <c r="F85" s="18">
        <f>IF(N('Avril'!X23)=0,"",N('Avril'!X23))</f>
        <v/>
      </c>
      <c r="G85" s="18">
        <f>IF(N('Mai'!X23)=0,"",N('Mai'!X23))</f>
        <v/>
      </c>
      <c r="H85" s="18">
        <f>IF(N('Juin'!X23)=0,"",N('Juin'!X23))</f>
        <v/>
      </c>
      <c r="I85" s="18">
        <f>IF(N('Juillet'!X23)=0,"",N('Juillet'!X23))</f>
        <v/>
      </c>
      <c r="J85" s="18">
        <f>IF(N('Août'!X23)=0,"",N('Août'!X23))</f>
        <v/>
      </c>
      <c r="K85" s="18">
        <f>IF(N('Septembre'!X23)=0,"",N('Septembre'!X23))</f>
        <v/>
      </c>
      <c r="L85" s="18">
        <f>IF(N('Octobre'!X23)=0,"",N('Octobre'!X23))</f>
        <v/>
      </c>
      <c r="M85" s="18">
        <f>IF(N('Novembre'!X23)=0,"",N('Novembre'!X23))</f>
        <v/>
      </c>
      <c r="N85" s="18">
        <f>IF(N('Décembre'!X23)=0,"",N('Décembre'!X23))</f>
        <v/>
      </c>
      <c r="O85" s="36">
        <f>IF(COUNT(C85:N85)=0,"",SUM(C85:N85))</f>
        <v/>
      </c>
    </row>
    <row r="86">
      <c r="A86" s="33">
        <f>IF(Produits!$A$23="","",Produits!$A$23)</f>
        <v/>
      </c>
      <c r="B86" s="34">
        <f>IF(Produits!$A$23="","",Produits!$C$23)</f>
        <v/>
      </c>
      <c r="C86" s="18">
        <f>IF(N('Janvier'!X24)=0,"",N('Janvier'!X24))</f>
        <v/>
      </c>
      <c r="D86" s="18">
        <f>IF(N('Février'!X24)=0,"",N('Février'!X24))</f>
        <v/>
      </c>
      <c r="E86" s="18">
        <f>IF(N('Mars'!X24)=0,"",N('Mars'!X24))</f>
        <v/>
      </c>
      <c r="F86" s="18">
        <f>IF(N('Avril'!X24)=0,"",N('Avril'!X24))</f>
        <v/>
      </c>
      <c r="G86" s="18">
        <f>IF(N('Mai'!X24)=0,"",N('Mai'!X24))</f>
        <v/>
      </c>
      <c r="H86" s="18">
        <f>IF(N('Juin'!X24)=0,"",N('Juin'!X24))</f>
        <v/>
      </c>
      <c r="I86" s="18">
        <f>IF(N('Juillet'!X24)=0,"",N('Juillet'!X24))</f>
        <v/>
      </c>
      <c r="J86" s="18">
        <f>IF(N('Août'!X24)=0,"",N('Août'!X24))</f>
        <v/>
      </c>
      <c r="K86" s="18">
        <f>IF(N('Septembre'!X24)=0,"",N('Septembre'!X24))</f>
        <v/>
      </c>
      <c r="L86" s="18">
        <f>IF(N('Octobre'!X24)=0,"",N('Octobre'!X24))</f>
        <v/>
      </c>
      <c r="M86" s="18">
        <f>IF(N('Novembre'!X24)=0,"",N('Novembre'!X24))</f>
        <v/>
      </c>
      <c r="N86" s="18">
        <f>IF(N('Décembre'!X24)=0,"",N('Décembre'!X24))</f>
        <v/>
      </c>
      <c r="O86" s="36">
        <f>IF(COUNT(C86:N86)=0,"",SUM(C86:N86))</f>
        <v/>
      </c>
    </row>
    <row r="87">
      <c r="A87" s="33">
        <f>IF(Produits!$A$24="","",Produits!$A$24)</f>
        <v/>
      </c>
      <c r="B87" s="34">
        <f>IF(Produits!$A$24="","",Produits!$C$24)</f>
        <v/>
      </c>
      <c r="C87" s="18">
        <f>IF(N('Janvier'!X25)=0,"",N('Janvier'!X25))</f>
        <v/>
      </c>
      <c r="D87" s="18">
        <f>IF(N('Février'!X25)=0,"",N('Février'!X25))</f>
        <v/>
      </c>
      <c r="E87" s="18">
        <f>IF(N('Mars'!X25)=0,"",N('Mars'!X25))</f>
        <v/>
      </c>
      <c r="F87" s="18">
        <f>IF(N('Avril'!X25)=0,"",N('Avril'!X25))</f>
        <v/>
      </c>
      <c r="G87" s="18">
        <f>IF(N('Mai'!X25)=0,"",N('Mai'!X25))</f>
        <v/>
      </c>
      <c r="H87" s="18">
        <f>IF(N('Juin'!X25)=0,"",N('Juin'!X25))</f>
        <v/>
      </c>
      <c r="I87" s="18">
        <f>IF(N('Juillet'!X25)=0,"",N('Juillet'!X25))</f>
        <v/>
      </c>
      <c r="J87" s="18">
        <f>IF(N('Août'!X25)=0,"",N('Août'!X25))</f>
        <v/>
      </c>
      <c r="K87" s="18">
        <f>IF(N('Septembre'!X25)=0,"",N('Septembre'!X25))</f>
        <v/>
      </c>
      <c r="L87" s="18">
        <f>IF(N('Octobre'!X25)=0,"",N('Octobre'!X25))</f>
        <v/>
      </c>
      <c r="M87" s="18">
        <f>IF(N('Novembre'!X25)=0,"",N('Novembre'!X25))</f>
        <v/>
      </c>
      <c r="N87" s="18">
        <f>IF(N('Décembre'!X25)=0,"",N('Décembre'!X25))</f>
        <v/>
      </c>
      <c r="O87" s="36">
        <f>IF(COUNT(C87:N87)=0,"",SUM(C87:N87))</f>
        <v/>
      </c>
    </row>
    <row r="88">
      <c r="A88" s="33">
        <f>IF(Produits!$A$25="","",Produits!$A$25)</f>
        <v/>
      </c>
      <c r="B88" s="34">
        <f>IF(Produits!$A$25="","",Produits!$C$25)</f>
        <v/>
      </c>
      <c r="C88" s="18">
        <f>IF(N('Janvier'!X26)=0,"",N('Janvier'!X26))</f>
        <v/>
      </c>
      <c r="D88" s="18">
        <f>IF(N('Février'!X26)=0,"",N('Février'!X26))</f>
        <v/>
      </c>
      <c r="E88" s="18">
        <f>IF(N('Mars'!X26)=0,"",N('Mars'!X26))</f>
        <v/>
      </c>
      <c r="F88" s="18">
        <f>IF(N('Avril'!X26)=0,"",N('Avril'!X26))</f>
        <v/>
      </c>
      <c r="G88" s="18">
        <f>IF(N('Mai'!X26)=0,"",N('Mai'!X26))</f>
        <v/>
      </c>
      <c r="H88" s="18">
        <f>IF(N('Juin'!X26)=0,"",N('Juin'!X26))</f>
        <v/>
      </c>
      <c r="I88" s="18">
        <f>IF(N('Juillet'!X26)=0,"",N('Juillet'!X26))</f>
        <v/>
      </c>
      <c r="J88" s="18">
        <f>IF(N('Août'!X26)=0,"",N('Août'!X26))</f>
        <v/>
      </c>
      <c r="K88" s="18">
        <f>IF(N('Septembre'!X26)=0,"",N('Septembre'!X26))</f>
        <v/>
      </c>
      <c r="L88" s="18">
        <f>IF(N('Octobre'!X26)=0,"",N('Octobre'!X26))</f>
        <v/>
      </c>
      <c r="M88" s="18">
        <f>IF(N('Novembre'!X26)=0,"",N('Novembre'!X26))</f>
        <v/>
      </c>
      <c r="N88" s="18">
        <f>IF(N('Décembre'!X26)=0,"",N('Décembre'!X26))</f>
        <v/>
      </c>
      <c r="O88" s="36">
        <f>IF(COUNT(C88:N88)=0,"",SUM(C88:N88))</f>
        <v/>
      </c>
    </row>
    <row r="89">
      <c r="A89" s="33">
        <f>IF(Produits!$A$26="","",Produits!$A$26)</f>
        <v/>
      </c>
      <c r="B89" s="34">
        <f>IF(Produits!$A$26="","",Produits!$C$26)</f>
        <v/>
      </c>
      <c r="C89" s="18">
        <f>IF(N('Janvier'!X27)=0,"",N('Janvier'!X27))</f>
        <v/>
      </c>
      <c r="D89" s="18">
        <f>IF(N('Février'!X27)=0,"",N('Février'!X27))</f>
        <v/>
      </c>
      <c r="E89" s="18">
        <f>IF(N('Mars'!X27)=0,"",N('Mars'!X27))</f>
        <v/>
      </c>
      <c r="F89" s="18">
        <f>IF(N('Avril'!X27)=0,"",N('Avril'!X27))</f>
        <v/>
      </c>
      <c r="G89" s="18">
        <f>IF(N('Mai'!X27)=0,"",N('Mai'!X27))</f>
        <v/>
      </c>
      <c r="H89" s="18">
        <f>IF(N('Juin'!X27)=0,"",N('Juin'!X27))</f>
        <v/>
      </c>
      <c r="I89" s="18">
        <f>IF(N('Juillet'!X27)=0,"",N('Juillet'!X27))</f>
        <v/>
      </c>
      <c r="J89" s="18">
        <f>IF(N('Août'!X27)=0,"",N('Août'!X27))</f>
        <v/>
      </c>
      <c r="K89" s="18">
        <f>IF(N('Septembre'!X27)=0,"",N('Septembre'!X27))</f>
        <v/>
      </c>
      <c r="L89" s="18">
        <f>IF(N('Octobre'!X27)=0,"",N('Octobre'!X27))</f>
        <v/>
      </c>
      <c r="M89" s="18">
        <f>IF(N('Novembre'!X27)=0,"",N('Novembre'!X27))</f>
        <v/>
      </c>
      <c r="N89" s="18">
        <f>IF(N('Décembre'!X27)=0,"",N('Décembre'!X27))</f>
        <v/>
      </c>
      <c r="O89" s="36">
        <f>IF(COUNT(C89:N89)=0,"",SUM(C89:N89))</f>
        <v/>
      </c>
    </row>
    <row r="90">
      <c r="A90" s="33">
        <f>IF(Produits!$A$27="","",Produits!$A$27)</f>
        <v/>
      </c>
      <c r="B90" s="34">
        <f>IF(Produits!$A$27="","",Produits!$C$27)</f>
        <v/>
      </c>
      <c r="C90" s="18">
        <f>IF(N('Janvier'!X28)=0,"",N('Janvier'!X28))</f>
        <v/>
      </c>
      <c r="D90" s="18">
        <f>IF(N('Février'!X28)=0,"",N('Février'!X28))</f>
        <v/>
      </c>
      <c r="E90" s="18">
        <f>IF(N('Mars'!X28)=0,"",N('Mars'!X28))</f>
        <v/>
      </c>
      <c r="F90" s="18">
        <f>IF(N('Avril'!X28)=0,"",N('Avril'!X28))</f>
        <v/>
      </c>
      <c r="G90" s="18">
        <f>IF(N('Mai'!X28)=0,"",N('Mai'!X28))</f>
        <v/>
      </c>
      <c r="H90" s="18">
        <f>IF(N('Juin'!X28)=0,"",N('Juin'!X28))</f>
        <v/>
      </c>
      <c r="I90" s="18">
        <f>IF(N('Juillet'!X28)=0,"",N('Juillet'!X28))</f>
        <v/>
      </c>
      <c r="J90" s="18">
        <f>IF(N('Août'!X28)=0,"",N('Août'!X28))</f>
        <v/>
      </c>
      <c r="K90" s="18">
        <f>IF(N('Septembre'!X28)=0,"",N('Septembre'!X28))</f>
        <v/>
      </c>
      <c r="L90" s="18">
        <f>IF(N('Octobre'!X28)=0,"",N('Octobre'!X28))</f>
        <v/>
      </c>
      <c r="M90" s="18">
        <f>IF(N('Novembre'!X28)=0,"",N('Novembre'!X28))</f>
        <v/>
      </c>
      <c r="N90" s="18">
        <f>IF(N('Décembre'!X28)=0,"",N('Décembre'!X28))</f>
        <v/>
      </c>
      <c r="O90" s="36">
        <f>IF(COUNT(C90:N90)=0,"",SUM(C90:N90))</f>
        <v/>
      </c>
    </row>
    <row r="91">
      <c r="A91" s="33">
        <f>IF(Produits!$A$28="","",Produits!$A$28)</f>
        <v/>
      </c>
      <c r="B91" s="34">
        <f>IF(Produits!$A$28="","",Produits!$C$28)</f>
        <v/>
      </c>
      <c r="C91" s="18">
        <f>IF(N('Janvier'!X29)=0,"",N('Janvier'!X29))</f>
        <v/>
      </c>
      <c r="D91" s="18">
        <f>IF(N('Février'!X29)=0,"",N('Février'!X29))</f>
        <v/>
      </c>
      <c r="E91" s="18">
        <f>IF(N('Mars'!X29)=0,"",N('Mars'!X29))</f>
        <v/>
      </c>
      <c r="F91" s="18">
        <f>IF(N('Avril'!X29)=0,"",N('Avril'!X29))</f>
        <v/>
      </c>
      <c r="G91" s="18">
        <f>IF(N('Mai'!X29)=0,"",N('Mai'!X29))</f>
        <v/>
      </c>
      <c r="H91" s="18">
        <f>IF(N('Juin'!X29)=0,"",N('Juin'!X29))</f>
        <v/>
      </c>
      <c r="I91" s="18">
        <f>IF(N('Juillet'!X29)=0,"",N('Juillet'!X29))</f>
        <v/>
      </c>
      <c r="J91" s="18">
        <f>IF(N('Août'!X29)=0,"",N('Août'!X29))</f>
        <v/>
      </c>
      <c r="K91" s="18">
        <f>IF(N('Septembre'!X29)=0,"",N('Septembre'!X29))</f>
        <v/>
      </c>
      <c r="L91" s="18">
        <f>IF(N('Octobre'!X29)=0,"",N('Octobre'!X29))</f>
        <v/>
      </c>
      <c r="M91" s="18">
        <f>IF(N('Novembre'!X29)=0,"",N('Novembre'!X29))</f>
        <v/>
      </c>
      <c r="N91" s="18">
        <f>IF(N('Décembre'!X29)=0,"",N('Décembre'!X29))</f>
        <v/>
      </c>
      <c r="O91" s="36">
        <f>IF(COUNT(C91:N91)=0,"",SUM(C91:N91))</f>
        <v/>
      </c>
    </row>
    <row r="92">
      <c r="A92" s="33">
        <f>IF(Produits!$A$29="","",Produits!$A$29)</f>
        <v/>
      </c>
      <c r="B92" s="34">
        <f>IF(Produits!$A$29="","",Produits!$C$29)</f>
        <v/>
      </c>
      <c r="C92" s="18">
        <f>IF(N('Janvier'!X30)=0,"",N('Janvier'!X30))</f>
        <v/>
      </c>
      <c r="D92" s="18">
        <f>IF(N('Février'!X30)=0,"",N('Février'!X30))</f>
        <v/>
      </c>
      <c r="E92" s="18">
        <f>IF(N('Mars'!X30)=0,"",N('Mars'!X30))</f>
        <v/>
      </c>
      <c r="F92" s="18">
        <f>IF(N('Avril'!X30)=0,"",N('Avril'!X30))</f>
        <v/>
      </c>
      <c r="G92" s="18">
        <f>IF(N('Mai'!X30)=0,"",N('Mai'!X30))</f>
        <v/>
      </c>
      <c r="H92" s="18">
        <f>IF(N('Juin'!X30)=0,"",N('Juin'!X30))</f>
        <v/>
      </c>
      <c r="I92" s="18">
        <f>IF(N('Juillet'!X30)=0,"",N('Juillet'!X30))</f>
        <v/>
      </c>
      <c r="J92" s="18">
        <f>IF(N('Août'!X30)=0,"",N('Août'!X30))</f>
        <v/>
      </c>
      <c r="K92" s="18">
        <f>IF(N('Septembre'!X30)=0,"",N('Septembre'!X30))</f>
        <v/>
      </c>
      <c r="L92" s="18">
        <f>IF(N('Octobre'!X30)=0,"",N('Octobre'!X30))</f>
        <v/>
      </c>
      <c r="M92" s="18">
        <f>IF(N('Novembre'!X30)=0,"",N('Novembre'!X30))</f>
        <v/>
      </c>
      <c r="N92" s="18">
        <f>IF(N('Décembre'!X30)=0,"",N('Décembre'!X30))</f>
        <v/>
      </c>
      <c r="O92" s="36">
        <f>IF(COUNT(C92:N92)=0,"",SUM(C92:N92))</f>
        <v/>
      </c>
    </row>
    <row r="93">
      <c r="A93" s="33">
        <f>IF(Produits!$A$30="","",Produits!$A$30)</f>
        <v/>
      </c>
      <c r="B93" s="34">
        <f>IF(Produits!$A$30="","",Produits!$C$30)</f>
        <v/>
      </c>
      <c r="C93" s="18">
        <f>IF(N('Janvier'!X31)=0,"",N('Janvier'!X31))</f>
        <v/>
      </c>
      <c r="D93" s="18">
        <f>IF(N('Février'!X31)=0,"",N('Février'!X31))</f>
        <v/>
      </c>
      <c r="E93" s="18">
        <f>IF(N('Mars'!X31)=0,"",N('Mars'!X31))</f>
        <v/>
      </c>
      <c r="F93" s="18">
        <f>IF(N('Avril'!X31)=0,"",N('Avril'!X31))</f>
        <v/>
      </c>
      <c r="G93" s="18">
        <f>IF(N('Mai'!X31)=0,"",N('Mai'!X31))</f>
        <v/>
      </c>
      <c r="H93" s="18">
        <f>IF(N('Juin'!X31)=0,"",N('Juin'!X31))</f>
        <v/>
      </c>
      <c r="I93" s="18">
        <f>IF(N('Juillet'!X31)=0,"",N('Juillet'!X31))</f>
        <v/>
      </c>
      <c r="J93" s="18">
        <f>IF(N('Août'!X31)=0,"",N('Août'!X31))</f>
        <v/>
      </c>
      <c r="K93" s="18">
        <f>IF(N('Septembre'!X31)=0,"",N('Septembre'!X31))</f>
        <v/>
      </c>
      <c r="L93" s="18">
        <f>IF(N('Octobre'!X31)=0,"",N('Octobre'!X31))</f>
        <v/>
      </c>
      <c r="M93" s="18">
        <f>IF(N('Novembre'!X31)=0,"",N('Novembre'!X31))</f>
        <v/>
      </c>
      <c r="N93" s="18">
        <f>IF(N('Décembre'!X31)=0,"",N('Décembre'!X31))</f>
        <v/>
      </c>
      <c r="O93" s="36">
        <f>IF(COUNT(C93:N93)=0,"",SUM(C93:N93))</f>
        <v/>
      </c>
    </row>
    <row r="94">
      <c r="A94" s="33">
        <f>IF(Produits!$A$31="","",Produits!$A$31)</f>
        <v/>
      </c>
      <c r="B94" s="34">
        <f>IF(Produits!$A$31="","",Produits!$C$31)</f>
        <v/>
      </c>
      <c r="C94" s="18">
        <f>IF(N('Janvier'!X32)=0,"",N('Janvier'!X32))</f>
        <v/>
      </c>
      <c r="D94" s="18">
        <f>IF(N('Février'!X32)=0,"",N('Février'!X32))</f>
        <v/>
      </c>
      <c r="E94" s="18">
        <f>IF(N('Mars'!X32)=0,"",N('Mars'!X32))</f>
        <v/>
      </c>
      <c r="F94" s="18">
        <f>IF(N('Avril'!X32)=0,"",N('Avril'!X32))</f>
        <v/>
      </c>
      <c r="G94" s="18">
        <f>IF(N('Mai'!X32)=0,"",N('Mai'!X32))</f>
        <v/>
      </c>
      <c r="H94" s="18">
        <f>IF(N('Juin'!X32)=0,"",N('Juin'!X32))</f>
        <v/>
      </c>
      <c r="I94" s="18">
        <f>IF(N('Juillet'!X32)=0,"",N('Juillet'!X32))</f>
        <v/>
      </c>
      <c r="J94" s="18">
        <f>IF(N('Août'!X32)=0,"",N('Août'!X32))</f>
        <v/>
      </c>
      <c r="K94" s="18">
        <f>IF(N('Septembre'!X32)=0,"",N('Septembre'!X32))</f>
        <v/>
      </c>
      <c r="L94" s="18">
        <f>IF(N('Octobre'!X32)=0,"",N('Octobre'!X32))</f>
        <v/>
      </c>
      <c r="M94" s="18">
        <f>IF(N('Novembre'!X32)=0,"",N('Novembre'!X32))</f>
        <v/>
      </c>
      <c r="N94" s="18">
        <f>IF(N('Décembre'!X32)=0,"",N('Décembre'!X32))</f>
        <v/>
      </c>
      <c r="O94" s="36">
        <f>IF(COUNT(C94:N94)=0,"",SUM(C94:N94))</f>
        <v/>
      </c>
    </row>
    <row r="95">
      <c r="A95" s="33">
        <f>IF(Produits!$A$32="","",Produits!$A$32)</f>
        <v/>
      </c>
      <c r="B95" s="34">
        <f>IF(Produits!$A$32="","",Produits!$C$32)</f>
        <v/>
      </c>
      <c r="C95" s="18">
        <f>IF(N('Janvier'!X33)=0,"",N('Janvier'!X33))</f>
        <v/>
      </c>
      <c r="D95" s="18">
        <f>IF(N('Février'!X33)=0,"",N('Février'!X33))</f>
        <v/>
      </c>
      <c r="E95" s="18">
        <f>IF(N('Mars'!X33)=0,"",N('Mars'!X33))</f>
        <v/>
      </c>
      <c r="F95" s="18">
        <f>IF(N('Avril'!X33)=0,"",N('Avril'!X33))</f>
        <v/>
      </c>
      <c r="G95" s="18">
        <f>IF(N('Mai'!X33)=0,"",N('Mai'!X33))</f>
        <v/>
      </c>
      <c r="H95" s="18">
        <f>IF(N('Juin'!X33)=0,"",N('Juin'!X33))</f>
        <v/>
      </c>
      <c r="I95" s="18">
        <f>IF(N('Juillet'!X33)=0,"",N('Juillet'!X33))</f>
        <v/>
      </c>
      <c r="J95" s="18">
        <f>IF(N('Août'!X33)=0,"",N('Août'!X33))</f>
        <v/>
      </c>
      <c r="K95" s="18">
        <f>IF(N('Septembre'!X33)=0,"",N('Septembre'!X33))</f>
        <v/>
      </c>
      <c r="L95" s="18">
        <f>IF(N('Octobre'!X33)=0,"",N('Octobre'!X33))</f>
        <v/>
      </c>
      <c r="M95" s="18">
        <f>IF(N('Novembre'!X33)=0,"",N('Novembre'!X33))</f>
        <v/>
      </c>
      <c r="N95" s="18">
        <f>IF(N('Décembre'!X33)=0,"",N('Décembre'!X33))</f>
        <v/>
      </c>
      <c r="O95" s="36">
        <f>IF(COUNT(C95:N95)=0,"",SUM(C95:N95))</f>
        <v/>
      </c>
    </row>
    <row r="96">
      <c r="A96" s="33">
        <f>IF(Produits!$A$33="","",Produits!$A$33)</f>
        <v/>
      </c>
      <c r="B96" s="34">
        <f>IF(Produits!$A$33="","",Produits!$C$33)</f>
        <v/>
      </c>
      <c r="C96" s="18">
        <f>IF(N('Janvier'!X34)=0,"",N('Janvier'!X34))</f>
        <v/>
      </c>
      <c r="D96" s="18">
        <f>IF(N('Février'!X34)=0,"",N('Février'!X34))</f>
        <v/>
      </c>
      <c r="E96" s="18">
        <f>IF(N('Mars'!X34)=0,"",N('Mars'!X34))</f>
        <v/>
      </c>
      <c r="F96" s="18">
        <f>IF(N('Avril'!X34)=0,"",N('Avril'!X34))</f>
        <v/>
      </c>
      <c r="G96" s="18">
        <f>IF(N('Mai'!X34)=0,"",N('Mai'!X34))</f>
        <v/>
      </c>
      <c r="H96" s="18">
        <f>IF(N('Juin'!X34)=0,"",N('Juin'!X34))</f>
        <v/>
      </c>
      <c r="I96" s="18">
        <f>IF(N('Juillet'!X34)=0,"",N('Juillet'!X34))</f>
        <v/>
      </c>
      <c r="J96" s="18">
        <f>IF(N('Août'!X34)=0,"",N('Août'!X34))</f>
        <v/>
      </c>
      <c r="K96" s="18">
        <f>IF(N('Septembre'!X34)=0,"",N('Septembre'!X34))</f>
        <v/>
      </c>
      <c r="L96" s="18">
        <f>IF(N('Octobre'!X34)=0,"",N('Octobre'!X34))</f>
        <v/>
      </c>
      <c r="M96" s="18">
        <f>IF(N('Novembre'!X34)=0,"",N('Novembre'!X34))</f>
        <v/>
      </c>
      <c r="N96" s="18">
        <f>IF(N('Décembre'!X34)=0,"",N('Décembre'!X34))</f>
        <v/>
      </c>
      <c r="O96" s="36">
        <f>IF(COUNT(C96:N96)=0,"",SUM(C96:N96))</f>
        <v/>
      </c>
    </row>
    <row r="97">
      <c r="A97" s="33">
        <f>IF(Produits!$A$34="","",Produits!$A$34)</f>
        <v/>
      </c>
      <c r="B97" s="34">
        <f>IF(Produits!$A$34="","",Produits!$C$34)</f>
        <v/>
      </c>
      <c r="C97" s="18">
        <f>IF(N('Janvier'!X35)=0,"",N('Janvier'!X35))</f>
        <v/>
      </c>
      <c r="D97" s="18">
        <f>IF(N('Février'!X35)=0,"",N('Février'!X35))</f>
        <v/>
      </c>
      <c r="E97" s="18">
        <f>IF(N('Mars'!X35)=0,"",N('Mars'!X35))</f>
        <v/>
      </c>
      <c r="F97" s="18">
        <f>IF(N('Avril'!X35)=0,"",N('Avril'!X35))</f>
        <v/>
      </c>
      <c r="G97" s="18">
        <f>IF(N('Mai'!X35)=0,"",N('Mai'!X35))</f>
        <v/>
      </c>
      <c r="H97" s="18">
        <f>IF(N('Juin'!X35)=0,"",N('Juin'!X35))</f>
        <v/>
      </c>
      <c r="I97" s="18">
        <f>IF(N('Juillet'!X35)=0,"",N('Juillet'!X35))</f>
        <v/>
      </c>
      <c r="J97" s="18">
        <f>IF(N('Août'!X35)=0,"",N('Août'!X35))</f>
        <v/>
      </c>
      <c r="K97" s="18">
        <f>IF(N('Septembre'!X35)=0,"",N('Septembre'!X35))</f>
        <v/>
      </c>
      <c r="L97" s="18">
        <f>IF(N('Octobre'!X35)=0,"",N('Octobre'!X35))</f>
        <v/>
      </c>
      <c r="M97" s="18">
        <f>IF(N('Novembre'!X35)=0,"",N('Novembre'!X35))</f>
        <v/>
      </c>
      <c r="N97" s="18">
        <f>IF(N('Décembre'!X35)=0,"",N('Décembre'!X35))</f>
        <v/>
      </c>
      <c r="O97" s="36">
        <f>IF(COUNT(C97:N97)=0,"",SUM(C97:N97))</f>
        <v/>
      </c>
    </row>
    <row r="98">
      <c r="A98" s="33">
        <f>IF(Produits!$A$35="","",Produits!$A$35)</f>
        <v/>
      </c>
      <c r="B98" s="34">
        <f>IF(Produits!$A$35="","",Produits!$C$35)</f>
        <v/>
      </c>
      <c r="C98" s="18">
        <f>IF(N('Janvier'!X36)=0,"",N('Janvier'!X36))</f>
        <v/>
      </c>
      <c r="D98" s="18">
        <f>IF(N('Février'!X36)=0,"",N('Février'!X36))</f>
        <v/>
      </c>
      <c r="E98" s="18">
        <f>IF(N('Mars'!X36)=0,"",N('Mars'!X36))</f>
        <v/>
      </c>
      <c r="F98" s="18">
        <f>IF(N('Avril'!X36)=0,"",N('Avril'!X36))</f>
        <v/>
      </c>
      <c r="G98" s="18">
        <f>IF(N('Mai'!X36)=0,"",N('Mai'!X36))</f>
        <v/>
      </c>
      <c r="H98" s="18">
        <f>IF(N('Juin'!X36)=0,"",N('Juin'!X36))</f>
        <v/>
      </c>
      <c r="I98" s="18">
        <f>IF(N('Juillet'!X36)=0,"",N('Juillet'!X36))</f>
        <v/>
      </c>
      <c r="J98" s="18">
        <f>IF(N('Août'!X36)=0,"",N('Août'!X36))</f>
        <v/>
      </c>
      <c r="K98" s="18">
        <f>IF(N('Septembre'!X36)=0,"",N('Septembre'!X36))</f>
        <v/>
      </c>
      <c r="L98" s="18">
        <f>IF(N('Octobre'!X36)=0,"",N('Octobre'!X36))</f>
        <v/>
      </c>
      <c r="M98" s="18">
        <f>IF(N('Novembre'!X36)=0,"",N('Novembre'!X36))</f>
        <v/>
      </c>
      <c r="N98" s="18">
        <f>IF(N('Décembre'!X36)=0,"",N('Décembre'!X36))</f>
        <v/>
      </c>
      <c r="O98" s="36">
        <f>IF(COUNT(C98:N98)=0,"",SUM(C98:N98))</f>
        <v/>
      </c>
    </row>
    <row r="99">
      <c r="A99" s="33">
        <f>IF(Produits!$A$36="","",Produits!$A$36)</f>
        <v/>
      </c>
      <c r="B99" s="34">
        <f>IF(Produits!$A$36="","",Produits!$C$36)</f>
        <v/>
      </c>
      <c r="C99" s="18">
        <f>IF(N('Janvier'!X37)=0,"",N('Janvier'!X37))</f>
        <v/>
      </c>
      <c r="D99" s="18">
        <f>IF(N('Février'!X37)=0,"",N('Février'!X37))</f>
        <v/>
      </c>
      <c r="E99" s="18">
        <f>IF(N('Mars'!X37)=0,"",N('Mars'!X37))</f>
        <v/>
      </c>
      <c r="F99" s="18">
        <f>IF(N('Avril'!X37)=0,"",N('Avril'!X37))</f>
        <v/>
      </c>
      <c r="G99" s="18">
        <f>IF(N('Mai'!X37)=0,"",N('Mai'!X37))</f>
        <v/>
      </c>
      <c r="H99" s="18">
        <f>IF(N('Juin'!X37)=0,"",N('Juin'!X37))</f>
        <v/>
      </c>
      <c r="I99" s="18">
        <f>IF(N('Juillet'!X37)=0,"",N('Juillet'!X37))</f>
        <v/>
      </c>
      <c r="J99" s="18">
        <f>IF(N('Août'!X37)=0,"",N('Août'!X37))</f>
        <v/>
      </c>
      <c r="K99" s="18">
        <f>IF(N('Septembre'!X37)=0,"",N('Septembre'!X37))</f>
        <v/>
      </c>
      <c r="L99" s="18">
        <f>IF(N('Octobre'!X37)=0,"",N('Octobre'!X37))</f>
        <v/>
      </c>
      <c r="M99" s="18">
        <f>IF(N('Novembre'!X37)=0,"",N('Novembre'!X37))</f>
        <v/>
      </c>
      <c r="N99" s="18">
        <f>IF(N('Décembre'!X37)=0,"",N('Décembre'!X37))</f>
        <v/>
      </c>
      <c r="O99" s="36">
        <f>IF(COUNT(C99:N99)=0,"",SUM(C99:N99))</f>
        <v/>
      </c>
    </row>
    <row r="100">
      <c r="A100" s="33">
        <f>IF(Produits!$A$38="","",Produits!$A$38)</f>
        <v/>
      </c>
      <c r="B100" s="34">
        <f>IF(Produits!$A$38="","",Produits!$C$38)</f>
        <v/>
      </c>
      <c r="C100" s="18">
        <f>IF(N('Janvier'!X39)=0,"",N('Janvier'!X39))</f>
        <v/>
      </c>
      <c r="D100" s="18">
        <f>IF(N('Février'!X39)=0,"",N('Février'!X39))</f>
        <v/>
      </c>
      <c r="E100" s="18">
        <f>IF(N('Mars'!X39)=0,"",N('Mars'!X39))</f>
        <v/>
      </c>
      <c r="F100" s="18">
        <f>IF(N('Avril'!X39)=0,"",N('Avril'!X39))</f>
        <v/>
      </c>
      <c r="G100" s="18">
        <f>IF(N('Mai'!X39)=0,"",N('Mai'!X39))</f>
        <v/>
      </c>
      <c r="H100" s="18">
        <f>IF(N('Juin'!X39)=0,"",N('Juin'!X39))</f>
        <v/>
      </c>
      <c r="I100" s="18">
        <f>IF(N('Juillet'!X39)=0,"",N('Juillet'!X39))</f>
        <v/>
      </c>
      <c r="J100" s="18">
        <f>IF(N('Août'!X39)=0,"",N('Août'!X39))</f>
        <v/>
      </c>
      <c r="K100" s="18">
        <f>IF(N('Septembre'!X39)=0,"",N('Septembre'!X39))</f>
        <v/>
      </c>
      <c r="L100" s="18">
        <f>IF(N('Octobre'!X39)=0,"",N('Octobre'!X39))</f>
        <v/>
      </c>
      <c r="M100" s="18">
        <f>IF(N('Novembre'!X39)=0,"",N('Novembre'!X39))</f>
        <v/>
      </c>
      <c r="N100" s="18">
        <f>IF(N('Décembre'!X39)=0,"",N('Décembre'!X39))</f>
        <v/>
      </c>
      <c r="O100" s="36">
        <f>IF(COUNT(C100:N100)=0,"",SUM(C100:N100))</f>
        <v/>
      </c>
    </row>
    <row r="101">
      <c r="A101" s="33">
        <f>IF(Produits!$A$39="","",Produits!$A$39)</f>
        <v/>
      </c>
      <c r="B101" s="34">
        <f>IF(Produits!$A$39="","",Produits!$C$39)</f>
        <v/>
      </c>
      <c r="C101" s="18">
        <f>IF(N('Janvier'!X40)=0,"",N('Janvier'!X40))</f>
        <v/>
      </c>
      <c r="D101" s="18">
        <f>IF(N('Février'!X40)=0,"",N('Février'!X40))</f>
        <v/>
      </c>
      <c r="E101" s="18">
        <f>IF(N('Mars'!X40)=0,"",N('Mars'!X40))</f>
        <v/>
      </c>
      <c r="F101" s="18">
        <f>IF(N('Avril'!X40)=0,"",N('Avril'!X40))</f>
        <v/>
      </c>
      <c r="G101" s="18">
        <f>IF(N('Mai'!X40)=0,"",N('Mai'!X40))</f>
        <v/>
      </c>
      <c r="H101" s="18">
        <f>IF(N('Juin'!X40)=0,"",N('Juin'!X40))</f>
        <v/>
      </c>
      <c r="I101" s="18">
        <f>IF(N('Juillet'!X40)=0,"",N('Juillet'!X40))</f>
        <v/>
      </c>
      <c r="J101" s="18">
        <f>IF(N('Août'!X40)=0,"",N('Août'!X40))</f>
        <v/>
      </c>
      <c r="K101" s="18">
        <f>IF(N('Septembre'!X40)=0,"",N('Septembre'!X40))</f>
        <v/>
      </c>
      <c r="L101" s="18">
        <f>IF(N('Octobre'!X40)=0,"",N('Octobre'!X40))</f>
        <v/>
      </c>
      <c r="M101" s="18">
        <f>IF(N('Novembre'!X40)=0,"",N('Novembre'!X40))</f>
        <v/>
      </c>
      <c r="N101" s="18">
        <f>IF(N('Décembre'!X40)=0,"",N('Décembre'!X40))</f>
        <v/>
      </c>
      <c r="O101" s="36">
        <f>IF(COUNT(C101:N101)=0,"",SUM(C101:N101))</f>
        <v/>
      </c>
    </row>
    <row r="102">
      <c r="A102" s="33">
        <f>IF(Produits!$A$40="","",Produits!$A$40)</f>
        <v/>
      </c>
      <c r="B102" s="34">
        <f>IF(Produits!$A$40="","",Produits!$C$40)</f>
        <v/>
      </c>
      <c r="C102" s="18">
        <f>IF(N('Janvier'!X41)=0,"",N('Janvier'!X41))</f>
        <v/>
      </c>
      <c r="D102" s="18">
        <f>IF(N('Février'!X41)=0,"",N('Février'!X41))</f>
        <v/>
      </c>
      <c r="E102" s="18">
        <f>IF(N('Mars'!X41)=0,"",N('Mars'!X41))</f>
        <v/>
      </c>
      <c r="F102" s="18">
        <f>IF(N('Avril'!X41)=0,"",N('Avril'!X41))</f>
        <v/>
      </c>
      <c r="G102" s="18">
        <f>IF(N('Mai'!X41)=0,"",N('Mai'!X41))</f>
        <v/>
      </c>
      <c r="H102" s="18">
        <f>IF(N('Juin'!X41)=0,"",N('Juin'!X41))</f>
        <v/>
      </c>
      <c r="I102" s="18">
        <f>IF(N('Juillet'!X41)=0,"",N('Juillet'!X41))</f>
        <v/>
      </c>
      <c r="J102" s="18">
        <f>IF(N('Août'!X41)=0,"",N('Août'!X41))</f>
        <v/>
      </c>
      <c r="K102" s="18">
        <f>IF(N('Septembre'!X41)=0,"",N('Septembre'!X41))</f>
        <v/>
      </c>
      <c r="L102" s="18">
        <f>IF(N('Octobre'!X41)=0,"",N('Octobre'!X41))</f>
        <v/>
      </c>
      <c r="M102" s="18">
        <f>IF(N('Novembre'!X41)=0,"",N('Novembre'!X41))</f>
        <v/>
      </c>
      <c r="N102" s="18">
        <f>IF(N('Décembre'!X41)=0,"",N('Décembre'!X41))</f>
        <v/>
      </c>
      <c r="O102" s="36">
        <f>IF(COUNT(C102:N102)=0,"",SUM(C102:N102))</f>
        <v/>
      </c>
    </row>
    <row r="103">
      <c r="A103" s="33">
        <f>IF(Produits!$A$41="","",Produits!$A$41)</f>
        <v/>
      </c>
      <c r="B103" s="34">
        <f>IF(Produits!$A$41="","",Produits!$C$41)</f>
        <v/>
      </c>
      <c r="C103" s="18">
        <f>IF(N('Janvier'!X42)=0,"",N('Janvier'!X42))</f>
        <v/>
      </c>
      <c r="D103" s="18">
        <f>IF(N('Février'!X42)=0,"",N('Février'!X42))</f>
        <v/>
      </c>
      <c r="E103" s="18">
        <f>IF(N('Mars'!X42)=0,"",N('Mars'!X42))</f>
        <v/>
      </c>
      <c r="F103" s="18">
        <f>IF(N('Avril'!X42)=0,"",N('Avril'!X42))</f>
        <v/>
      </c>
      <c r="G103" s="18">
        <f>IF(N('Mai'!X42)=0,"",N('Mai'!X42))</f>
        <v/>
      </c>
      <c r="H103" s="18">
        <f>IF(N('Juin'!X42)=0,"",N('Juin'!X42))</f>
        <v/>
      </c>
      <c r="I103" s="18">
        <f>IF(N('Juillet'!X42)=0,"",N('Juillet'!X42))</f>
        <v/>
      </c>
      <c r="J103" s="18">
        <f>IF(N('Août'!X42)=0,"",N('Août'!X42))</f>
        <v/>
      </c>
      <c r="K103" s="18">
        <f>IF(N('Septembre'!X42)=0,"",N('Septembre'!X42))</f>
        <v/>
      </c>
      <c r="L103" s="18">
        <f>IF(N('Octobre'!X42)=0,"",N('Octobre'!X42))</f>
        <v/>
      </c>
      <c r="M103" s="18">
        <f>IF(N('Novembre'!X42)=0,"",N('Novembre'!X42))</f>
        <v/>
      </c>
      <c r="N103" s="18">
        <f>IF(N('Décembre'!X42)=0,"",N('Décembre'!X42))</f>
        <v/>
      </c>
      <c r="O103" s="36">
        <f>IF(COUNT(C103:N103)=0,"",SUM(C103:N103))</f>
        <v/>
      </c>
    </row>
    <row r="104">
      <c r="A104" s="33">
        <f>IF(Produits!$A$42="","",Produits!$A$42)</f>
        <v/>
      </c>
      <c r="B104" s="34">
        <f>IF(Produits!$A$42="","",Produits!$C$42)</f>
        <v/>
      </c>
      <c r="C104" s="18">
        <f>IF(N('Janvier'!X43)=0,"",N('Janvier'!X43))</f>
        <v/>
      </c>
      <c r="D104" s="18">
        <f>IF(N('Février'!X43)=0,"",N('Février'!X43))</f>
        <v/>
      </c>
      <c r="E104" s="18">
        <f>IF(N('Mars'!X43)=0,"",N('Mars'!X43))</f>
        <v/>
      </c>
      <c r="F104" s="18">
        <f>IF(N('Avril'!X43)=0,"",N('Avril'!X43))</f>
        <v/>
      </c>
      <c r="G104" s="18">
        <f>IF(N('Mai'!X43)=0,"",N('Mai'!X43))</f>
        <v/>
      </c>
      <c r="H104" s="18">
        <f>IF(N('Juin'!X43)=0,"",N('Juin'!X43))</f>
        <v/>
      </c>
      <c r="I104" s="18">
        <f>IF(N('Juillet'!X43)=0,"",N('Juillet'!X43))</f>
        <v/>
      </c>
      <c r="J104" s="18">
        <f>IF(N('Août'!X43)=0,"",N('Août'!X43))</f>
        <v/>
      </c>
      <c r="K104" s="18">
        <f>IF(N('Septembre'!X43)=0,"",N('Septembre'!X43))</f>
        <v/>
      </c>
      <c r="L104" s="18">
        <f>IF(N('Octobre'!X43)=0,"",N('Octobre'!X43))</f>
        <v/>
      </c>
      <c r="M104" s="18">
        <f>IF(N('Novembre'!X43)=0,"",N('Novembre'!X43))</f>
        <v/>
      </c>
      <c r="N104" s="18">
        <f>IF(N('Décembre'!X43)=0,"",N('Décembre'!X43))</f>
        <v/>
      </c>
      <c r="O104" s="36">
        <f>IF(COUNT(C104:N104)=0,"",SUM(C104:N104))</f>
        <v/>
      </c>
    </row>
    <row r="105">
      <c r="A105" s="33">
        <f>IF(Produits!$A$43="","",Produits!$A$43)</f>
        <v/>
      </c>
      <c r="B105" s="34">
        <f>IF(Produits!$A$43="","",Produits!$C$43)</f>
        <v/>
      </c>
      <c r="C105" s="18">
        <f>IF(N('Janvier'!X44)=0,"",N('Janvier'!X44))</f>
        <v/>
      </c>
      <c r="D105" s="18">
        <f>IF(N('Février'!X44)=0,"",N('Février'!X44))</f>
        <v/>
      </c>
      <c r="E105" s="18">
        <f>IF(N('Mars'!X44)=0,"",N('Mars'!X44))</f>
        <v/>
      </c>
      <c r="F105" s="18">
        <f>IF(N('Avril'!X44)=0,"",N('Avril'!X44))</f>
        <v/>
      </c>
      <c r="G105" s="18">
        <f>IF(N('Mai'!X44)=0,"",N('Mai'!X44))</f>
        <v/>
      </c>
      <c r="H105" s="18">
        <f>IF(N('Juin'!X44)=0,"",N('Juin'!X44))</f>
        <v/>
      </c>
      <c r="I105" s="18">
        <f>IF(N('Juillet'!X44)=0,"",N('Juillet'!X44))</f>
        <v/>
      </c>
      <c r="J105" s="18">
        <f>IF(N('Août'!X44)=0,"",N('Août'!X44))</f>
        <v/>
      </c>
      <c r="K105" s="18">
        <f>IF(N('Septembre'!X44)=0,"",N('Septembre'!X44))</f>
        <v/>
      </c>
      <c r="L105" s="18">
        <f>IF(N('Octobre'!X44)=0,"",N('Octobre'!X44))</f>
        <v/>
      </c>
      <c r="M105" s="18">
        <f>IF(N('Novembre'!X44)=0,"",N('Novembre'!X44))</f>
        <v/>
      </c>
      <c r="N105" s="18">
        <f>IF(N('Décembre'!X44)=0,"",N('Décembre'!X44))</f>
        <v/>
      </c>
      <c r="O105" s="36">
        <f>IF(COUNT(C105:N105)=0,"",SUM(C105:N105))</f>
        <v/>
      </c>
    </row>
    <row r="106">
      <c r="A106" s="33">
        <f>IF(Produits!$A$44="","",Produits!$A$44)</f>
        <v/>
      </c>
      <c r="B106" s="34">
        <f>IF(Produits!$A$44="","",Produits!$C$44)</f>
        <v/>
      </c>
      <c r="C106" s="18">
        <f>IF(N('Janvier'!X45)=0,"",N('Janvier'!X45))</f>
        <v/>
      </c>
      <c r="D106" s="18">
        <f>IF(N('Février'!X45)=0,"",N('Février'!X45))</f>
        <v/>
      </c>
      <c r="E106" s="18">
        <f>IF(N('Mars'!X45)=0,"",N('Mars'!X45))</f>
        <v/>
      </c>
      <c r="F106" s="18">
        <f>IF(N('Avril'!X45)=0,"",N('Avril'!X45))</f>
        <v/>
      </c>
      <c r="G106" s="18">
        <f>IF(N('Mai'!X45)=0,"",N('Mai'!X45))</f>
        <v/>
      </c>
      <c r="H106" s="18">
        <f>IF(N('Juin'!X45)=0,"",N('Juin'!X45))</f>
        <v/>
      </c>
      <c r="I106" s="18">
        <f>IF(N('Juillet'!X45)=0,"",N('Juillet'!X45))</f>
        <v/>
      </c>
      <c r="J106" s="18">
        <f>IF(N('Août'!X45)=0,"",N('Août'!X45))</f>
        <v/>
      </c>
      <c r="K106" s="18">
        <f>IF(N('Septembre'!X45)=0,"",N('Septembre'!X45))</f>
        <v/>
      </c>
      <c r="L106" s="18">
        <f>IF(N('Octobre'!X45)=0,"",N('Octobre'!X45))</f>
        <v/>
      </c>
      <c r="M106" s="18">
        <f>IF(N('Novembre'!X45)=0,"",N('Novembre'!X45))</f>
        <v/>
      </c>
      <c r="N106" s="18">
        <f>IF(N('Décembre'!X45)=0,"",N('Décembre'!X45))</f>
        <v/>
      </c>
      <c r="O106" s="36">
        <f>IF(COUNT(C106:N106)=0,"",SUM(C106:N106))</f>
        <v/>
      </c>
    </row>
    <row r="107">
      <c r="A107" s="33">
        <f>IF(Produits!$A$45="","",Produits!$A$45)</f>
        <v/>
      </c>
      <c r="B107" s="34">
        <f>IF(Produits!$A$45="","",Produits!$C$45)</f>
        <v/>
      </c>
      <c r="C107" s="18">
        <f>IF(N('Janvier'!X46)=0,"",N('Janvier'!X46))</f>
        <v/>
      </c>
      <c r="D107" s="18">
        <f>IF(N('Février'!X46)=0,"",N('Février'!X46))</f>
        <v/>
      </c>
      <c r="E107" s="18">
        <f>IF(N('Mars'!X46)=0,"",N('Mars'!X46))</f>
        <v/>
      </c>
      <c r="F107" s="18">
        <f>IF(N('Avril'!X46)=0,"",N('Avril'!X46))</f>
        <v/>
      </c>
      <c r="G107" s="18">
        <f>IF(N('Mai'!X46)=0,"",N('Mai'!X46))</f>
        <v/>
      </c>
      <c r="H107" s="18">
        <f>IF(N('Juin'!X46)=0,"",N('Juin'!X46))</f>
        <v/>
      </c>
      <c r="I107" s="18">
        <f>IF(N('Juillet'!X46)=0,"",N('Juillet'!X46))</f>
        <v/>
      </c>
      <c r="J107" s="18">
        <f>IF(N('Août'!X46)=0,"",N('Août'!X46))</f>
        <v/>
      </c>
      <c r="K107" s="18">
        <f>IF(N('Septembre'!X46)=0,"",N('Septembre'!X46))</f>
        <v/>
      </c>
      <c r="L107" s="18">
        <f>IF(N('Octobre'!X46)=0,"",N('Octobre'!X46))</f>
        <v/>
      </c>
      <c r="M107" s="18">
        <f>IF(N('Novembre'!X46)=0,"",N('Novembre'!X46))</f>
        <v/>
      </c>
      <c r="N107" s="18">
        <f>IF(N('Décembre'!X46)=0,"",N('Décembre'!X46))</f>
        <v/>
      </c>
      <c r="O107" s="36">
        <f>IF(COUNT(C107:N107)=0,"",SUM(C107:N107))</f>
        <v/>
      </c>
    </row>
    <row r="108">
      <c r="A108" s="33">
        <f>IF(Produits!$A$46="","",Produits!$A$46)</f>
        <v/>
      </c>
      <c r="B108" s="34">
        <f>IF(Produits!$A$46="","",Produits!$C$46)</f>
        <v/>
      </c>
      <c r="C108" s="18">
        <f>IF(N('Janvier'!X47)=0,"",N('Janvier'!X47))</f>
        <v/>
      </c>
      <c r="D108" s="18">
        <f>IF(N('Février'!X47)=0,"",N('Février'!X47))</f>
        <v/>
      </c>
      <c r="E108" s="18">
        <f>IF(N('Mars'!X47)=0,"",N('Mars'!X47))</f>
        <v/>
      </c>
      <c r="F108" s="18">
        <f>IF(N('Avril'!X47)=0,"",N('Avril'!X47))</f>
        <v/>
      </c>
      <c r="G108" s="18">
        <f>IF(N('Mai'!X47)=0,"",N('Mai'!X47))</f>
        <v/>
      </c>
      <c r="H108" s="18">
        <f>IF(N('Juin'!X47)=0,"",N('Juin'!X47))</f>
        <v/>
      </c>
      <c r="I108" s="18">
        <f>IF(N('Juillet'!X47)=0,"",N('Juillet'!X47))</f>
        <v/>
      </c>
      <c r="J108" s="18">
        <f>IF(N('Août'!X47)=0,"",N('Août'!X47))</f>
        <v/>
      </c>
      <c r="K108" s="18">
        <f>IF(N('Septembre'!X47)=0,"",N('Septembre'!X47))</f>
        <v/>
      </c>
      <c r="L108" s="18">
        <f>IF(N('Octobre'!X47)=0,"",N('Octobre'!X47))</f>
        <v/>
      </c>
      <c r="M108" s="18">
        <f>IF(N('Novembre'!X47)=0,"",N('Novembre'!X47))</f>
        <v/>
      </c>
      <c r="N108" s="18">
        <f>IF(N('Décembre'!X47)=0,"",N('Décembre'!X47))</f>
        <v/>
      </c>
      <c r="O108" s="36">
        <f>IF(COUNT(C108:N108)=0,"",SUM(C108:N108))</f>
        <v/>
      </c>
    </row>
    <row r="109">
      <c r="A109" s="33">
        <f>IF(Produits!$A$47="","",Produits!$A$47)</f>
        <v/>
      </c>
      <c r="B109" s="34">
        <f>IF(Produits!$A$47="","",Produits!$C$47)</f>
        <v/>
      </c>
      <c r="C109" s="18">
        <f>IF(N('Janvier'!X48)=0,"",N('Janvier'!X48))</f>
        <v/>
      </c>
      <c r="D109" s="18">
        <f>IF(N('Février'!X48)=0,"",N('Février'!X48))</f>
        <v/>
      </c>
      <c r="E109" s="18">
        <f>IF(N('Mars'!X48)=0,"",N('Mars'!X48))</f>
        <v/>
      </c>
      <c r="F109" s="18">
        <f>IF(N('Avril'!X48)=0,"",N('Avril'!X48))</f>
        <v/>
      </c>
      <c r="G109" s="18">
        <f>IF(N('Mai'!X48)=0,"",N('Mai'!X48))</f>
        <v/>
      </c>
      <c r="H109" s="18">
        <f>IF(N('Juin'!X48)=0,"",N('Juin'!X48))</f>
        <v/>
      </c>
      <c r="I109" s="18">
        <f>IF(N('Juillet'!X48)=0,"",N('Juillet'!X48))</f>
        <v/>
      </c>
      <c r="J109" s="18">
        <f>IF(N('Août'!X48)=0,"",N('Août'!X48))</f>
        <v/>
      </c>
      <c r="K109" s="18">
        <f>IF(N('Septembre'!X48)=0,"",N('Septembre'!X48))</f>
        <v/>
      </c>
      <c r="L109" s="18">
        <f>IF(N('Octobre'!X48)=0,"",N('Octobre'!X48))</f>
        <v/>
      </c>
      <c r="M109" s="18">
        <f>IF(N('Novembre'!X48)=0,"",N('Novembre'!X48))</f>
        <v/>
      </c>
      <c r="N109" s="18">
        <f>IF(N('Décembre'!X48)=0,"",N('Décembre'!X48))</f>
        <v/>
      </c>
      <c r="O109" s="36">
        <f>IF(COUNT(C109:N109)=0,"",SUM(C109:N109))</f>
        <v/>
      </c>
    </row>
    <row r="110">
      <c r="A110" s="33">
        <f>IF(Produits!$A$48="","",Produits!$A$48)</f>
        <v/>
      </c>
      <c r="B110" s="34">
        <f>IF(Produits!$A$48="","",Produits!$C$48)</f>
        <v/>
      </c>
      <c r="C110" s="18">
        <f>IF(N('Janvier'!X49)=0,"",N('Janvier'!X49))</f>
        <v/>
      </c>
      <c r="D110" s="18">
        <f>IF(N('Février'!X49)=0,"",N('Février'!X49))</f>
        <v/>
      </c>
      <c r="E110" s="18">
        <f>IF(N('Mars'!X49)=0,"",N('Mars'!X49))</f>
        <v/>
      </c>
      <c r="F110" s="18">
        <f>IF(N('Avril'!X49)=0,"",N('Avril'!X49))</f>
        <v/>
      </c>
      <c r="G110" s="18">
        <f>IF(N('Mai'!X49)=0,"",N('Mai'!X49))</f>
        <v/>
      </c>
      <c r="H110" s="18">
        <f>IF(N('Juin'!X49)=0,"",N('Juin'!X49))</f>
        <v/>
      </c>
      <c r="I110" s="18">
        <f>IF(N('Juillet'!X49)=0,"",N('Juillet'!X49))</f>
        <v/>
      </c>
      <c r="J110" s="18">
        <f>IF(N('Août'!X49)=0,"",N('Août'!X49))</f>
        <v/>
      </c>
      <c r="K110" s="18">
        <f>IF(N('Septembre'!X49)=0,"",N('Septembre'!X49))</f>
        <v/>
      </c>
      <c r="L110" s="18">
        <f>IF(N('Octobre'!X49)=0,"",N('Octobre'!X49))</f>
        <v/>
      </c>
      <c r="M110" s="18">
        <f>IF(N('Novembre'!X49)=0,"",N('Novembre'!X49))</f>
        <v/>
      </c>
      <c r="N110" s="18">
        <f>IF(N('Décembre'!X49)=0,"",N('Décembre'!X49))</f>
        <v/>
      </c>
      <c r="O110" s="36">
        <f>IF(COUNT(C110:N110)=0,"",SUM(C110:N110))</f>
        <v/>
      </c>
    </row>
    <row r="111">
      <c r="A111" s="33">
        <f>IF(Produits!$A$49="","",Produits!$A$49)</f>
        <v/>
      </c>
      <c r="B111" s="34">
        <f>IF(Produits!$A$49="","",Produits!$C$49)</f>
        <v/>
      </c>
      <c r="C111" s="18">
        <f>IF(N('Janvier'!X50)=0,"",N('Janvier'!X50))</f>
        <v/>
      </c>
      <c r="D111" s="18">
        <f>IF(N('Février'!X50)=0,"",N('Février'!X50))</f>
        <v/>
      </c>
      <c r="E111" s="18">
        <f>IF(N('Mars'!X50)=0,"",N('Mars'!X50))</f>
        <v/>
      </c>
      <c r="F111" s="18">
        <f>IF(N('Avril'!X50)=0,"",N('Avril'!X50))</f>
        <v/>
      </c>
      <c r="G111" s="18">
        <f>IF(N('Mai'!X50)=0,"",N('Mai'!X50))</f>
        <v/>
      </c>
      <c r="H111" s="18">
        <f>IF(N('Juin'!X50)=0,"",N('Juin'!X50))</f>
        <v/>
      </c>
      <c r="I111" s="18">
        <f>IF(N('Juillet'!X50)=0,"",N('Juillet'!X50))</f>
        <v/>
      </c>
      <c r="J111" s="18">
        <f>IF(N('Août'!X50)=0,"",N('Août'!X50))</f>
        <v/>
      </c>
      <c r="K111" s="18">
        <f>IF(N('Septembre'!X50)=0,"",N('Septembre'!X50))</f>
        <v/>
      </c>
      <c r="L111" s="18">
        <f>IF(N('Octobre'!X50)=0,"",N('Octobre'!X50))</f>
        <v/>
      </c>
      <c r="M111" s="18">
        <f>IF(N('Novembre'!X50)=0,"",N('Novembre'!X50))</f>
        <v/>
      </c>
      <c r="N111" s="18">
        <f>IF(N('Décembre'!X50)=0,"",N('Décembre'!X50))</f>
        <v/>
      </c>
      <c r="O111" s="36">
        <f>IF(COUNT(C111:N111)=0,"",SUM(C111:N111))</f>
        <v/>
      </c>
    </row>
    <row r="112">
      <c r="A112" s="33">
        <f>IF(Produits!$A$50="","",Produits!$A$50)</f>
        <v/>
      </c>
      <c r="B112" s="34">
        <f>IF(Produits!$A$50="","",Produits!$C$50)</f>
        <v/>
      </c>
      <c r="C112" s="18">
        <f>IF(N('Janvier'!X51)=0,"",N('Janvier'!X51))</f>
        <v/>
      </c>
      <c r="D112" s="18">
        <f>IF(N('Février'!X51)=0,"",N('Février'!X51))</f>
        <v/>
      </c>
      <c r="E112" s="18">
        <f>IF(N('Mars'!X51)=0,"",N('Mars'!X51))</f>
        <v/>
      </c>
      <c r="F112" s="18">
        <f>IF(N('Avril'!X51)=0,"",N('Avril'!X51))</f>
        <v/>
      </c>
      <c r="G112" s="18">
        <f>IF(N('Mai'!X51)=0,"",N('Mai'!X51))</f>
        <v/>
      </c>
      <c r="H112" s="18">
        <f>IF(N('Juin'!X51)=0,"",N('Juin'!X51))</f>
        <v/>
      </c>
      <c r="I112" s="18">
        <f>IF(N('Juillet'!X51)=0,"",N('Juillet'!X51))</f>
        <v/>
      </c>
      <c r="J112" s="18">
        <f>IF(N('Août'!X51)=0,"",N('Août'!X51))</f>
        <v/>
      </c>
      <c r="K112" s="18">
        <f>IF(N('Septembre'!X51)=0,"",N('Septembre'!X51))</f>
        <v/>
      </c>
      <c r="L112" s="18">
        <f>IF(N('Octobre'!X51)=0,"",N('Octobre'!X51))</f>
        <v/>
      </c>
      <c r="M112" s="18">
        <f>IF(N('Novembre'!X51)=0,"",N('Novembre'!X51))</f>
        <v/>
      </c>
      <c r="N112" s="18">
        <f>IF(N('Décembre'!X51)=0,"",N('Décembre'!X51))</f>
        <v/>
      </c>
      <c r="O112" s="36">
        <f>IF(COUNT(C112:N112)=0,"",SUM(C112:N112))</f>
        <v/>
      </c>
    </row>
    <row r="113">
      <c r="A113" s="33">
        <f>IF(Produits!$A$51="","",Produits!$A$51)</f>
        <v/>
      </c>
      <c r="B113" s="34">
        <f>IF(Produits!$A$51="","",Produits!$C$51)</f>
        <v/>
      </c>
      <c r="C113" s="18">
        <f>IF(N('Janvier'!X52)=0,"",N('Janvier'!X52))</f>
        <v/>
      </c>
      <c r="D113" s="18">
        <f>IF(N('Février'!X52)=0,"",N('Février'!X52))</f>
        <v/>
      </c>
      <c r="E113" s="18">
        <f>IF(N('Mars'!X52)=0,"",N('Mars'!X52))</f>
        <v/>
      </c>
      <c r="F113" s="18">
        <f>IF(N('Avril'!X52)=0,"",N('Avril'!X52))</f>
        <v/>
      </c>
      <c r="G113" s="18">
        <f>IF(N('Mai'!X52)=0,"",N('Mai'!X52))</f>
        <v/>
      </c>
      <c r="H113" s="18">
        <f>IF(N('Juin'!X52)=0,"",N('Juin'!X52))</f>
        <v/>
      </c>
      <c r="I113" s="18">
        <f>IF(N('Juillet'!X52)=0,"",N('Juillet'!X52))</f>
        <v/>
      </c>
      <c r="J113" s="18">
        <f>IF(N('Août'!X52)=0,"",N('Août'!X52))</f>
        <v/>
      </c>
      <c r="K113" s="18">
        <f>IF(N('Septembre'!X52)=0,"",N('Septembre'!X52))</f>
        <v/>
      </c>
      <c r="L113" s="18">
        <f>IF(N('Octobre'!X52)=0,"",N('Octobre'!X52))</f>
        <v/>
      </c>
      <c r="M113" s="18">
        <f>IF(N('Novembre'!X52)=0,"",N('Novembre'!X52))</f>
        <v/>
      </c>
      <c r="N113" s="18">
        <f>IF(N('Décembre'!X52)=0,"",N('Décembre'!X52))</f>
        <v/>
      </c>
      <c r="O113" s="36">
        <f>IF(COUNT(C113:N113)=0,"",SUM(C113:N113))</f>
        <v/>
      </c>
    </row>
    <row r="114">
      <c r="A114" s="33">
        <f>IF(Produits!$A$52="","",Produits!$A$52)</f>
        <v/>
      </c>
      <c r="B114" s="34">
        <f>IF(Produits!$A$52="","",Produits!$C$52)</f>
        <v/>
      </c>
      <c r="C114" s="18">
        <f>IF(N('Janvier'!X53)=0,"",N('Janvier'!X53))</f>
        <v/>
      </c>
      <c r="D114" s="18">
        <f>IF(N('Février'!X53)=0,"",N('Février'!X53))</f>
        <v/>
      </c>
      <c r="E114" s="18">
        <f>IF(N('Mars'!X53)=0,"",N('Mars'!X53))</f>
        <v/>
      </c>
      <c r="F114" s="18">
        <f>IF(N('Avril'!X53)=0,"",N('Avril'!X53))</f>
        <v/>
      </c>
      <c r="G114" s="18">
        <f>IF(N('Mai'!X53)=0,"",N('Mai'!X53))</f>
        <v/>
      </c>
      <c r="H114" s="18">
        <f>IF(N('Juin'!X53)=0,"",N('Juin'!X53))</f>
        <v/>
      </c>
      <c r="I114" s="18">
        <f>IF(N('Juillet'!X53)=0,"",N('Juillet'!X53))</f>
        <v/>
      </c>
      <c r="J114" s="18">
        <f>IF(N('Août'!X53)=0,"",N('Août'!X53))</f>
        <v/>
      </c>
      <c r="K114" s="18">
        <f>IF(N('Septembre'!X53)=0,"",N('Septembre'!X53))</f>
        <v/>
      </c>
      <c r="L114" s="18">
        <f>IF(N('Octobre'!X53)=0,"",N('Octobre'!X53))</f>
        <v/>
      </c>
      <c r="M114" s="18">
        <f>IF(N('Novembre'!X53)=0,"",N('Novembre'!X53))</f>
        <v/>
      </c>
      <c r="N114" s="18">
        <f>IF(N('Décembre'!X53)=0,"",N('Décembre'!X53))</f>
        <v/>
      </c>
      <c r="O114" s="36">
        <f>IF(COUNT(C114:N114)=0,"",SUM(C114:N114))</f>
        <v/>
      </c>
    </row>
    <row r="115">
      <c r="A115" s="33">
        <f>IF(Produits!$A$54="","",Produits!$A$54)</f>
        <v/>
      </c>
      <c r="B115" s="34">
        <f>IF(Produits!$A$54="","",Produits!$C$54)</f>
        <v/>
      </c>
      <c r="C115" s="18">
        <f>IF(N('Janvier'!X55)=0,"",N('Janvier'!X55))</f>
        <v/>
      </c>
      <c r="D115" s="18">
        <f>IF(N('Février'!X55)=0,"",N('Février'!X55))</f>
        <v/>
      </c>
      <c r="E115" s="18">
        <f>IF(N('Mars'!X55)=0,"",N('Mars'!X55))</f>
        <v/>
      </c>
      <c r="F115" s="18">
        <f>IF(N('Avril'!X55)=0,"",N('Avril'!X55))</f>
        <v/>
      </c>
      <c r="G115" s="18">
        <f>IF(N('Mai'!X55)=0,"",N('Mai'!X55))</f>
        <v/>
      </c>
      <c r="H115" s="18">
        <f>IF(N('Juin'!X55)=0,"",N('Juin'!X55))</f>
        <v/>
      </c>
      <c r="I115" s="18">
        <f>IF(N('Juillet'!X55)=0,"",N('Juillet'!X55))</f>
        <v/>
      </c>
      <c r="J115" s="18">
        <f>IF(N('Août'!X55)=0,"",N('Août'!X55))</f>
        <v/>
      </c>
      <c r="K115" s="18">
        <f>IF(N('Septembre'!X55)=0,"",N('Septembre'!X55))</f>
        <v/>
      </c>
      <c r="L115" s="18">
        <f>IF(N('Octobre'!X55)=0,"",N('Octobre'!X55))</f>
        <v/>
      </c>
      <c r="M115" s="18">
        <f>IF(N('Novembre'!X55)=0,"",N('Novembre'!X55))</f>
        <v/>
      </c>
      <c r="N115" s="18">
        <f>IF(N('Décembre'!X55)=0,"",N('Décembre'!X55))</f>
        <v/>
      </c>
      <c r="O115" s="36">
        <f>IF(COUNT(C115:N115)=0,"",SUM(C115:N115))</f>
        <v/>
      </c>
    </row>
    <row r="116">
      <c r="A116" s="33">
        <f>IF(Produits!$A$55="","",Produits!$A$55)</f>
        <v/>
      </c>
      <c r="B116" s="34">
        <f>IF(Produits!$A$55="","",Produits!$C$55)</f>
        <v/>
      </c>
      <c r="C116" s="18">
        <f>IF(N('Janvier'!X56)=0,"",N('Janvier'!X56))</f>
        <v/>
      </c>
      <c r="D116" s="18">
        <f>IF(N('Février'!X56)=0,"",N('Février'!X56))</f>
        <v/>
      </c>
      <c r="E116" s="18">
        <f>IF(N('Mars'!X56)=0,"",N('Mars'!X56))</f>
        <v/>
      </c>
      <c r="F116" s="18">
        <f>IF(N('Avril'!X56)=0,"",N('Avril'!X56))</f>
        <v/>
      </c>
      <c r="G116" s="18">
        <f>IF(N('Mai'!X56)=0,"",N('Mai'!X56))</f>
        <v/>
      </c>
      <c r="H116" s="18">
        <f>IF(N('Juin'!X56)=0,"",N('Juin'!X56))</f>
        <v/>
      </c>
      <c r="I116" s="18">
        <f>IF(N('Juillet'!X56)=0,"",N('Juillet'!X56))</f>
        <v/>
      </c>
      <c r="J116" s="18">
        <f>IF(N('Août'!X56)=0,"",N('Août'!X56))</f>
        <v/>
      </c>
      <c r="K116" s="18">
        <f>IF(N('Septembre'!X56)=0,"",N('Septembre'!X56))</f>
        <v/>
      </c>
      <c r="L116" s="18">
        <f>IF(N('Octobre'!X56)=0,"",N('Octobre'!X56))</f>
        <v/>
      </c>
      <c r="M116" s="18">
        <f>IF(N('Novembre'!X56)=0,"",N('Novembre'!X56))</f>
        <v/>
      </c>
      <c r="N116" s="18">
        <f>IF(N('Décembre'!X56)=0,"",N('Décembre'!X56))</f>
        <v/>
      </c>
      <c r="O116" s="36">
        <f>IF(COUNT(C116:N116)=0,"",SUM(C116:N116))</f>
        <v/>
      </c>
    </row>
    <row r="117">
      <c r="A117" s="33">
        <f>IF(Produits!$A$56="","",Produits!$A$56)</f>
        <v/>
      </c>
      <c r="B117" s="34">
        <f>IF(Produits!$A$56="","",Produits!$C$56)</f>
        <v/>
      </c>
      <c r="C117" s="18">
        <f>IF(N('Janvier'!X57)=0,"",N('Janvier'!X57))</f>
        <v/>
      </c>
      <c r="D117" s="18">
        <f>IF(N('Février'!X57)=0,"",N('Février'!X57))</f>
        <v/>
      </c>
      <c r="E117" s="18">
        <f>IF(N('Mars'!X57)=0,"",N('Mars'!X57))</f>
        <v/>
      </c>
      <c r="F117" s="18">
        <f>IF(N('Avril'!X57)=0,"",N('Avril'!X57))</f>
        <v/>
      </c>
      <c r="G117" s="18">
        <f>IF(N('Mai'!X57)=0,"",N('Mai'!X57))</f>
        <v/>
      </c>
      <c r="H117" s="18">
        <f>IF(N('Juin'!X57)=0,"",N('Juin'!X57))</f>
        <v/>
      </c>
      <c r="I117" s="18">
        <f>IF(N('Juillet'!X57)=0,"",N('Juillet'!X57))</f>
        <v/>
      </c>
      <c r="J117" s="18">
        <f>IF(N('Août'!X57)=0,"",N('Août'!X57))</f>
        <v/>
      </c>
      <c r="K117" s="18">
        <f>IF(N('Septembre'!X57)=0,"",N('Septembre'!X57))</f>
        <v/>
      </c>
      <c r="L117" s="18">
        <f>IF(N('Octobre'!X57)=0,"",N('Octobre'!X57))</f>
        <v/>
      </c>
      <c r="M117" s="18">
        <f>IF(N('Novembre'!X57)=0,"",N('Novembre'!X57))</f>
        <v/>
      </c>
      <c r="N117" s="18">
        <f>IF(N('Décembre'!X57)=0,"",N('Décembre'!X57))</f>
        <v/>
      </c>
      <c r="O117" s="36">
        <f>IF(COUNT(C117:N117)=0,"",SUM(C117:N117))</f>
        <v/>
      </c>
    </row>
    <row r="118">
      <c r="A118" s="33">
        <f>IF(Produits!$A$57="","",Produits!$A$57)</f>
        <v/>
      </c>
      <c r="B118" s="34">
        <f>IF(Produits!$A$57="","",Produits!$C$57)</f>
        <v/>
      </c>
      <c r="C118" s="18">
        <f>IF(N('Janvier'!X58)=0,"",N('Janvier'!X58))</f>
        <v/>
      </c>
      <c r="D118" s="18">
        <f>IF(N('Février'!X58)=0,"",N('Février'!X58))</f>
        <v/>
      </c>
      <c r="E118" s="18">
        <f>IF(N('Mars'!X58)=0,"",N('Mars'!X58))</f>
        <v/>
      </c>
      <c r="F118" s="18">
        <f>IF(N('Avril'!X58)=0,"",N('Avril'!X58))</f>
        <v/>
      </c>
      <c r="G118" s="18">
        <f>IF(N('Mai'!X58)=0,"",N('Mai'!X58))</f>
        <v/>
      </c>
      <c r="H118" s="18">
        <f>IF(N('Juin'!X58)=0,"",N('Juin'!X58))</f>
        <v/>
      </c>
      <c r="I118" s="18">
        <f>IF(N('Juillet'!X58)=0,"",N('Juillet'!X58))</f>
        <v/>
      </c>
      <c r="J118" s="18">
        <f>IF(N('Août'!X58)=0,"",N('Août'!X58))</f>
        <v/>
      </c>
      <c r="K118" s="18">
        <f>IF(N('Septembre'!X58)=0,"",N('Septembre'!X58))</f>
        <v/>
      </c>
      <c r="L118" s="18">
        <f>IF(N('Octobre'!X58)=0,"",N('Octobre'!X58))</f>
        <v/>
      </c>
      <c r="M118" s="18">
        <f>IF(N('Novembre'!X58)=0,"",N('Novembre'!X58))</f>
        <v/>
      </c>
      <c r="N118" s="18">
        <f>IF(N('Décembre'!X58)=0,"",N('Décembre'!X58))</f>
        <v/>
      </c>
      <c r="O118" s="36">
        <f>IF(COUNT(C118:N118)=0,"",SUM(C118:N118))</f>
        <v/>
      </c>
    </row>
    <row r="119">
      <c r="A119" s="33">
        <f>IF(Produits!$A$58="","",Produits!$A$58)</f>
        <v/>
      </c>
      <c r="B119" s="34">
        <f>IF(Produits!$A$58="","",Produits!$C$58)</f>
        <v/>
      </c>
      <c r="C119" s="18">
        <f>IF(N('Janvier'!X59)=0,"",N('Janvier'!X59))</f>
        <v/>
      </c>
      <c r="D119" s="18">
        <f>IF(N('Février'!X59)=0,"",N('Février'!X59))</f>
        <v/>
      </c>
      <c r="E119" s="18">
        <f>IF(N('Mars'!X59)=0,"",N('Mars'!X59))</f>
        <v/>
      </c>
      <c r="F119" s="18">
        <f>IF(N('Avril'!X59)=0,"",N('Avril'!X59))</f>
        <v/>
      </c>
      <c r="G119" s="18">
        <f>IF(N('Mai'!X59)=0,"",N('Mai'!X59))</f>
        <v/>
      </c>
      <c r="H119" s="18">
        <f>IF(N('Juin'!X59)=0,"",N('Juin'!X59))</f>
        <v/>
      </c>
      <c r="I119" s="18">
        <f>IF(N('Juillet'!X59)=0,"",N('Juillet'!X59))</f>
        <v/>
      </c>
      <c r="J119" s="18">
        <f>IF(N('Août'!X59)=0,"",N('Août'!X59))</f>
        <v/>
      </c>
      <c r="K119" s="18">
        <f>IF(N('Septembre'!X59)=0,"",N('Septembre'!X59))</f>
        <v/>
      </c>
      <c r="L119" s="18">
        <f>IF(N('Octobre'!X59)=0,"",N('Octobre'!X59))</f>
        <v/>
      </c>
      <c r="M119" s="18">
        <f>IF(N('Novembre'!X59)=0,"",N('Novembre'!X59))</f>
        <v/>
      </c>
      <c r="N119" s="18">
        <f>IF(N('Décembre'!X59)=0,"",N('Décembre'!X59))</f>
        <v/>
      </c>
      <c r="O119" s="36">
        <f>IF(COUNT(C119:N119)=0,"",SUM(C119:N119))</f>
        <v/>
      </c>
    </row>
    <row r="120">
      <c r="A120" s="33">
        <f>IF(Produits!$A$59="","",Produits!$A$59)</f>
        <v/>
      </c>
      <c r="B120" s="34">
        <f>IF(Produits!$A$59="","",Produits!$C$59)</f>
        <v/>
      </c>
      <c r="C120" s="18">
        <f>IF(N('Janvier'!X60)=0,"",N('Janvier'!X60))</f>
        <v/>
      </c>
      <c r="D120" s="18">
        <f>IF(N('Février'!X60)=0,"",N('Février'!X60))</f>
        <v/>
      </c>
      <c r="E120" s="18">
        <f>IF(N('Mars'!X60)=0,"",N('Mars'!X60))</f>
        <v/>
      </c>
      <c r="F120" s="18">
        <f>IF(N('Avril'!X60)=0,"",N('Avril'!X60))</f>
        <v/>
      </c>
      <c r="G120" s="18">
        <f>IF(N('Mai'!X60)=0,"",N('Mai'!X60))</f>
        <v/>
      </c>
      <c r="H120" s="18">
        <f>IF(N('Juin'!X60)=0,"",N('Juin'!X60))</f>
        <v/>
      </c>
      <c r="I120" s="18">
        <f>IF(N('Juillet'!X60)=0,"",N('Juillet'!X60))</f>
        <v/>
      </c>
      <c r="J120" s="18">
        <f>IF(N('Août'!X60)=0,"",N('Août'!X60))</f>
        <v/>
      </c>
      <c r="K120" s="18">
        <f>IF(N('Septembre'!X60)=0,"",N('Septembre'!X60))</f>
        <v/>
      </c>
      <c r="L120" s="18">
        <f>IF(N('Octobre'!X60)=0,"",N('Octobre'!X60))</f>
        <v/>
      </c>
      <c r="M120" s="18">
        <f>IF(N('Novembre'!X60)=0,"",N('Novembre'!X60))</f>
        <v/>
      </c>
      <c r="N120" s="18">
        <f>IF(N('Décembre'!X60)=0,"",N('Décembre'!X60))</f>
        <v/>
      </c>
      <c r="O120" s="36">
        <f>IF(COUNT(C120:N120)=0,"",SUM(C120:N120))</f>
        <v/>
      </c>
    </row>
    <row r="121">
      <c r="A121" s="33">
        <f>IF(Produits!$A$60="","",Produits!$A$60)</f>
        <v/>
      </c>
      <c r="B121" s="34">
        <f>IF(Produits!$A$60="","",Produits!$C$60)</f>
        <v/>
      </c>
      <c r="C121" s="18">
        <f>IF(N('Janvier'!X61)=0,"",N('Janvier'!X61))</f>
        <v/>
      </c>
      <c r="D121" s="18">
        <f>IF(N('Février'!X61)=0,"",N('Février'!X61))</f>
        <v/>
      </c>
      <c r="E121" s="18">
        <f>IF(N('Mars'!X61)=0,"",N('Mars'!X61))</f>
        <v/>
      </c>
      <c r="F121" s="18">
        <f>IF(N('Avril'!X61)=0,"",N('Avril'!X61))</f>
        <v/>
      </c>
      <c r="G121" s="18">
        <f>IF(N('Mai'!X61)=0,"",N('Mai'!X61))</f>
        <v/>
      </c>
      <c r="H121" s="18">
        <f>IF(N('Juin'!X61)=0,"",N('Juin'!X61))</f>
        <v/>
      </c>
      <c r="I121" s="18">
        <f>IF(N('Juillet'!X61)=0,"",N('Juillet'!X61))</f>
        <v/>
      </c>
      <c r="J121" s="18">
        <f>IF(N('Août'!X61)=0,"",N('Août'!X61))</f>
        <v/>
      </c>
      <c r="K121" s="18">
        <f>IF(N('Septembre'!X61)=0,"",N('Septembre'!X61))</f>
        <v/>
      </c>
      <c r="L121" s="18">
        <f>IF(N('Octobre'!X61)=0,"",N('Octobre'!X61))</f>
        <v/>
      </c>
      <c r="M121" s="18">
        <f>IF(N('Novembre'!X61)=0,"",N('Novembre'!X61))</f>
        <v/>
      </c>
      <c r="N121" s="18">
        <f>IF(N('Décembre'!X61)=0,"",N('Décembre'!X61))</f>
        <v/>
      </c>
      <c r="O121" s="36">
        <f>IF(COUNT(C121:N121)=0,"",SUM(C121:N121))</f>
        <v/>
      </c>
    </row>
    <row r="122">
      <c r="A122" s="33">
        <f>IF(Produits!$A$61="","",Produits!$A$61)</f>
        <v/>
      </c>
      <c r="B122" s="34">
        <f>IF(Produits!$A$61="","",Produits!$C$61)</f>
        <v/>
      </c>
      <c r="C122" s="18">
        <f>IF(N('Janvier'!X62)=0,"",N('Janvier'!X62))</f>
        <v/>
      </c>
      <c r="D122" s="18">
        <f>IF(N('Février'!X62)=0,"",N('Février'!X62))</f>
        <v/>
      </c>
      <c r="E122" s="18">
        <f>IF(N('Mars'!X62)=0,"",N('Mars'!X62))</f>
        <v/>
      </c>
      <c r="F122" s="18">
        <f>IF(N('Avril'!X62)=0,"",N('Avril'!X62))</f>
        <v/>
      </c>
      <c r="G122" s="18">
        <f>IF(N('Mai'!X62)=0,"",N('Mai'!X62))</f>
        <v/>
      </c>
      <c r="H122" s="18">
        <f>IF(N('Juin'!X62)=0,"",N('Juin'!X62))</f>
        <v/>
      </c>
      <c r="I122" s="18">
        <f>IF(N('Juillet'!X62)=0,"",N('Juillet'!X62))</f>
        <v/>
      </c>
      <c r="J122" s="18">
        <f>IF(N('Août'!X62)=0,"",N('Août'!X62))</f>
        <v/>
      </c>
      <c r="K122" s="18">
        <f>IF(N('Septembre'!X62)=0,"",N('Septembre'!X62))</f>
        <v/>
      </c>
      <c r="L122" s="18">
        <f>IF(N('Octobre'!X62)=0,"",N('Octobre'!X62))</f>
        <v/>
      </c>
      <c r="M122" s="18">
        <f>IF(N('Novembre'!X62)=0,"",N('Novembre'!X62))</f>
        <v/>
      </c>
      <c r="N122" s="18">
        <f>IF(N('Décembre'!X62)=0,"",N('Décembre'!X62))</f>
        <v/>
      </c>
      <c r="O122" s="36">
        <f>IF(COUNT(C122:N122)=0,"",SUM(C122:N122))</f>
        <v/>
      </c>
    </row>
    <row r="123">
      <c r="A123" s="33">
        <f>IF(Produits!$A$62="","",Produits!$A$62)</f>
        <v/>
      </c>
      <c r="B123" s="34">
        <f>IF(Produits!$A$62="","",Produits!$C$62)</f>
        <v/>
      </c>
      <c r="C123" s="18">
        <f>IF(N('Janvier'!X63)=0,"",N('Janvier'!X63))</f>
        <v/>
      </c>
      <c r="D123" s="18">
        <f>IF(N('Février'!X63)=0,"",N('Février'!X63))</f>
        <v/>
      </c>
      <c r="E123" s="18">
        <f>IF(N('Mars'!X63)=0,"",N('Mars'!X63))</f>
        <v/>
      </c>
      <c r="F123" s="18">
        <f>IF(N('Avril'!X63)=0,"",N('Avril'!X63))</f>
        <v/>
      </c>
      <c r="G123" s="18">
        <f>IF(N('Mai'!X63)=0,"",N('Mai'!X63))</f>
        <v/>
      </c>
      <c r="H123" s="18">
        <f>IF(N('Juin'!X63)=0,"",N('Juin'!X63))</f>
        <v/>
      </c>
      <c r="I123" s="18">
        <f>IF(N('Juillet'!X63)=0,"",N('Juillet'!X63))</f>
        <v/>
      </c>
      <c r="J123" s="18">
        <f>IF(N('Août'!X63)=0,"",N('Août'!X63))</f>
        <v/>
      </c>
      <c r="K123" s="18">
        <f>IF(N('Septembre'!X63)=0,"",N('Septembre'!X63))</f>
        <v/>
      </c>
      <c r="L123" s="18">
        <f>IF(N('Octobre'!X63)=0,"",N('Octobre'!X63))</f>
        <v/>
      </c>
      <c r="M123" s="18">
        <f>IF(N('Novembre'!X63)=0,"",N('Novembre'!X63))</f>
        <v/>
      </c>
      <c r="N123" s="18">
        <f>IF(N('Décembre'!X63)=0,"",N('Décembre'!X63))</f>
        <v/>
      </c>
      <c r="O123" s="36">
        <f>IF(COUNT(C123:N123)=0,"",SUM(C123:N123))</f>
        <v/>
      </c>
    </row>
    <row r="124">
      <c r="A124" s="33">
        <f>IF(Produits!$A$63="","",Produits!$A$63)</f>
        <v/>
      </c>
      <c r="B124" s="34">
        <f>IF(Produits!$A$63="","",Produits!$C$63)</f>
        <v/>
      </c>
      <c r="C124" s="18">
        <f>IF(N('Janvier'!X64)=0,"",N('Janvier'!X64))</f>
        <v/>
      </c>
      <c r="D124" s="18">
        <f>IF(N('Février'!X64)=0,"",N('Février'!X64))</f>
        <v/>
      </c>
      <c r="E124" s="18">
        <f>IF(N('Mars'!X64)=0,"",N('Mars'!X64))</f>
        <v/>
      </c>
      <c r="F124" s="18">
        <f>IF(N('Avril'!X64)=0,"",N('Avril'!X64))</f>
        <v/>
      </c>
      <c r="G124" s="18">
        <f>IF(N('Mai'!X64)=0,"",N('Mai'!X64))</f>
        <v/>
      </c>
      <c r="H124" s="18">
        <f>IF(N('Juin'!X64)=0,"",N('Juin'!X64))</f>
        <v/>
      </c>
      <c r="I124" s="18">
        <f>IF(N('Juillet'!X64)=0,"",N('Juillet'!X64))</f>
        <v/>
      </c>
      <c r="J124" s="18">
        <f>IF(N('Août'!X64)=0,"",N('Août'!X64))</f>
        <v/>
      </c>
      <c r="K124" s="18">
        <f>IF(N('Septembre'!X64)=0,"",N('Septembre'!X64))</f>
        <v/>
      </c>
      <c r="L124" s="18">
        <f>IF(N('Octobre'!X64)=0,"",N('Octobre'!X64))</f>
        <v/>
      </c>
      <c r="M124" s="18">
        <f>IF(N('Novembre'!X64)=0,"",N('Novembre'!X64))</f>
        <v/>
      </c>
      <c r="N124" s="18">
        <f>IF(N('Décembre'!X64)=0,"",N('Décembre'!X64))</f>
        <v/>
      </c>
      <c r="O124" s="36">
        <f>IF(COUNT(C124:N124)=0,"",SUM(C124:N124))</f>
        <v/>
      </c>
    </row>
    <row r="125">
      <c r="A125" s="33">
        <f>IF(Produits!$A$64="","",Produits!$A$64)</f>
        <v/>
      </c>
      <c r="B125" s="34">
        <f>IF(Produits!$A$64="","",Produits!$C$64)</f>
        <v/>
      </c>
      <c r="C125" s="18">
        <f>IF(N('Janvier'!X65)=0,"",N('Janvier'!X65))</f>
        <v/>
      </c>
      <c r="D125" s="18">
        <f>IF(N('Février'!X65)=0,"",N('Février'!X65))</f>
        <v/>
      </c>
      <c r="E125" s="18">
        <f>IF(N('Mars'!X65)=0,"",N('Mars'!X65))</f>
        <v/>
      </c>
      <c r="F125" s="18">
        <f>IF(N('Avril'!X65)=0,"",N('Avril'!X65))</f>
        <v/>
      </c>
      <c r="G125" s="18">
        <f>IF(N('Mai'!X65)=0,"",N('Mai'!X65))</f>
        <v/>
      </c>
      <c r="H125" s="18">
        <f>IF(N('Juin'!X65)=0,"",N('Juin'!X65))</f>
        <v/>
      </c>
      <c r="I125" s="18">
        <f>IF(N('Juillet'!X65)=0,"",N('Juillet'!X65))</f>
        <v/>
      </c>
      <c r="J125" s="18">
        <f>IF(N('Août'!X65)=0,"",N('Août'!X65))</f>
        <v/>
      </c>
      <c r="K125" s="18">
        <f>IF(N('Septembre'!X65)=0,"",N('Septembre'!X65))</f>
        <v/>
      </c>
      <c r="L125" s="18">
        <f>IF(N('Octobre'!X65)=0,"",N('Octobre'!X65))</f>
        <v/>
      </c>
      <c r="M125" s="18">
        <f>IF(N('Novembre'!X65)=0,"",N('Novembre'!X65))</f>
        <v/>
      </c>
      <c r="N125" s="18">
        <f>IF(N('Décembre'!X65)=0,"",N('Décembre'!X65))</f>
        <v/>
      </c>
      <c r="O125" s="36">
        <f>IF(COUNT(C125:N125)=0,"",SUM(C125:N125))</f>
        <v/>
      </c>
    </row>
    <row r="126">
      <c r="A126" s="33">
        <f>IF(Produits!$A$65="","",Produits!$A$65)</f>
        <v/>
      </c>
      <c r="B126" s="34">
        <f>IF(Produits!$A$65="","",Produits!$C$65)</f>
        <v/>
      </c>
      <c r="C126" s="18">
        <f>IF(N('Janvier'!X66)=0,"",N('Janvier'!X66))</f>
        <v/>
      </c>
      <c r="D126" s="18">
        <f>IF(N('Février'!X66)=0,"",N('Février'!X66))</f>
        <v/>
      </c>
      <c r="E126" s="18">
        <f>IF(N('Mars'!X66)=0,"",N('Mars'!X66))</f>
        <v/>
      </c>
      <c r="F126" s="18">
        <f>IF(N('Avril'!X66)=0,"",N('Avril'!X66))</f>
        <v/>
      </c>
      <c r="G126" s="18">
        <f>IF(N('Mai'!X66)=0,"",N('Mai'!X66))</f>
        <v/>
      </c>
      <c r="H126" s="18">
        <f>IF(N('Juin'!X66)=0,"",N('Juin'!X66))</f>
        <v/>
      </c>
      <c r="I126" s="18">
        <f>IF(N('Juillet'!X66)=0,"",N('Juillet'!X66))</f>
        <v/>
      </c>
      <c r="J126" s="18">
        <f>IF(N('Août'!X66)=0,"",N('Août'!X66))</f>
        <v/>
      </c>
      <c r="K126" s="18">
        <f>IF(N('Septembre'!X66)=0,"",N('Septembre'!X66))</f>
        <v/>
      </c>
      <c r="L126" s="18">
        <f>IF(N('Octobre'!X66)=0,"",N('Octobre'!X66))</f>
        <v/>
      </c>
      <c r="M126" s="18">
        <f>IF(N('Novembre'!X66)=0,"",N('Novembre'!X66))</f>
        <v/>
      </c>
      <c r="N126" s="18">
        <f>IF(N('Décembre'!X66)=0,"",N('Décembre'!X66))</f>
        <v/>
      </c>
      <c r="O126" s="36">
        <f>IF(COUNT(C126:N126)=0,"",SUM(C126:N126))</f>
        <v/>
      </c>
    </row>
    <row r="127">
      <c r="A127" s="33">
        <f>IF(Produits!$A$66="","",Produits!$A$66)</f>
        <v/>
      </c>
      <c r="B127" s="34">
        <f>IF(Produits!$A$66="","",Produits!$C$66)</f>
        <v/>
      </c>
      <c r="C127" s="18">
        <f>IF(N('Janvier'!X67)=0,"",N('Janvier'!X67))</f>
        <v/>
      </c>
      <c r="D127" s="18">
        <f>IF(N('Février'!X67)=0,"",N('Février'!X67))</f>
        <v/>
      </c>
      <c r="E127" s="18">
        <f>IF(N('Mars'!X67)=0,"",N('Mars'!X67))</f>
        <v/>
      </c>
      <c r="F127" s="18">
        <f>IF(N('Avril'!X67)=0,"",N('Avril'!X67))</f>
        <v/>
      </c>
      <c r="G127" s="18">
        <f>IF(N('Mai'!X67)=0,"",N('Mai'!X67))</f>
        <v/>
      </c>
      <c r="H127" s="18">
        <f>IF(N('Juin'!X67)=0,"",N('Juin'!X67))</f>
        <v/>
      </c>
      <c r="I127" s="18">
        <f>IF(N('Juillet'!X67)=0,"",N('Juillet'!X67))</f>
        <v/>
      </c>
      <c r="J127" s="18">
        <f>IF(N('Août'!X67)=0,"",N('Août'!X67))</f>
        <v/>
      </c>
      <c r="K127" s="18">
        <f>IF(N('Septembre'!X67)=0,"",N('Septembre'!X67))</f>
        <v/>
      </c>
      <c r="L127" s="18">
        <f>IF(N('Octobre'!X67)=0,"",N('Octobre'!X67))</f>
        <v/>
      </c>
      <c r="M127" s="18">
        <f>IF(N('Novembre'!X67)=0,"",N('Novembre'!X67))</f>
        <v/>
      </c>
      <c r="N127" s="18">
        <f>IF(N('Décembre'!X67)=0,"",N('Décembre'!X67))</f>
        <v/>
      </c>
      <c r="O127" s="36">
        <f>IF(COUNT(C127:N127)=0,"",SUM(C127:N127))</f>
        <v/>
      </c>
    </row>
    <row r="128">
      <c r="A128" s="33">
        <f>IF(Produits!$A$67="","",Produits!$A$67)</f>
        <v/>
      </c>
      <c r="B128" s="34">
        <f>IF(Produits!$A$67="","",Produits!$C$67)</f>
        <v/>
      </c>
      <c r="C128" s="18">
        <f>IF(N('Janvier'!X68)=0,"",N('Janvier'!X68))</f>
        <v/>
      </c>
      <c r="D128" s="18">
        <f>IF(N('Février'!X68)=0,"",N('Février'!X68))</f>
        <v/>
      </c>
      <c r="E128" s="18">
        <f>IF(N('Mars'!X68)=0,"",N('Mars'!X68))</f>
        <v/>
      </c>
      <c r="F128" s="18">
        <f>IF(N('Avril'!X68)=0,"",N('Avril'!X68))</f>
        <v/>
      </c>
      <c r="G128" s="18">
        <f>IF(N('Mai'!X68)=0,"",N('Mai'!X68))</f>
        <v/>
      </c>
      <c r="H128" s="18">
        <f>IF(N('Juin'!X68)=0,"",N('Juin'!X68))</f>
        <v/>
      </c>
      <c r="I128" s="18">
        <f>IF(N('Juillet'!X68)=0,"",N('Juillet'!X68))</f>
        <v/>
      </c>
      <c r="J128" s="18">
        <f>IF(N('Août'!X68)=0,"",N('Août'!X68))</f>
        <v/>
      </c>
      <c r="K128" s="18">
        <f>IF(N('Septembre'!X68)=0,"",N('Septembre'!X68))</f>
        <v/>
      </c>
      <c r="L128" s="18">
        <f>IF(N('Octobre'!X68)=0,"",N('Octobre'!X68))</f>
        <v/>
      </c>
      <c r="M128" s="18">
        <f>IF(N('Novembre'!X68)=0,"",N('Novembre'!X68))</f>
        <v/>
      </c>
      <c r="N128" s="18">
        <f>IF(N('Décembre'!X68)=0,"",N('Décembre'!X68))</f>
        <v/>
      </c>
      <c r="O128" s="36">
        <f>IF(COUNT(C128:N128)=0,"",SUM(C128:N128))</f>
        <v/>
      </c>
    </row>
    <row r="129">
      <c r="A129" s="33">
        <f>IF(Produits!$A$68="","",Produits!$A$68)</f>
        <v/>
      </c>
      <c r="B129" s="34">
        <f>IF(Produits!$A$68="","",Produits!$C$68)</f>
        <v/>
      </c>
      <c r="C129" s="18">
        <f>IF(N('Janvier'!X69)=0,"",N('Janvier'!X69))</f>
        <v/>
      </c>
      <c r="D129" s="18">
        <f>IF(N('Février'!X69)=0,"",N('Février'!X69))</f>
        <v/>
      </c>
      <c r="E129" s="18">
        <f>IF(N('Mars'!X69)=0,"",N('Mars'!X69))</f>
        <v/>
      </c>
      <c r="F129" s="18">
        <f>IF(N('Avril'!X69)=0,"",N('Avril'!X69))</f>
        <v/>
      </c>
      <c r="G129" s="18">
        <f>IF(N('Mai'!X69)=0,"",N('Mai'!X69))</f>
        <v/>
      </c>
      <c r="H129" s="18">
        <f>IF(N('Juin'!X69)=0,"",N('Juin'!X69))</f>
        <v/>
      </c>
      <c r="I129" s="18">
        <f>IF(N('Juillet'!X69)=0,"",N('Juillet'!X69))</f>
        <v/>
      </c>
      <c r="J129" s="18">
        <f>IF(N('Août'!X69)=0,"",N('Août'!X69))</f>
        <v/>
      </c>
      <c r="K129" s="18">
        <f>IF(N('Septembre'!X69)=0,"",N('Septembre'!X69))</f>
        <v/>
      </c>
      <c r="L129" s="18">
        <f>IF(N('Octobre'!X69)=0,"",N('Octobre'!X69))</f>
        <v/>
      </c>
      <c r="M129" s="18">
        <f>IF(N('Novembre'!X69)=0,"",N('Novembre'!X69))</f>
        <v/>
      </c>
      <c r="N129" s="18">
        <f>IF(N('Décembre'!X69)=0,"",N('Décembre'!X69))</f>
        <v/>
      </c>
      <c r="O129" s="36">
        <f>IF(COUNT(C129:N129)=0,"",SUM(C129:N129))</f>
        <v/>
      </c>
    </row>
    <row r="130">
      <c r="A130" s="15" t="inlineStr">
        <is>
          <t>Total</t>
        </is>
      </c>
      <c r="B130" s="19" t="n"/>
      <c r="C130" s="35">
        <f>SUM(C70:C129)</f>
        <v/>
      </c>
      <c r="D130" s="35">
        <f>SUM(D70:D129)</f>
        <v/>
      </c>
      <c r="E130" s="35">
        <f>SUM(E70:E129)</f>
        <v/>
      </c>
      <c r="F130" s="35">
        <f>SUM(F70:F129)</f>
        <v/>
      </c>
      <c r="G130" s="35">
        <f>SUM(G70:G129)</f>
        <v/>
      </c>
      <c r="H130" s="35">
        <f>SUM(H70:H129)</f>
        <v/>
      </c>
      <c r="I130" s="35">
        <f>SUM(I70:I129)</f>
        <v/>
      </c>
      <c r="J130" s="35">
        <f>SUM(J70:J129)</f>
        <v/>
      </c>
      <c r="K130" s="35">
        <f>SUM(K70:K129)</f>
        <v/>
      </c>
      <c r="L130" s="35">
        <f>SUM(L70:L129)</f>
        <v/>
      </c>
      <c r="M130" s="35">
        <f>SUM(M70:M129)</f>
        <v/>
      </c>
      <c r="N130" s="35">
        <f>SUM(N70:N129)</f>
        <v/>
      </c>
      <c r="O130" s="35">
        <f>SUM(O70:O129)</f>
        <v/>
      </c>
    </row>
    <row r="133">
      <c r="A133" s="14" t="inlineStr">
        <is>
          <t>Stock en fin de mois (dernier comptage)</t>
        </is>
      </c>
    </row>
    <row r="134">
      <c r="A134" s="15" t="inlineStr">
        <is>
          <t>Produit</t>
        </is>
      </c>
      <c r="B134" s="15" t="inlineStr">
        <is>
          <t>Unité</t>
        </is>
      </c>
      <c r="C134" s="15" t="inlineStr">
        <is>
          <t>Janv.</t>
        </is>
      </c>
      <c r="D134" s="15" t="inlineStr">
        <is>
          <t>Févr.</t>
        </is>
      </c>
      <c r="E134" s="15" t="inlineStr">
        <is>
          <t>Mars</t>
        </is>
      </c>
      <c r="F134" s="15" t="inlineStr">
        <is>
          <t>Avr.</t>
        </is>
      </c>
      <c r="G134" s="15" t="inlineStr">
        <is>
          <t>Mai</t>
        </is>
      </c>
      <c r="H134" s="15" t="inlineStr">
        <is>
          <t>Juin</t>
        </is>
      </c>
      <c r="I134" s="15" t="inlineStr">
        <is>
          <t>Juil.</t>
        </is>
      </c>
      <c r="J134" s="15" t="inlineStr">
        <is>
          <t>Août</t>
        </is>
      </c>
      <c r="K134" s="15" t="inlineStr">
        <is>
          <t>Sept.</t>
        </is>
      </c>
      <c r="L134" s="15" t="inlineStr">
        <is>
          <t>Oct.</t>
        </is>
      </c>
      <c r="M134" s="15" t="inlineStr">
        <is>
          <t>Nov.</t>
        </is>
      </c>
      <c r="N134" s="15" t="inlineStr">
        <is>
          <t>Déc.</t>
        </is>
      </c>
      <c r="O134" s="15" t="inlineStr">
        <is>
          <t>Dernier</t>
        </is>
      </c>
    </row>
    <row r="135">
      <c r="A135" s="33">
        <f>IF(Produits!$A$6="","",Produits!$A$6)</f>
        <v/>
      </c>
      <c r="B135" s="34">
        <f>IF(Produits!$A$6="","",Produits!$C$6)</f>
        <v/>
      </c>
      <c r="C135" s="11">
        <f>IF(N('Janvier'!W7)=0,"",N('Janvier'!W7))</f>
        <v/>
      </c>
      <c r="D135" s="11">
        <f>IF(N('Février'!W7)=0,"",N('Février'!W7))</f>
        <v/>
      </c>
      <c r="E135" s="11">
        <f>IF(N('Mars'!W7)=0,"",N('Mars'!W7))</f>
        <v/>
      </c>
      <c r="F135" s="11">
        <f>IF(N('Avril'!W7)=0,"",N('Avril'!W7))</f>
        <v/>
      </c>
      <c r="G135" s="11">
        <f>IF(N('Mai'!W7)=0,"",N('Mai'!W7))</f>
        <v/>
      </c>
      <c r="H135" s="11">
        <f>IF(N('Juin'!W7)=0,"",N('Juin'!W7))</f>
        <v/>
      </c>
      <c r="I135" s="11">
        <f>IF(N('Juillet'!W7)=0,"",N('Juillet'!W7))</f>
        <v/>
      </c>
      <c r="J135" s="11">
        <f>IF(N('Août'!W7)=0,"",N('Août'!W7))</f>
        <v/>
      </c>
      <c r="K135" s="11">
        <f>IF(N('Septembre'!W7)=0,"",N('Septembre'!W7))</f>
        <v/>
      </c>
      <c r="L135" s="11">
        <f>IF(N('Octobre'!W7)=0,"",N('Octobre'!W7))</f>
        <v/>
      </c>
      <c r="M135" s="11">
        <f>IF(N('Novembre'!W7)=0,"",N('Novembre'!W7))</f>
        <v/>
      </c>
      <c r="N135" s="11">
        <f>IF(N('Décembre'!W7)=0,"",N('Décembre'!W7))</f>
        <v/>
      </c>
      <c r="O135" s="22">
        <f>IF(N135&lt;&gt;"",N135,IF(M135&lt;&gt;"",M135,IF(L135&lt;&gt;"",L135,IF(K135&lt;&gt;"",K135,IF(J135&lt;&gt;"",J135,IF(I135&lt;&gt;"",I135,IF(H135&lt;&gt;"",H135,IF(G135&lt;&gt;"",G135,IF(F135&lt;&gt;"",F135,IF(E135&lt;&gt;"",E135,IF(D135&lt;&gt;"",D135,IF(C135&lt;&gt;"",C135,""))))))))))))</f>
        <v/>
      </c>
    </row>
    <row r="136">
      <c r="A136" s="33">
        <f>IF(Produits!$A$7="","",Produits!$A$7)</f>
        <v/>
      </c>
      <c r="B136" s="34">
        <f>IF(Produits!$A$7="","",Produits!$C$7)</f>
        <v/>
      </c>
      <c r="C136" s="11">
        <f>IF(N('Janvier'!W8)=0,"",N('Janvier'!W8))</f>
        <v/>
      </c>
      <c r="D136" s="11">
        <f>IF(N('Février'!W8)=0,"",N('Février'!W8))</f>
        <v/>
      </c>
      <c r="E136" s="11">
        <f>IF(N('Mars'!W8)=0,"",N('Mars'!W8))</f>
        <v/>
      </c>
      <c r="F136" s="11">
        <f>IF(N('Avril'!W8)=0,"",N('Avril'!W8))</f>
        <v/>
      </c>
      <c r="G136" s="11">
        <f>IF(N('Mai'!W8)=0,"",N('Mai'!W8))</f>
        <v/>
      </c>
      <c r="H136" s="11">
        <f>IF(N('Juin'!W8)=0,"",N('Juin'!W8))</f>
        <v/>
      </c>
      <c r="I136" s="11">
        <f>IF(N('Juillet'!W8)=0,"",N('Juillet'!W8))</f>
        <v/>
      </c>
      <c r="J136" s="11">
        <f>IF(N('Août'!W8)=0,"",N('Août'!W8))</f>
        <v/>
      </c>
      <c r="K136" s="11">
        <f>IF(N('Septembre'!W8)=0,"",N('Septembre'!W8))</f>
        <v/>
      </c>
      <c r="L136" s="11">
        <f>IF(N('Octobre'!W8)=0,"",N('Octobre'!W8))</f>
        <v/>
      </c>
      <c r="M136" s="11">
        <f>IF(N('Novembre'!W8)=0,"",N('Novembre'!W8))</f>
        <v/>
      </c>
      <c r="N136" s="11">
        <f>IF(N('Décembre'!W8)=0,"",N('Décembre'!W8))</f>
        <v/>
      </c>
      <c r="O136" s="22">
        <f>IF(N136&lt;&gt;"",N136,IF(M136&lt;&gt;"",M136,IF(L136&lt;&gt;"",L136,IF(K136&lt;&gt;"",K136,IF(J136&lt;&gt;"",J136,IF(I136&lt;&gt;"",I136,IF(H136&lt;&gt;"",H136,IF(G136&lt;&gt;"",G136,IF(F136&lt;&gt;"",F136,IF(E136&lt;&gt;"",E136,IF(D136&lt;&gt;"",D136,IF(C136&lt;&gt;"",C136,""))))))))))))</f>
        <v/>
      </c>
    </row>
    <row r="137">
      <c r="A137" s="33">
        <f>IF(Produits!$A$8="","",Produits!$A$8)</f>
        <v/>
      </c>
      <c r="B137" s="34">
        <f>IF(Produits!$A$8="","",Produits!$C$8)</f>
        <v/>
      </c>
      <c r="C137" s="11">
        <f>IF(N('Janvier'!W9)=0,"",N('Janvier'!W9))</f>
        <v/>
      </c>
      <c r="D137" s="11">
        <f>IF(N('Février'!W9)=0,"",N('Février'!W9))</f>
        <v/>
      </c>
      <c r="E137" s="11">
        <f>IF(N('Mars'!W9)=0,"",N('Mars'!W9))</f>
        <v/>
      </c>
      <c r="F137" s="11">
        <f>IF(N('Avril'!W9)=0,"",N('Avril'!W9))</f>
        <v/>
      </c>
      <c r="G137" s="11">
        <f>IF(N('Mai'!W9)=0,"",N('Mai'!W9))</f>
        <v/>
      </c>
      <c r="H137" s="11">
        <f>IF(N('Juin'!W9)=0,"",N('Juin'!W9))</f>
        <v/>
      </c>
      <c r="I137" s="11">
        <f>IF(N('Juillet'!W9)=0,"",N('Juillet'!W9))</f>
        <v/>
      </c>
      <c r="J137" s="11">
        <f>IF(N('Août'!W9)=0,"",N('Août'!W9))</f>
        <v/>
      </c>
      <c r="K137" s="11">
        <f>IF(N('Septembre'!W9)=0,"",N('Septembre'!W9))</f>
        <v/>
      </c>
      <c r="L137" s="11">
        <f>IF(N('Octobre'!W9)=0,"",N('Octobre'!W9))</f>
        <v/>
      </c>
      <c r="M137" s="11">
        <f>IF(N('Novembre'!W9)=0,"",N('Novembre'!W9))</f>
        <v/>
      </c>
      <c r="N137" s="11">
        <f>IF(N('Décembre'!W9)=0,"",N('Décembre'!W9))</f>
        <v/>
      </c>
      <c r="O137" s="22">
        <f>IF(N137&lt;&gt;"",N137,IF(M137&lt;&gt;"",M137,IF(L137&lt;&gt;"",L137,IF(K137&lt;&gt;"",K137,IF(J137&lt;&gt;"",J137,IF(I137&lt;&gt;"",I137,IF(H137&lt;&gt;"",H137,IF(G137&lt;&gt;"",G137,IF(F137&lt;&gt;"",F137,IF(E137&lt;&gt;"",E137,IF(D137&lt;&gt;"",D137,IF(C137&lt;&gt;"",C137,""))))))))))))</f>
        <v/>
      </c>
    </row>
    <row r="138">
      <c r="A138" s="33">
        <f>IF(Produits!$A$9="","",Produits!$A$9)</f>
        <v/>
      </c>
      <c r="B138" s="34">
        <f>IF(Produits!$A$9="","",Produits!$C$9)</f>
        <v/>
      </c>
      <c r="C138" s="11">
        <f>IF(N('Janvier'!W10)=0,"",N('Janvier'!W10))</f>
        <v/>
      </c>
      <c r="D138" s="11">
        <f>IF(N('Février'!W10)=0,"",N('Février'!W10))</f>
        <v/>
      </c>
      <c r="E138" s="11">
        <f>IF(N('Mars'!W10)=0,"",N('Mars'!W10))</f>
        <v/>
      </c>
      <c r="F138" s="11">
        <f>IF(N('Avril'!W10)=0,"",N('Avril'!W10))</f>
        <v/>
      </c>
      <c r="G138" s="11">
        <f>IF(N('Mai'!W10)=0,"",N('Mai'!W10))</f>
        <v/>
      </c>
      <c r="H138" s="11">
        <f>IF(N('Juin'!W10)=0,"",N('Juin'!W10))</f>
        <v/>
      </c>
      <c r="I138" s="11">
        <f>IF(N('Juillet'!W10)=0,"",N('Juillet'!W10))</f>
        <v/>
      </c>
      <c r="J138" s="11">
        <f>IF(N('Août'!W10)=0,"",N('Août'!W10))</f>
        <v/>
      </c>
      <c r="K138" s="11">
        <f>IF(N('Septembre'!W10)=0,"",N('Septembre'!W10))</f>
        <v/>
      </c>
      <c r="L138" s="11">
        <f>IF(N('Octobre'!W10)=0,"",N('Octobre'!W10))</f>
        <v/>
      </c>
      <c r="M138" s="11">
        <f>IF(N('Novembre'!W10)=0,"",N('Novembre'!W10))</f>
        <v/>
      </c>
      <c r="N138" s="11">
        <f>IF(N('Décembre'!W10)=0,"",N('Décembre'!W10))</f>
        <v/>
      </c>
      <c r="O138" s="22">
        <f>IF(N138&lt;&gt;"",N138,IF(M138&lt;&gt;"",M138,IF(L138&lt;&gt;"",L138,IF(K138&lt;&gt;"",K138,IF(J138&lt;&gt;"",J138,IF(I138&lt;&gt;"",I138,IF(H138&lt;&gt;"",H138,IF(G138&lt;&gt;"",G138,IF(F138&lt;&gt;"",F138,IF(E138&lt;&gt;"",E138,IF(D138&lt;&gt;"",D138,IF(C138&lt;&gt;"",C138,""))))))))))))</f>
        <v/>
      </c>
    </row>
    <row r="139">
      <c r="A139" s="33">
        <f>IF(Produits!$A$10="","",Produits!$A$10)</f>
        <v/>
      </c>
      <c r="B139" s="34">
        <f>IF(Produits!$A$10="","",Produits!$C$10)</f>
        <v/>
      </c>
      <c r="C139" s="11">
        <f>IF(N('Janvier'!W11)=0,"",N('Janvier'!W11))</f>
        <v/>
      </c>
      <c r="D139" s="11">
        <f>IF(N('Février'!W11)=0,"",N('Février'!W11))</f>
        <v/>
      </c>
      <c r="E139" s="11">
        <f>IF(N('Mars'!W11)=0,"",N('Mars'!W11))</f>
        <v/>
      </c>
      <c r="F139" s="11">
        <f>IF(N('Avril'!W11)=0,"",N('Avril'!W11))</f>
        <v/>
      </c>
      <c r="G139" s="11">
        <f>IF(N('Mai'!W11)=0,"",N('Mai'!W11))</f>
        <v/>
      </c>
      <c r="H139" s="11">
        <f>IF(N('Juin'!W11)=0,"",N('Juin'!W11))</f>
        <v/>
      </c>
      <c r="I139" s="11">
        <f>IF(N('Juillet'!W11)=0,"",N('Juillet'!W11))</f>
        <v/>
      </c>
      <c r="J139" s="11">
        <f>IF(N('Août'!W11)=0,"",N('Août'!W11))</f>
        <v/>
      </c>
      <c r="K139" s="11">
        <f>IF(N('Septembre'!W11)=0,"",N('Septembre'!W11))</f>
        <v/>
      </c>
      <c r="L139" s="11">
        <f>IF(N('Octobre'!W11)=0,"",N('Octobre'!W11))</f>
        <v/>
      </c>
      <c r="M139" s="11">
        <f>IF(N('Novembre'!W11)=0,"",N('Novembre'!W11))</f>
        <v/>
      </c>
      <c r="N139" s="11">
        <f>IF(N('Décembre'!W11)=0,"",N('Décembre'!W11))</f>
        <v/>
      </c>
      <c r="O139" s="22">
        <f>IF(N139&lt;&gt;"",N139,IF(M139&lt;&gt;"",M139,IF(L139&lt;&gt;"",L139,IF(K139&lt;&gt;"",K139,IF(J139&lt;&gt;"",J139,IF(I139&lt;&gt;"",I139,IF(H139&lt;&gt;"",H139,IF(G139&lt;&gt;"",G139,IF(F139&lt;&gt;"",F139,IF(E139&lt;&gt;"",E139,IF(D139&lt;&gt;"",D139,IF(C139&lt;&gt;"",C139,""))))))))))))</f>
        <v/>
      </c>
    </row>
    <row r="140">
      <c r="A140" s="33">
        <f>IF(Produits!$A$11="","",Produits!$A$11)</f>
        <v/>
      </c>
      <c r="B140" s="34">
        <f>IF(Produits!$A$11="","",Produits!$C$11)</f>
        <v/>
      </c>
      <c r="C140" s="11">
        <f>IF(N('Janvier'!W12)=0,"",N('Janvier'!W12))</f>
        <v/>
      </c>
      <c r="D140" s="11">
        <f>IF(N('Février'!W12)=0,"",N('Février'!W12))</f>
        <v/>
      </c>
      <c r="E140" s="11">
        <f>IF(N('Mars'!W12)=0,"",N('Mars'!W12))</f>
        <v/>
      </c>
      <c r="F140" s="11">
        <f>IF(N('Avril'!W12)=0,"",N('Avril'!W12))</f>
        <v/>
      </c>
      <c r="G140" s="11">
        <f>IF(N('Mai'!W12)=0,"",N('Mai'!W12))</f>
        <v/>
      </c>
      <c r="H140" s="11">
        <f>IF(N('Juin'!W12)=0,"",N('Juin'!W12))</f>
        <v/>
      </c>
      <c r="I140" s="11">
        <f>IF(N('Juillet'!W12)=0,"",N('Juillet'!W12))</f>
        <v/>
      </c>
      <c r="J140" s="11">
        <f>IF(N('Août'!W12)=0,"",N('Août'!W12))</f>
        <v/>
      </c>
      <c r="K140" s="11">
        <f>IF(N('Septembre'!W12)=0,"",N('Septembre'!W12))</f>
        <v/>
      </c>
      <c r="L140" s="11">
        <f>IF(N('Octobre'!W12)=0,"",N('Octobre'!W12))</f>
        <v/>
      </c>
      <c r="M140" s="11">
        <f>IF(N('Novembre'!W12)=0,"",N('Novembre'!W12))</f>
        <v/>
      </c>
      <c r="N140" s="11">
        <f>IF(N('Décembre'!W12)=0,"",N('Décembre'!W12))</f>
        <v/>
      </c>
      <c r="O140" s="22">
        <f>IF(N140&lt;&gt;"",N140,IF(M140&lt;&gt;"",M140,IF(L140&lt;&gt;"",L140,IF(K140&lt;&gt;"",K140,IF(J140&lt;&gt;"",J140,IF(I140&lt;&gt;"",I140,IF(H140&lt;&gt;"",H140,IF(G140&lt;&gt;"",G140,IF(F140&lt;&gt;"",F140,IF(E140&lt;&gt;"",E140,IF(D140&lt;&gt;"",D140,IF(C140&lt;&gt;"",C140,""))))))))))))</f>
        <v/>
      </c>
    </row>
    <row r="141">
      <c r="A141" s="33">
        <f>IF(Produits!$A$12="","",Produits!$A$12)</f>
        <v/>
      </c>
      <c r="B141" s="34">
        <f>IF(Produits!$A$12="","",Produits!$C$12)</f>
        <v/>
      </c>
      <c r="C141" s="11">
        <f>IF(N('Janvier'!W13)=0,"",N('Janvier'!W13))</f>
        <v/>
      </c>
      <c r="D141" s="11">
        <f>IF(N('Février'!W13)=0,"",N('Février'!W13))</f>
        <v/>
      </c>
      <c r="E141" s="11">
        <f>IF(N('Mars'!W13)=0,"",N('Mars'!W13))</f>
        <v/>
      </c>
      <c r="F141" s="11">
        <f>IF(N('Avril'!W13)=0,"",N('Avril'!W13))</f>
        <v/>
      </c>
      <c r="G141" s="11">
        <f>IF(N('Mai'!W13)=0,"",N('Mai'!W13))</f>
        <v/>
      </c>
      <c r="H141" s="11">
        <f>IF(N('Juin'!W13)=0,"",N('Juin'!W13))</f>
        <v/>
      </c>
      <c r="I141" s="11">
        <f>IF(N('Juillet'!W13)=0,"",N('Juillet'!W13))</f>
        <v/>
      </c>
      <c r="J141" s="11">
        <f>IF(N('Août'!W13)=0,"",N('Août'!W13))</f>
        <v/>
      </c>
      <c r="K141" s="11">
        <f>IF(N('Septembre'!W13)=0,"",N('Septembre'!W13))</f>
        <v/>
      </c>
      <c r="L141" s="11">
        <f>IF(N('Octobre'!W13)=0,"",N('Octobre'!W13))</f>
        <v/>
      </c>
      <c r="M141" s="11">
        <f>IF(N('Novembre'!W13)=0,"",N('Novembre'!W13))</f>
        <v/>
      </c>
      <c r="N141" s="11">
        <f>IF(N('Décembre'!W13)=0,"",N('Décembre'!W13))</f>
        <v/>
      </c>
      <c r="O141" s="22">
        <f>IF(N141&lt;&gt;"",N141,IF(M141&lt;&gt;"",M141,IF(L141&lt;&gt;"",L141,IF(K141&lt;&gt;"",K141,IF(J141&lt;&gt;"",J141,IF(I141&lt;&gt;"",I141,IF(H141&lt;&gt;"",H141,IF(G141&lt;&gt;"",G141,IF(F141&lt;&gt;"",F141,IF(E141&lt;&gt;"",E141,IF(D141&lt;&gt;"",D141,IF(C141&lt;&gt;"",C141,""))))))))))))</f>
        <v/>
      </c>
    </row>
    <row r="142">
      <c r="A142" s="33">
        <f>IF(Produits!$A$13="","",Produits!$A$13)</f>
        <v/>
      </c>
      <c r="B142" s="34">
        <f>IF(Produits!$A$13="","",Produits!$C$13)</f>
        <v/>
      </c>
      <c r="C142" s="11">
        <f>IF(N('Janvier'!W14)=0,"",N('Janvier'!W14))</f>
        <v/>
      </c>
      <c r="D142" s="11">
        <f>IF(N('Février'!W14)=0,"",N('Février'!W14))</f>
        <v/>
      </c>
      <c r="E142" s="11">
        <f>IF(N('Mars'!W14)=0,"",N('Mars'!W14))</f>
        <v/>
      </c>
      <c r="F142" s="11">
        <f>IF(N('Avril'!W14)=0,"",N('Avril'!W14))</f>
        <v/>
      </c>
      <c r="G142" s="11">
        <f>IF(N('Mai'!W14)=0,"",N('Mai'!W14))</f>
        <v/>
      </c>
      <c r="H142" s="11">
        <f>IF(N('Juin'!W14)=0,"",N('Juin'!W14))</f>
        <v/>
      </c>
      <c r="I142" s="11">
        <f>IF(N('Juillet'!W14)=0,"",N('Juillet'!W14))</f>
        <v/>
      </c>
      <c r="J142" s="11">
        <f>IF(N('Août'!W14)=0,"",N('Août'!W14))</f>
        <v/>
      </c>
      <c r="K142" s="11">
        <f>IF(N('Septembre'!W14)=0,"",N('Septembre'!W14))</f>
        <v/>
      </c>
      <c r="L142" s="11">
        <f>IF(N('Octobre'!W14)=0,"",N('Octobre'!W14))</f>
        <v/>
      </c>
      <c r="M142" s="11">
        <f>IF(N('Novembre'!W14)=0,"",N('Novembre'!W14))</f>
        <v/>
      </c>
      <c r="N142" s="11">
        <f>IF(N('Décembre'!W14)=0,"",N('Décembre'!W14))</f>
        <v/>
      </c>
      <c r="O142" s="22">
        <f>IF(N142&lt;&gt;"",N142,IF(M142&lt;&gt;"",M142,IF(L142&lt;&gt;"",L142,IF(K142&lt;&gt;"",K142,IF(J142&lt;&gt;"",J142,IF(I142&lt;&gt;"",I142,IF(H142&lt;&gt;"",H142,IF(G142&lt;&gt;"",G142,IF(F142&lt;&gt;"",F142,IF(E142&lt;&gt;"",E142,IF(D142&lt;&gt;"",D142,IF(C142&lt;&gt;"",C142,""))))))))))))</f>
        <v/>
      </c>
    </row>
    <row r="143">
      <c r="A143" s="33">
        <f>IF(Produits!$A$14="","",Produits!$A$14)</f>
        <v/>
      </c>
      <c r="B143" s="34">
        <f>IF(Produits!$A$14="","",Produits!$C$14)</f>
        <v/>
      </c>
      <c r="C143" s="11">
        <f>IF(N('Janvier'!W15)=0,"",N('Janvier'!W15))</f>
        <v/>
      </c>
      <c r="D143" s="11">
        <f>IF(N('Février'!W15)=0,"",N('Février'!W15))</f>
        <v/>
      </c>
      <c r="E143" s="11">
        <f>IF(N('Mars'!W15)=0,"",N('Mars'!W15))</f>
        <v/>
      </c>
      <c r="F143" s="11">
        <f>IF(N('Avril'!W15)=0,"",N('Avril'!W15))</f>
        <v/>
      </c>
      <c r="G143" s="11">
        <f>IF(N('Mai'!W15)=0,"",N('Mai'!W15))</f>
        <v/>
      </c>
      <c r="H143" s="11">
        <f>IF(N('Juin'!W15)=0,"",N('Juin'!W15))</f>
        <v/>
      </c>
      <c r="I143" s="11">
        <f>IF(N('Juillet'!W15)=0,"",N('Juillet'!W15))</f>
        <v/>
      </c>
      <c r="J143" s="11">
        <f>IF(N('Août'!W15)=0,"",N('Août'!W15))</f>
        <v/>
      </c>
      <c r="K143" s="11">
        <f>IF(N('Septembre'!W15)=0,"",N('Septembre'!W15))</f>
        <v/>
      </c>
      <c r="L143" s="11">
        <f>IF(N('Octobre'!W15)=0,"",N('Octobre'!W15))</f>
        <v/>
      </c>
      <c r="M143" s="11">
        <f>IF(N('Novembre'!W15)=0,"",N('Novembre'!W15))</f>
        <v/>
      </c>
      <c r="N143" s="11">
        <f>IF(N('Décembre'!W15)=0,"",N('Décembre'!W15))</f>
        <v/>
      </c>
      <c r="O143" s="22">
        <f>IF(N143&lt;&gt;"",N143,IF(M143&lt;&gt;"",M143,IF(L143&lt;&gt;"",L143,IF(K143&lt;&gt;"",K143,IF(J143&lt;&gt;"",J143,IF(I143&lt;&gt;"",I143,IF(H143&lt;&gt;"",H143,IF(G143&lt;&gt;"",G143,IF(F143&lt;&gt;"",F143,IF(E143&lt;&gt;"",E143,IF(D143&lt;&gt;"",D143,IF(C143&lt;&gt;"",C143,""))))))))))))</f>
        <v/>
      </c>
    </row>
    <row r="144">
      <c r="A144" s="33">
        <f>IF(Produits!$A$15="","",Produits!$A$15)</f>
        <v/>
      </c>
      <c r="B144" s="34">
        <f>IF(Produits!$A$15="","",Produits!$C$15)</f>
        <v/>
      </c>
      <c r="C144" s="11">
        <f>IF(N('Janvier'!W16)=0,"",N('Janvier'!W16))</f>
        <v/>
      </c>
      <c r="D144" s="11">
        <f>IF(N('Février'!W16)=0,"",N('Février'!W16))</f>
        <v/>
      </c>
      <c r="E144" s="11">
        <f>IF(N('Mars'!W16)=0,"",N('Mars'!W16))</f>
        <v/>
      </c>
      <c r="F144" s="11">
        <f>IF(N('Avril'!W16)=0,"",N('Avril'!W16))</f>
        <v/>
      </c>
      <c r="G144" s="11">
        <f>IF(N('Mai'!W16)=0,"",N('Mai'!W16))</f>
        <v/>
      </c>
      <c r="H144" s="11">
        <f>IF(N('Juin'!W16)=0,"",N('Juin'!W16))</f>
        <v/>
      </c>
      <c r="I144" s="11">
        <f>IF(N('Juillet'!W16)=0,"",N('Juillet'!W16))</f>
        <v/>
      </c>
      <c r="J144" s="11">
        <f>IF(N('Août'!W16)=0,"",N('Août'!W16))</f>
        <v/>
      </c>
      <c r="K144" s="11">
        <f>IF(N('Septembre'!W16)=0,"",N('Septembre'!W16))</f>
        <v/>
      </c>
      <c r="L144" s="11">
        <f>IF(N('Octobre'!W16)=0,"",N('Octobre'!W16))</f>
        <v/>
      </c>
      <c r="M144" s="11">
        <f>IF(N('Novembre'!W16)=0,"",N('Novembre'!W16))</f>
        <v/>
      </c>
      <c r="N144" s="11">
        <f>IF(N('Décembre'!W16)=0,"",N('Décembre'!W16))</f>
        <v/>
      </c>
      <c r="O144" s="22">
        <f>IF(N144&lt;&gt;"",N144,IF(M144&lt;&gt;"",M144,IF(L144&lt;&gt;"",L144,IF(K144&lt;&gt;"",K144,IF(J144&lt;&gt;"",J144,IF(I144&lt;&gt;"",I144,IF(H144&lt;&gt;"",H144,IF(G144&lt;&gt;"",G144,IF(F144&lt;&gt;"",F144,IF(E144&lt;&gt;"",E144,IF(D144&lt;&gt;"",D144,IF(C144&lt;&gt;"",C144,""))))))))))))</f>
        <v/>
      </c>
    </row>
    <row r="145">
      <c r="A145" s="33">
        <f>IF(Produits!$A$16="","",Produits!$A$16)</f>
        <v/>
      </c>
      <c r="B145" s="34">
        <f>IF(Produits!$A$16="","",Produits!$C$16)</f>
        <v/>
      </c>
      <c r="C145" s="11">
        <f>IF(N('Janvier'!W17)=0,"",N('Janvier'!W17))</f>
        <v/>
      </c>
      <c r="D145" s="11">
        <f>IF(N('Février'!W17)=0,"",N('Février'!W17))</f>
        <v/>
      </c>
      <c r="E145" s="11">
        <f>IF(N('Mars'!W17)=0,"",N('Mars'!W17))</f>
        <v/>
      </c>
      <c r="F145" s="11">
        <f>IF(N('Avril'!W17)=0,"",N('Avril'!W17))</f>
        <v/>
      </c>
      <c r="G145" s="11">
        <f>IF(N('Mai'!W17)=0,"",N('Mai'!W17))</f>
        <v/>
      </c>
      <c r="H145" s="11">
        <f>IF(N('Juin'!W17)=0,"",N('Juin'!W17))</f>
        <v/>
      </c>
      <c r="I145" s="11">
        <f>IF(N('Juillet'!W17)=0,"",N('Juillet'!W17))</f>
        <v/>
      </c>
      <c r="J145" s="11">
        <f>IF(N('Août'!W17)=0,"",N('Août'!W17))</f>
        <v/>
      </c>
      <c r="K145" s="11">
        <f>IF(N('Septembre'!W17)=0,"",N('Septembre'!W17))</f>
        <v/>
      </c>
      <c r="L145" s="11">
        <f>IF(N('Octobre'!W17)=0,"",N('Octobre'!W17))</f>
        <v/>
      </c>
      <c r="M145" s="11">
        <f>IF(N('Novembre'!W17)=0,"",N('Novembre'!W17))</f>
        <v/>
      </c>
      <c r="N145" s="11">
        <f>IF(N('Décembre'!W17)=0,"",N('Décembre'!W17))</f>
        <v/>
      </c>
      <c r="O145" s="22">
        <f>IF(N145&lt;&gt;"",N145,IF(M145&lt;&gt;"",M145,IF(L145&lt;&gt;"",L145,IF(K145&lt;&gt;"",K145,IF(J145&lt;&gt;"",J145,IF(I145&lt;&gt;"",I145,IF(H145&lt;&gt;"",H145,IF(G145&lt;&gt;"",G145,IF(F145&lt;&gt;"",F145,IF(E145&lt;&gt;"",E145,IF(D145&lt;&gt;"",D145,IF(C145&lt;&gt;"",C145,""))))))))))))</f>
        <v/>
      </c>
    </row>
    <row r="146">
      <c r="A146" s="33">
        <f>IF(Produits!$A$17="","",Produits!$A$17)</f>
        <v/>
      </c>
      <c r="B146" s="34">
        <f>IF(Produits!$A$17="","",Produits!$C$17)</f>
        <v/>
      </c>
      <c r="C146" s="11">
        <f>IF(N('Janvier'!W18)=0,"",N('Janvier'!W18))</f>
        <v/>
      </c>
      <c r="D146" s="11">
        <f>IF(N('Février'!W18)=0,"",N('Février'!W18))</f>
        <v/>
      </c>
      <c r="E146" s="11">
        <f>IF(N('Mars'!W18)=0,"",N('Mars'!W18))</f>
        <v/>
      </c>
      <c r="F146" s="11">
        <f>IF(N('Avril'!W18)=0,"",N('Avril'!W18))</f>
        <v/>
      </c>
      <c r="G146" s="11">
        <f>IF(N('Mai'!W18)=0,"",N('Mai'!W18))</f>
        <v/>
      </c>
      <c r="H146" s="11">
        <f>IF(N('Juin'!W18)=0,"",N('Juin'!W18))</f>
        <v/>
      </c>
      <c r="I146" s="11">
        <f>IF(N('Juillet'!W18)=0,"",N('Juillet'!W18))</f>
        <v/>
      </c>
      <c r="J146" s="11">
        <f>IF(N('Août'!W18)=0,"",N('Août'!W18))</f>
        <v/>
      </c>
      <c r="K146" s="11">
        <f>IF(N('Septembre'!W18)=0,"",N('Septembre'!W18))</f>
        <v/>
      </c>
      <c r="L146" s="11">
        <f>IF(N('Octobre'!W18)=0,"",N('Octobre'!W18))</f>
        <v/>
      </c>
      <c r="M146" s="11">
        <f>IF(N('Novembre'!W18)=0,"",N('Novembre'!W18))</f>
        <v/>
      </c>
      <c r="N146" s="11">
        <f>IF(N('Décembre'!W18)=0,"",N('Décembre'!W18))</f>
        <v/>
      </c>
      <c r="O146" s="22">
        <f>IF(N146&lt;&gt;"",N146,IF(M146&lt;&gt;"",M146,IF(L146&lt;&gt;"",L146,IF(K146&lt;&gt;"",K146,IF(J146&lt;&gt;"",J146,IF(I146&lt;&gt;"",I146,IF(H146&lt;&gt;"",H146,IF(G146&lt;&gt;"",G146,IF(F146&lt;&gt;"",F146,IF(E146&lt;&gt;"",E146,IF(D146&lt;&gt;"",D146,IF(C146&lt;&gt;"",C146,""))))))))))))</f>
        <v/>
      </c>
    </row>
    <row r="147">
      <c r="A147" s="33">
        <f>IF(Produits!$A$18="","",Produits!$A$18)</f>
        <v/>
      </c>
      <c r="B147" s="34">
        <f>IF(Produits!$A$18="","",Produits!$C$18)</f>
        <v/>
      </c>
      <c r="C147" s="11">
        <f>IF(N('Janvier'!W19)=0,"",N('Janvier'!W19))</f>
        <v/>
      </c>
      <c r="D147" s="11">
        <f>IF(N('Février'!W19)=0,"",N('Février'!W19))</f>
        <v/>
      </c>
      <c r="E147" s="11">
        <f>IF(N('Mars'!W19)=0,"",N('Mars'!W19))</f>
        <v/>
      </c>
      <c r="F147" s="11">
        <f>IF(N('Avril'!W19)=0,"",N('Avril'!W19))</f>
        <v/>
      </c>
      <c r="G147" s="11">
        <f>IF(N('Mai'!W19)=0,"",N('Mai'!W19))</f>
        <v/>
      </c>
      <c r="H147" s="11">
        <f>IF(N('Juin'!W19)=0,"",N('Juin'!W19))</f>
        <v/>
      </c>
      <c r="I147" s="11">
        <f>IF(N('Juillet'!W19)=0,"",N('Juillet'!W19))</f>
        <v/>
      </c>
      <c r="J147" s="11">
        <f>IF(N('Août'!W19)=0,"",N('Août'!W19))</f>
        <v/>
      </c>
      <c r="K147" s="11">
        <f>IF(N('Septembre'!W19)=0,"",N('Septembre'!W19))</f>
        <v/>
      </c>
      <c r="L147" s="11">
        <f>IF(N('Octobre'!W19)=0,"",N('Octobre'!W19))</f>
        <v/>
      </c>
      <c r="M147" s="11">
        <f>IF(N('Novembre'!W19)=0,"",N('Novembre'!W19))</f>
        <v/>
      </c>
      <c r="N147" s="11">
        <f>IF(N('Décembre'!W19)=0,"",N('Décembre'!W19))</f>
        <v/>
      </c>
      <c r="O147" s="22">
        <f>IF(N147&lt;&gt;"",N147,IF(M147&lt;&gt;"",M147,IF(L147&lt;&gt;"",L147,IF(K147&lt;&gt;"",K147,IF(J147&lt;&gt;"",J147,IF(I147&lt;&gt;"",I147,IF(H147&lt;&gt;"",H147,IF(G147&lt;&gt;"",G147,IF(F147&lt;&gt;"",F147,IF(E147&lt;&gt;"",E147,IF(D147&lt;&gt;"",D147,IF(C147&lt;&gt;"",C147,""))))))))))))</f>
        <v/>
      </c>
    </row>
    <row r="148">
      <c r="A148" s="33">
        <f>IF(Produits!$A$19="","",Produits!$A$19)</f>
        <v/>
      </c>
      <c r="B148" s="34">
        <f>IF(Produits!$A$19="","",Produits!$C$19)</f>
        <v/>
      </c>
      <c r="C148" s="11">
        <f>IF(N('Janvier'!W20)=0,"",N('Janvier'!W20))</f>
        <v/>
      </c>
      <c r="D148" s="11">
        <f>IF(N('Février'!W20)=0,"",N('Février'!W20))</f>
        <v/>
      </c>
      <c r="E148" s="11">
        <f>IF(N('Mars'!W20)=0,"",N('Mars'!W20))</f>
        <v/>
      </c>
      <c r="F148" s="11">
        <f>IF(N('Avril'!W20)=0,"",N('Avril'!W20))</f>
        <v/>
      </c>
      <c r="G148" s="11">
        <f>IF(N('Mai'!W20)=0,"",N('Mai'!W20))</f>
        <v/>
      </c>
      <c r="H148" s="11">
        <f>IF(N('Juin'!W20)=0,"",N('Juin'!W20))</f>
        <v/>
      </c>
      <c r="I148" s="11">
        <f>IF(N('Juillet'!W20)=0,"",N('Juillet'!W20))</f>
        <v/>
      </c>
      <c r="J148" s="11">
        <f>IF(N('Août'!W20)=0,"",N('Août'!W20))</f>
        <v/>
      </c>
      <c r="K148" s="11">
        <f>IF(N('Septembre'!W20)=0,"",N('Septembre'!W20))</f>
        <v/>
      </c>
      <c r="L148" s="11">
        <f>IF(N('Octobre'!W20)=0,"",N('Octobre'!W20))</f>
        <v/>
      </c>
      <c r="M148" s="11">
        <f>IF(N('Novembre'!W20)=0,"",N('Novembre'!W20))</f>
        <v/>
      </c>
      <c r="N148" s="11">
        <f>IF(N('Décembre'!W20)=0,"",N('Décembre'!W20))</f>
        <v/>
      </c>
      <c r="O148" s="22">
        <f>IF(N148&lt;&gt;"",N148,IF(M148&lt;&gt;"",M148,IF(L148&lt;&gt;"",L148,IF(K148&lt;&gt;"",K148,IF(J148&lt;&gt;"",J148,IF(I148&lt;&gt;"",I148,IF(H148&lt;&gt;"",H148,IF(G148&lt;&gt;"",G148,IF(F148&lt;&gt;"",F148,IF(E148&lt;&gt;"",E148,IF(D148&lt;&gt;"",D148,IF(C148&lt;&gt;"",C148,""))))))))))))</f>
        <v/>
      </c>
    </row>
    <row r="149">
      <c r="A149" s="33">
        <f>IF(Produits!$A$20="","",Produits!$A$20)</f>
        <v/>
      </c>
      <c r="B149" s="34">
        <f>IF(Produits!$A$20="","",Produits!$C$20)</f>
        <v/>
      </c>
      <c r="C149" s="11">
        <f>IF(N('Janvier'!W21)=0,"",N('Janvier'!W21))</f>
        <v/>
      </c>
      <c r="D149" s="11">
        <f>IF(N('Février'!W21)=0,"",N('Février'!W21))</f>
        <v/>
      </c>
      <c r="E149" s="11">
        <f>IF(N('Mars'!W21)=0,"",N('Mars'!W21))</f>
        <v/>
      </c>
      <c r="F149" s="11">
        <f>IF(N('Avril'!W21)=0,"",N('Avril'!W21))</f>
        <v/>
      </c>
      <c r="G149" s="11">
        <f>IF(N('Mai'!W21)=0,"",N('Mai'!W21))</f>
        <v/>
      </c>
      <c r="H149" s="11">
        <f>IF(N('Juin'!W21)=0,"",N('Juin'!W21))</f>
        <v/>
      </c>
      <c r="I149" s="11">
        <f>IF(N('Juillet'!W21)=0,"",N('Juillet'!W21))</f>
        <v/>
      </c>
      <c r="J149" s="11">
        <f>IF(N('Août'!W21)=0,"",N('Août'!W21))</f>
        <v/>
      </c>
      <c r="K149" s="11">
        <f>IF(N('Septembre'!W21)=0,"",N('Septembre'!W21))</f>
        <v/>
      </c>
      <c r="L149" s="11">
        <f>IF(N('Octobre'!W21)=0,"",N('Octobre'!W21))</f>
        <v/>
      </c>
      <c r="M149" s="11">
        <f>IF(N('Novembre'!W21)=0,"",N('Novembre'!W21))</f>
        <v/>
      </c>
      <c r="N149" s="11">
        <f>IF(N('Décembre'!W21)=0,"",N('Décembre'!W21))</f>
        <v/>
      </c>
      <c r="O149" s="22">
        <f>IF(N149&lt;&gt;"",N149,IF(M149&lt;&gt;"",M149,IF(L149&lt;&gt;"",L149,IF(K149&lt;&gt;"",K149,IF(J149&lt;&gt;"",J149,IF(I149&lt;&gt;"",I149,IF(H149&lt;&gt;"",H149,IF(G149&lt;&gt;"",G149,IF(F149&lt;&gt;"",F149,IF(E149&lt;&gt;"",E149,IF(D149&lt;&gt;"",D149,IF(C149&lt;&gt;"",C149,""))))))))))))</f>
        <v/>
      </c>
    </row>
    <row r="150">
      <c r="A150" s="33">
        <f>IF(Produits!$A$22="","",Produits!$A$22)</f>
        <v/>
      </c>
      <c r="B150" s="34">
        <f>IF(Produits!$A$22="","",Produits!$C$22)</f>
        <v/>
      </c>
      <c r="C150" s="11">
        <f>IF(N('Janvier'!W23)=0,"",N('Janvier'!W23))</f>
        <v/>
      </c>
      <c r="D150" s="11">
        <f>IF(N('Février'!W23)=0,"",N('Février'!W23))</f>
        <v/>
      </c>
      <c r="E150" s="11">
        <f>IF(N('Mars'!W23)=0,"",N('Mars'!W23))</f>
        <v/>
      </c>
      <c r="F150" s="11">
        <f>IF(N('Avril'!W23)=0,"",N('Avril'!W23))</f>
        <v/>
      </c>
      <c r="G150" s="11">
        <f>IF(N('Mai'!W23)=0,"",N('Mai'!W23))</f>
        <v/>
      </c>
      <c r="H150" s="11">
        <f>IF(N('Juin'!W23)=0,"",N('Juin'!W23))</f>
        <v/>
      </c>
      <c r="I150" s="11">
        <f>IF(N('Juillet'!W23)=0,"",N('Juillet'!W23))</f>
        <v/>
      </c>
      <c r="J150" s="11">
        <f>IF(N('Août'!W23)=0,"",N('Août'!W23))</f>
        <v/>
      </c>
      <c r="K150" s="11">
        <f>IF(N('Septembre'!W23)=0,"",N('Septembre'!W23))</f>
        <v/>
      </c>
      <c r="L150" s="11">
        <f>IF(N('Octobre'!W23)=0,"",N('Octobre'!W23))</f>
        <v/>
      </c>
      <c r="M150" s="11">
        <f>IF(N('Novembre'!W23)=0,"",N('Novembre'!W23))</f>
        <v/>
      </c>
      <c r="N150" s="11">
        <f>IF(N('Décembre'!W23)=0,"",N('Décembre'!W23))</f>
        <v/>
      </c>
      <c r="O150" s="22">
        <f>IF(N150&lt;&gt;"",N150,IF(M150&lt;&gt;"",M150,IF(L150&lt;&gt;"",L150,IF(K150&lt;&gt;"",K150,IF(J150&lt;&gt;"",J150,IF(I150&lt;&gt;"",I150,IF(H150&lt;&gt;"",H150,IF(G150&lt;&gt;"",G150,IF(F150&lt;&gt;"",F150,IF(E150&lt;&gt;"",E150,IF(D150&lt;&gt;"",D150,IF(C150&lt;&gt;"",C150,""))))))))))))</f>
        <v/>
      </c>
    </row>
    <row r="151">
      <c r="A151" s="33">
        <f>IF(Produits!$A$23="","",Produits!$A$23)</f>
        <v/>
      </c>
      <c r="B151" s="34">
        <f>IF(Produits!$A$23="","",Produits!$C$23)</f>
        <v/>
      </c>
      <c r="C151" s="11">
        <f>IF(N('Janvier'!W24)=0,"",N('Janvier'!W24))</f>
        <v/>
      </c>
      <c r="D151" s="11">
        <f>IF(N('Février'!W24)=0,"",N('Février'!W24))</f>
        <v/>
      </c>
      <c r="E151" s="11">
        <f>IF(N('Mars'!W24)=0,"",N('Mars'!W24))</f>
        <v/>
      </c>
      <c r="F151" s="11">
        <f>IF(N('Avril'!W24)=0,"",N('Avril'!W24))</f>
        <v/>
      </c>
      <c r="G151" s="11">
        <f>IF(N('Mai'!W24)=0,"",N('Mai'!W24))</f>
        <v/>
      </c>
      <c r="H151" s="11">
        <f>IF(N('Juin'!W24)=0,"",N('Juin'!W24))</f>
        <v/>
      </c>
      <c r="I151" s="11">
        <f>IF(N('Juillet'!W24)=0,"",N('Juillet'!W24))</f>
        <v/>
      </c>
      <c r="J151" s="11">
        <f>IF(N('Août'!W24)=0,"",N('Août'!W24))</f>
        <v/>
      </c>
      <c r="K151" s="11">
        <f>IF(N('Septembre'!W24)=0,"",N('Septembre'!W24))</f>
        <v/>
      </c>
      <c r="L151" s="11">
        <f>IF(N('Octobre'!W24)=0,"",N('Octobre'!W24))</f>
        <v/>
      </c>
      <c r="M151" s="11">
        <f>IF(N('Novembre'!W24)=0,"",N('Novembre'!W24))</f>
        <v/>
      </c>
      <c r="N151" s="11">
        <f>IF(N('Décembre'!W24)=0,"",N('Décembre'!W24))</f>
        <v/>
      </c>
      <c r="O151" s="22">
        <f>IF(N151&lt;&gt;"",N151,IF(M151&lt;&gt;"",M151,IF(L151&lt;&gt;"",L151,IF(K151&lt;&gt;"",K151,IF(J151&lt;&gt;"",J151,IF(I151&lt;&gt;"",I151,IF(H151&lt;&gt;"",H151,IF(G151&lt;&gt;"",G151,IF(F151&lt;&gt;"",F151,IF(E151&lt;&gt;"",E151,IF(D151&lt;&gt;"",D151,IF(C151&lt;&gt;"",C151,""))))))))))))</f>
        <v/>
      </c>
    </row>
    <row r="152">
      <c r="A152" s="33">
        <f>IF(Produits!$A$24="","",Produits!$A$24)</f>
        <v/>
      </c>
      <c r="B152" s="34">
        <f>IF(Produits!$A$24="","",Produits!$C$24)</f>
        <v/>
      </c>
      <c r="C152" s="11">
        <f>IF(N('Janvier'!W25)=0,"",N('Janvier'!W25))</f>
        <v/>
      </c>
      <c r="D152" s="11">
        <f>IF(N('Février'!W25)=0,"",N('Février'!W25))</f>
        <v/>
      </c>
      <c r="E152" s="11">
        <f>IF(N('Mars'!W25)=0,"",N('Mars'!W25))</f>
        <v/>
      </c>
      <c r="F152" s="11">
        <f>IF(N('Avril'!W25)=0,"",N('Avril'!W25))</f>
        <v/>
      </c>
      <c r="G152" s="11">
        <f>IF(N('Mai'!W25)=0,"",N('Mai'!W25))</f>
        <v/>
      </c>
      <c r="H152" s="11">
        <f>IF(N('Juin'!W25)=0,"",N('Juin'!W25))</f>
        <v/>
      </c>
      <c r="I152" s="11">
        <f>IF(N('Juillet'!W25)=0,"",N('Juillet'!W25))</f>
        <v/>
      </c>
      <c r="J152" s="11">
        <f>IF(N('Août'!W25)=0,"",N('Août'!W25))</f>
        <v/>
      </c>
      <c r="K152" s="11">
        <f>IF(N('Septembre'!W25)=0,"",N('Septembre'!W25))</f>
        <v/>
      </c>
      <c r="L152" s="11">
        <f>IF(N('Octobre'!W25)=0,"",N('Octobre'!W25))</f>
        <v/>
      </c>
      <c r="M152" s="11">
        <f>IF(N('Novembre'!W25)=0,"",N('Novembre'!W25))</f>
        <v/>
      </c>
      <c r="N152" s="11">
        <f>IF(N('Décembre'!W25)=0,"",N('Décembre'!W25))</f>
        <v/>
      </c>
      <c r="O152" s="22">
        <f>IF(N152&lt;&gt;"",N152,IF(M152&lt;&gt;"",M152,IF(L152&lt;&gt;"",L152,IF(K152&lt;&gt;"",K152,IF(J152&lt;&gt;"",J152,IF(I152&lt;&gt;"",I152,IF(H152&lt;&gt;"",H152,IF(G152&lt;&gt;"",G152,IF(F152&lt;&gt;"",F152,IF(E152&lt;&gt;"",E152,IF(D152&lt;&gt;"",D152,IF(C152&lt;&gt;"",C152,""))))))))))))</f>
        <v/>
      </c>
    </row>
    <row r="153">
      <c r="A153" s="33">
        <f>IF(Produits!$A$25="","",Produits!$A$25)</f>
        <v/>
      </c>
      <c r="B153" s="34">
        <f>IF(Produits!$A$25="","",Produits!$C$25)</f>
        <v/>
      </c>
      <c r="C153" s="11">
        <f>IF(N('Janvier'!W26)=0,"",N('Janvier'!W26))</f>
        <v/>
      </c>
      <c r="D153" s="11">
        <f>IF(N('Février'!W26)=0,"",N('Février'!W26))</f>
        <v/>
      </c>
      <c r="E153" s="11">
        <f>IF(N('Mars'!W26)=0,"",N('Mars'!W26))</f>
        <v/>
      </c>
      <c r="F153" s="11">
        <f>IF(N('Avril'!W26)=0,"",N('Avril'!W26))</f>
        <v/>
      </c>
      <c r="G153" s="11">
        <f>IF(N('Mai'!W26)=0,"",N('Mai'!W26))</f>
        <v/>
      </c>
      <c r="H153" s="11">
        <f>IF(N('Juin'!W26)=0,"",N('Juin'!W26))</f>
        <v/>
      </c>
      <c r="I153" s="11">
        <f>IF(N('Juillet'!W26)=0,"",N('Juillet'!W26))</f>
        <v/>
      </c>
      <c r="J153" s="11">
        <f>IF(N('Août'!W26)=0,"",N('Août'!W26))</f>
        <v/>
      </c>
      <c r="K153" s="11">
        <f>IF(N('Septembre'!W26)=0,"",N('Septembre'!W26))</f>
        <v/>
      </c>
      <c r="L153" s="11">
        <f>IF(N('Octobre'!W26)=0,"",N('Octobre'!W26))</f>
        <v/>
      </c>
      <c r="M153" s="11">
        <f>IF(N('Novembre'!W26)=0,"",N('Novembre'!W26))</f>
        <v/>
      </c>
      <c r="N153" s="11">
        <f>IF(N('Décembre'!W26)=0,"",N('Décembre'!W26))</f>
        <v/>
      </c>
      <c r="O153" s="22">
        <f>IF(N153&lt;&gt;"",N153,IF(M153&lt;&gt;"",M153,IF(L153&lt;&gt;"",L153,IF(K153&lt;&gt;"",K153,IF(J153&lt;&gt;"",J153,IF(I153&lt;&gt;"",I153,IF(H153&lt;&gt;"",H153,IF(G153&lt;&gt;"",G153,IF(F153&lt;&gt;"",F153,IF(E153&lt;&gt;"",E153,IF(D153&lt;&gt;"",D153,IF(C153&lt;&gt;"",C153,""))))))))))))</f>
        <v/>
      </c>
    </row>
    <row r="154">
      <c r="A154" s="33">
        <f>IF(Produits!$A$26="","",Produits!$A$26)</f>
        <v/>
      </c>
      <c r="B154" s="34">
        <f>IF(Produits!$A$26="","",Produits!$C$26)</f>
        <v/>
      </c>
      <c r="C154" s="11">
        <f>IF(N('Janvier'!W27)=0,"",N('Janvier'!W27))</f>
        <v/>
      </c>
      <c r="D154" s="11">
        <f>IF(N('Février'!W27)=0,"",N('Février'!W27))</f>
        <v/>
      </c>
      <c r="E154" s="11">
        <f>IF(N('Mars'!W27)=0,"",N('Mars'!W27))</f>
        <v/>
      </c>
      <c r="F154" s="11">
        <f>IF(N('Avril'!W27)=0,"",N('Avril'!W27))</f>
        <v/>
      </c>
      <c r="G154" s="11">
        <f>IF(N('Mai'!W27)=0,"",N('Mai'!W27))</f>
        <v/>
      </c>
      <c r="H154" s="11">
        <f>IF(N('Juin'!W27)=0,"",N('Juin'!W27))</f>
        <v/>
      </c>
      <c r="I154" s="11">
        <f>IF(N('Juillet'!W27)=0,"",N('Juillet'!W27))</f>
        <v/>
      </c>
      <c r="J154" s="11">
        <f>IF(N('Août'!W27)=0,"",N('Août'!W27))</f>
        <v/>
      </c>
      <c r="K154" s="11">
        <f>IF(N('Septembre'!W27)=0,"",N('Septembre'!W27))</f>
        <v/>
      </c>
      <c r="L154" s="11">
        <f>IF(N('Octobre'!W27)=0,"",N('Octobre'!W27))</f>
        <v/>
      </c>
      <c r="M154" s="11">
        <f>IF(N('Novembre'!W27)=0,"",N('Novembre'!W27))</f>
        <v/>
      </c>
      <c r="N154" s="11">
        <f>IF(N('Décembre'!W27)=0,"",N('Décembre'!W27))</f>
        <v/>
      </c>
      <c r="O154" s="22">
        <f>IF(N154&lt;&gt;"",N154,IF(M154&lt;&gt;"",M154,IF(L154&lt;&gt;"",L154,IF(K154&lt;&gt;"",K154,IF(J154&lt;&gt;"",J154,IF(I154&lt;&gt;"",I154,IF(H154&lt;&gt;"",H154,IF(G154&lt;&gt;"",G154,IF(F154&lt;&gt;"",F154,IF(E154&lt;&gt;"",E154,IF(D154&lt;&gt;"",D154,IF(C154&lt;&gt;"",C154,""))))))))))))</f>
        <v/>
      </c>
    </row>
    <row r="155">
      <c r="A155" s="33">
        <f>IF(Produits!$A$27="","",Produits!$A$27)</f>
        <v/>
      </c>
      <c r="B155" s="34">
        <f>IF(Produits!$A$27="","",Produits!$C$27)</f>
        <v/>
      </c>
      <c r="C155" s="11">
        <f>IF(N('Janvier'!W28)=0,"",N('Janvier'!W28))</f>
        <v/>
      </c>
      <c r="D155" s="11">
        <f>IF(N('Février'!W28)=0,"",N('Février'!W28))</f>
        <v/>
      </c>
      <c r="E155" s="11">
        <f>IF(N('Mars'!W28)=0,"",N('Mars'!W28))</f>
        <v/>
      </c>
      <c r="F155" s="11">
        <f>IF(N('Avril'!W28)=0,"",N('Avril'!W28))</f>
        <v/>
      </c>
      <c r="G155" s="11">
        <f>IF(N('Mai'!W28)=0,"",N('Mai'!W28))</f>
        <v/>
      </c>
      <c r="H155" s="11">
        <f>IF(N('Juin'!W28)=0,"",N('Juin'!W28))</f>
        <v/>
      </c>
      <c r="I155" s="11">
        <f>IF(N('Juillet'!W28)=0,"",N('Juillet'!W28))</f>
        <v/>
      </c>
      <c r="J155" s="11">
        <f>IF(N('Août'!W28)=0,"",N('Août'!W28))</f>
        <v/>
      </c>
      <c r="K155" s="11">
        <f>IF(N('Septembre'!W28)=0,"",N('Septembre'!W28))</f>
        <v/>
      </c>
      <c r="L155" s="11">
        <f>IF(N('Octobre'!W28)=0,"",N('Octobre'!W28))</f>
        <v/>
      </c>
      <c r="M155" s="11">
        <f>IF(N('Novembre'!W28)=0,"",N('Novembre'!W28))</f>
        <v/>
      </c>
      <c r="N155" s="11">
        <f>IF(N('Décembre'!W28)=0,"",N('Décembre'!W28))</f>
        <v/>
      </c>
      <c r="O155" s="22">
        <f>IF(N155&lt;&gt;"",N155,IF(M155&lt;&gt;"",M155,IF(L155&lt;&gt;"",L155,IF(K155&lt;&gt;"",K155,IF(J155&lt;&gt;"",J155,IF(I155&lt;&gt;"",I155,IF(H155&lt;&gt;"",H155,IF(G155&lt;&gt;"",G155,IF(F155&lt;&gt;"",F155,IF(E155&lt;&gt;"",E155,IF(D155&lt;&gt;"",D155,IF(C155&lt;&gt;"",C155,""))))))))))))</f>
        <v/>
      </c>
    </row>
    <row r="156">
      <c r="A156" s="33">
        <f>IF(Produits!$A$28="","",Produits!$A$28)</f>
        <v/>
      </c>
      <c r="B156" s="34">
        <f>IF(Produits!$A$28="","",Produits!$C$28)</f>
        <v/>
      </c>
      <c r="C156" s="11">
        <f>IF(N('Janvier'!W29)=0,"",N('Janvier'!W29))</f>
        <v/>
      </c>
      <c r="D156" s="11">
        <f>IF(N('Février'!W29)=0,"",N('Février'!W29))</f>
        <v/>
      </c>
      <c r="E156" s="11">
        <f>IF(N('Mars'!W29)=0,"",N('Mars'!W29))</f>
        <v/>
      </c>
      <c r="F156" s="11">
        <f>IF(N('Avril'!W29)=0,"",N('Avril'!W29))</f>
        <v/>
      </c>
      <c r="G156" s="11">
        <f>IF(N('Mai'!W29)=0,"",N('Mai'!W29))</f>
        <v/>
      </c>
      <c r="H156" s="11">
        <f>IF(N('Juin'!W29)=0,"",N('Juin'!W29))</f>
        <v/>
      </c>
      <c r="I156" s="11">
        <f>IF(N('Juillet'!W29)=0,"",N('Juillet'!W29))</f>
        <v/>
      </c>
      <c r="J156" s="11">
        <f>IF(N('Août'!W29)=0,"",N('Août'!W29))</f>
        <v/>
      </c>
      <c r="K156" s="11">
        <f>IF(N('Septembre'!W29)=0,"",N('Septembre'!W29))</f>
        <v/>
      </c>
      <c r="L156" s="11">
        <f>IF(N('Octobre'!W29)=0,"",N('Octobre'!W29))</f>
        <v/>
      </c>
      <c r="M156" s="11">
        <f>IF(N('Novembre'!W29)=0,"",N('Novembre'!W29))</f>
        <v/>
      </c>
      <c r="N156" s="11">
        <f>IF(N('Décembre'!W29)=0,"",N('Décembre'!W29))</f>
        <v/>
      </c>
      <c r="O156" s="22">
        <f>IF(N156&lt;&gt;"",N156,IF(M156&lt;&gt;"",M156,IF(L156&lt;&gt;"",L156,IF(K156&lt;&gt;"",K156,IF(J156&lt;&gt;"",J156,IF(I156&lt;&gt;"",I156,IF(H156&lt;&gt;"",H156,IF(G156&lt;&gt;"",G156,IF(F156&lt;&gt;"",F156,IF(E156&lt;&gt;"",E156,IF(D156&lt;&gt;"",D156,IF(C156&lt;&gt;"",C156,""))))))))))))</f>
        <v/>
      </c>
    </row>
    <row r="157">
      <c r="A157" s="33">
        <f>IF(Produits!$A$29="","",Produits!$A$29)</f>
        <v/>
      </c>
      <c r="B157" s="34">
        <f>IF(Produits!$A$29="","",Produits!$C$29)</f>
        <v/>
      </c>
      <c r="C157" s="11">
        <f>IF(N('Janvier'!W30)=0,"",N('Janvier'!W30))</f>
        <v/>
      </c>
      <c r="D157" s="11">
        <f>IF(N('Février'!W30)=0,"",N('Février'!W30))</f>
        <v/>
      </c>
      <c r="E157" s="11">
        <f>IF(N('Mars'!W30)=0,"",N('Mars'!W30))</f>
        <v/>
      </c>
      <c r="F157" s="11">
        <f>IF(N('Avril'!W30)=0,"",N('Avril'!W30))</f>
        <v/>
      </c>
      <c r="G157" s="11">
        <f>IF(N('Mai'!W30)=0,"",N('Mai'!W30))</f>
        <v/>
      </c>
      <c r="H157" s="11">
        <f>IF(N('Juin'!W30)=0,"",N('Juin'!W30))</f>
        <v/>
      </c>
      <c r="I157" s="11">
        <f>IF(N('Juillet'!W30)=0,"",N('Juillet'!W30))</f>
        <v/>
      </c>
      <c r="J157" s="11">
        <f>IF(N('Août'!W30)=0,"",N('Août'!W30))</f>
        <v/>
      </c>
      <c r="K157" s="11">
        <f>IF(N('Septembre'!W30)=0,"",N('Septembre'!W30))</f>
        <v/>
      </c>
      <c r="L157" s="11">
        <f>IF(N('Octobre'!W30)=0,"",N('Octobre'!W30))</f>
        <v/>
      </c>
      <c r="M157" s="11">
        <f>IF(N('Novembre'!W30)=0,"",N('Novembre'!W30))</f>
        <v/>
      </c>
      <c r="N157" s="11">
        <f>IF(N('Décembre'!W30)=0,"",N('Décembre'!W30))</f>
        <v/>
      </c>
      <c r="O157" s="22">
        <f>IF(N157&lt;&gt;"",N157,IF(M157&lt;&gt;"",M157,IF(L157&lt;&gt;"",L157,IF(K157&lt;&gt;"",K157,IF(J157&lt;&gt;"",J157,IF(I157&lt;&gt;"",I157,IF(H157&lt;&gt;"",H157,IF(G157&lt;&gt;"",G157,IF(F157&lt;&gt;"",F157,IF(E157&lt;&gt;"",E157,IF(D157&lt;&gt;"",D157,IF(C157&lt;&gt;"",C157,""))))))))))))</f>
        <v/>
      </c>
    </row>
    <row r="158">
      <c r="A158" s="33">
        <f>IF(Produits!$A$30="","",Produits!$A$30)</f>
        <v/>
      </c>
      <c r="B158" s="34">
        <f>IF(Produits!$A$30="","",Produits!$C$30)</f>
        <v/>
      </c>
      <c r="C158" s="11">
        <f>IF(N('Janvier'!W31)=0,"",N('Janvier'!W31))</f>
        <v/>
      </c>
      <c r="D158" s="11">
        <f>IF(N('Février'!W31)=0,"",N('Février'!W31))</f>
        <v/>
      </c>
      <c r="E158" s="11">
        <f>IF(N('Mars'!W31)=0,"",N('Mars'!W31))</f>
        <v/>
      </c>
      <c r="F158" s="11">
        <f>IF(N('Avril'!W31)=0,"",N('Avril'!W31))</f>
        <v/>
      </c>
      <c r="G158" s="11">
        <f>IF(N('Mai'!W31)=0,"",N('Mai'!W31))</f>
        <v/>
      </c>
      <c r="H158" s="11">
        <f>IF(N('Juin'!W31)=0,"",N('Juin'!W31))</f>
        <v/>
      </c>
      <c r="I158" s="11">
        <f>IF(N('Juillet'!W31)=0,"",N('Juillet'!W31))</f>
        <v/>
      </c>
      <c r="J158" s="11">
        <f>IF(N('Août'!W31)=0,"",N('Août'!W31))</f>
        <v/>
      </c>
      <c r="K158" s="11">
        <f>IF(N('Septembre'!W31)=0,"",N('Septembre'!W31))</f>
        <v/>
      </c>
      <c r="L158" s="11">
        <f>IF(N('Octobre'!W31)=0,"",N('Octobre'!W31))</f>
        <v/>
      </c>
      <c r="M158" s="11">
        <f>IF(N('Novembre'!W31)=0,"",N('Novembre'!W31))</f>
        <v/>
      </c>
      <c r="N158" s="11">
        <f>IF(N('Décembre'!W31)=0,"",N('Décembre'!W31))</f>
        <v/>
      </c>
      <c r="O158" s="22">
        <f>IF(N158&lt;&gt;"",N158,IF(M158&lt;&gt;"",M158,IF(L158&lt;&gt;"",L158,IF(K158&lt;&gt;"",K158,IF(J158&lt;&gt;"",J158,IF(I158&lt;&gt;"",I158,IF(H158&lt;&gt;"",H158,IF(G158&lt;&gt;"",G158,IF(F158&lt;&gt;"",F158,IF(E158&lt;&gt;"",E158,IF(D158&lt;&gt;"",D158,IF(C158&lt;&gt;"",C158,""))))))))))))</f>
        <v/>
      </c>
    </row>
    <row r="159">
      <c r="A159" s="33">
        <f>IF(Produits!$A$31="","",Produits!$A$31)</f>
        <v/>
      </c>
      <c r="B159" s="34">
        <f>IF(Produits!$A$31="","",Produits!$C$31)</f>
        <v/>
      </c>
      <c r="C159" s="11">
        <f>IF(N('Janvier'!W32)=0,"",N('Janvier'!W32))</f>
        <v/>
      </c>
      <c r="D159" s="11">
        <f>IF(N('Février'!W32)=0,"",N('Février'!W32))</f>
        <v/>
      </c>
      <c r="E159" s="11">
        <f>IF(N('Mars'!W32)=0,"",N('Mars'!W32))</f>
        <v/>
      </c>
      <c r="F159" s="11">
        <f>IF(N('Avril'!W32)=0,"",N('Avril'!W32))</f>
        <v/>
      </c>
      <c r="G159" s="11">
        <f>IF(N('Mai'!W32)=0,"",N('Mai'!W32))</f>
        <v/>
      </c>
      <c r="H159" s="11">
        <f>IF(N('Juin'!W32)=0,"",N('Juin'!W32))</f>
        <v/>
      </c>
      <c r="I159" s="11">
        <f>IF(N('Juillet'!W32)=0,"",N('Juillet'!W32))</f>
        <v/>
      </c>
      <c r="J159" s="11">
        <f>IF(N('Août'!W32)=0,"",N('Août'!W32))</f>
        <v/>
      </c>
      <c r="K159" s="11">
        <f>IF(N('Septembre'!W32)=0,"",N('Septembre'!W32))</f>
        <v/>
      </c>
      <c r="L159" s="11">
        <f>IF(N('Octobre'!W32)=0,"",N('Octobre'!W32))</f>
        <v/>
      </c>
      <c r="M159" s="11">
        <f>IF(N('Novembre'!W32)=0,"",N('Novembre'!W32))</f>
        <v/>
      </c>
      <c r="N159" s="11">
        <f>IF(N('Décembre'!W32)=0,"",N('Décembre'!W32))</f>
        <v/>
      </c>
      <c r="O159" s="22">
        <f>IF(N159&lt;&gt;"",N159,IF(M159&lt;&gt;"",M159,IF(L159&lt;&gt;"",L159,IF(K159&lt;&gt;"",K159,IF(J159&lt;&gt;"",J159,IF(I159&lt;&gt;"",I159,IF(H159&lt;&gt;"",H159,IF(G159&lt;&gt;"",G159,IF(F159&lt;&gt;"",F159,IF(E159&lt;&gt;"",E159,IF(D159&lt;&gt;"",D159,IF(C159&lt;&gt;"",C159,""))))))))))))</f>
        <v/>
      </c>
    </row>
    <row r="160">
      <c r="A160" s="33">
        <f>IF(Produits!$A$32="","",Produits!$A$32)</f>
        <v/>
      </c>
      <c r="B160" s="34">
        <f>IF(Produits!$A$32="","",Produits!$C$32)</f>
        <v/>
      </c>
      <c r="C160" s="11">
        <f>IF(N('Janvier'!W33)=0,"",N('Janvier'!W33))</f>
        <v/>
      </c>
      <c r="D160" s="11">
        <f>IF(N('Février'!W33)=0,"",N('Février'!W33))</f>
        <v/>
      </c>
      <c r="E160" s="11">
        <f>IF(N('Mars'!W33)=0,"",N('Mars'!W33))</f>
        <v/>
      </c>
      <c r="F160" s="11">
        <f>IF(N('Avril'!W33)=0,"",N('Avril'!W33))</f>
        <v/>
      </c>
      <c r="G160" s="11">
        <f>IF(N('Mai'!W33)=0,"",N('Mai'!W33))</f>
        <v/>
      </c>
      <c r="H160" s="11">
        <f>IF(N('Juin'!W33)=0,"",N('Juin'!W33))</f>
        <v/>
      </c>
      <c r="I160" s="11">
        <f>IF(N('Juillet'!W33)=0,"",N('Juillet'!W33))</f>
        <v/>
      </c>
      <c r="J160" s="11">
        <f>IF(N('Août'!W33)=0,"",N('Août'!W33))</f>
        <v/>
      </c>
      <c r="K160" s="11">
        <f>IF(N('Septembre'!W33)=0,"",N('Septembre'!W33))</f>
        <v/>
      </c>
      <c r="L160" s="11">
        <f>IF(N('Octobre'!W33)=0,"",N('Octobre'!W33))</f>
        <v/>
      </c>
      <c r="M160" s="11">
        <f>IF(N('Novembre'!W33)=0,"",N('Novembre'!W33))</f>
        <v/>
      </c>
      <c r="N160" s="11">
        <f>IF(N('Décembre'!W33)=0,"",N('Décembre'!W33))</f>
        <v/>
      </c>
      <c r="O160" s="22">
        <f>IF(N160&lt;&gt;"",N160,IF(M160&lt;&gt;"",M160,IF(L160&lt;&gt;"",L160,IF(K160&lt;&gt;"",K160,IF(J160&lt;&gt;"",J160,IF(I160&lt;&gt;"",I160,IF(H160&lt;&gt;"",H160,IF(G160&lt;&gt;"",G160,IF(F160&lt;&gt;"",F160,IF(E160&lt;&gt;"",E160,IF(D160&lt;&gt;"",D160,IF(C160&lt;&gt;"",C160,""))))))))))))</f>
        <v/>
      </c>
    </row>
    <row r="161">
      <c r="A161" s="33">
        <f>IF(Produits!$A$33="","",Produits!$A$33)</f>
        <v/>
      </c>
      <c r="B161" s="34">
        <f>IF(Produits!$A$33="","",Produits!$C$33)</f>
        <v/>
      </c>
      <c r="C161" s="11">
        <f>IF(N('Janvier'!W34)=0,"",N('Janvier'!W34))</f>
        <v/>
      </c>
      <c r="D161" s="11">
        <f>IF(N('Février'!W34)=0,"",N('Février'!W34))</f>
        <v/>
      </c>
      <c r="E161" s="11">
        <f>IF(N('Mars'!W34)=0,"",N('Mars'!W34))</f>
        <v/>
      </c>
      <c r="F161" s="11">
        <f>IF(N('Avril'!W34)=0,"",N('Avril'!W34))</f>
        <v/>
      </c>
      <c r="G161" s="11">
        <f>IF(N('Mai'!W34)=0,"",N('Mai'!W34))</f>
        <v/>
      </c>
      <c r="H161" s="11">
        <f>IF(N('Juin'!W34)=0,"",N('Juin'!W34))</f>
        <v/>
      </c>
      <c r="I161" s="11">
        <f>IF(N('Juillet'!W34)=0,"",N('Juillet'!W34))</f>
        <v/>
      </c>
      <c r="J161" s="11">
        <f>IF(N('Août'!W34)=0,"",N('Août'!W34))</f>
        <v/>
      </c>
      <c r="K161" s="11">
        <f>IF(N('Septembre'!W34)=0,"",N('Septembre'!W34))</f>
        <v/>
      </c>
      <c r="L161" s="11">
        <f>IF(N('Octobre'!W34)=0,"",N('Octobre'!W34))</f>
        <v/>
      </c>
      <c r="M161" s="11">
        <f>IF(N('Novembre'!W34)=0,"",N('Novembre'!W34))</f>
        <v/>
      </c>
      <c r="N161" s="11">
        <f>IF(N('Décembre'!W34)=0,"",N('Décembre'!W34))</f>
        <v/>
      </c>
      <c r="O161" s="22">
        <f>IF(N161&lt;&gt;"",N161,IF(M161&lt;&gt;"",M161,IF(L161&lt;&gt;"",L161,IF(K161&lt;&gt;"",K161,IF(J161&lt;&gt;"",J161,IF(I161&lt;&gt;"",I161,IF(H161&lt;&gt;"",H161,IF(G161&lt;&gt;"",G161,IF(F161&lt;&gt;"",F161,IF(E161&lt;&gt;"",E161,IF(D161&lt;&gt;"",D161,IF(C161&lt;&gt;"",C161,""))))))))))))</f>
        <v/>
      </c>
    </row>
    <row r="162">
      <c r="A162" s="33">
        <f>IF(Produits!$A$34="","",Produits!$A$34)</f>
        <v/>
      </c>
      <c r="B162" s="34">
        <f>IF(Produits!$A$34="","",Produits!$C$34)</f>
        <v/>
      </c>
      <c r="C162" s="11">
        <f>IF(N('Janvier'!W35)=0,"",N('Janvier'!W35))</f>
        <v/>
      </c>
      <c r="D162" s="11">
        <f>IF(N('Février'!W35)=0,"",N('Février'!W35))</f>
        <v/>
      </c>
      <c r="E162" s="11">
        <f>IF(N('Mars'!W35)=0,"",N('Mars'!W35))</f>
        <v/>
      </c>
      <c r="F162" s="11">
        <f>IF(N('Avril'!W35)=0,"",N('Avril'!W35))</f>
        <v/>
      </c>
      <c r="G162" s="11">
        <f>IF(N('Mai'!W35)=0,"",N('Mai'!W35))</f>
        <v/>
      </c>
      <c r="H162" s="11">
        <f>IF(N('Juin'!W35)=0,"",N('Juin'!W35))</f>
        <v/>
      </c>
      <c r="I162" s="11">
        <f>IF(N('Juillet'!W35)=0,"",N('Juillet'!W35))</f>
        <v/>
      </c>
      <c r="J162" s="11">
        <f>IF(N('Août'!W35)=0,"",N('Août'!W35))</f>
        <v/>
      </c>
      <c r="K162" s="11">
        <f>IF(N('Septembre'!W35)=0,"",N('Septembre'!W35))</f>
        <v/>
      </c>
      <c r="L162" s="11">
        <f>IF(N('Octobre'!W35)=0,"",N('Octobre'!W35))</f>
        <v/>
      </c>
      <c r="M162" s="11">
        <f>IF(N('Novembre'!W35)=0,"",N('Novembre'!W35))</f>
        <v/>
      </c>
      <c r="N162" s="11">
        <f>IF(N('Décembre'!W35)=0,"",N('Décembre'!W35))</f>
        <v/>
      </c>
      <c r="O162" s="22">
        <f>IF(N162&lt;&gt;"",N162,IF(M162&lt;&gt;"",M162,IF(L162&lt;&gt;"",L162,IF(K162&lt;&gt;"",K162,IF(J162&lt;&gt;"",J162,IF(I162&lt;&gt;"",I162,IF(H162&lt;&gt;"",H162,IF(G162&lt;&gt;"",G162,IF(F162&lt;&gt;"",F162,IF(E162&lt;&gt;"",E162,IF(D162&lt;&gt;"",D162,IF(C162&lt;&gt;"",C162,""))))))))))))</f>
        <v/>
      </c>
    </row>
    <row r="163">
      <c r="A163" s="33">
        <f>IF(Produits!$A$35="","",Produits!$A$35)</f>
        <v/>
      </c>
      <c r="B163" s="34">
        <f>IF(Produits!$A$35="","",Produits!$C$35)</f>
        <v/>
      </c>
      <c r="C163" s="11">
        <f>IF(N('Janvier'!W36)=0,"",N('Janvier'!W36))</f>
        <v/>
      </c>
      <c r="D163" s="11">
        <f>IF(N('Février'!W36)=0,"",N('Février'!W36))</f>
        <v/>
      </c>
      <c r="E163" s="11">
        <f>IF(N('Mars'!W36)=0,"",N('Mars'!W36))</f>
        <v/>
      </c>
      <c r="F163" s="11">
        <f>IF(N('Avril'!W36)=0,"",N('Avril'!W36))</f>
        <v/>
      </c>
      <c r="G163" s="11">
        <f>IF(N('Mai'!W36)=0,"",N('Mai'!W36))</f>
        <v/>
      </c>
      <c r="H163" s="11">
        <f>IF(N('Juin'!W36)=0,"",N('Juin'!W36))</f>
        <v/>
      </c>
      <c r="I163" s="11">
        <f>IF(N('Juillet'!W36)=0,"",N('Juillet'!W36))</f>
        <v/>
      </c>
      <c r="J163" s="11">
        <f>IF(N('Août'!W36)=0,"",N('Août'!W36))</f>
        <v/>
      </c>
      <c r="K163" s="11">
        <f>IF(N('Septembre'!W36)=0,"",N('Septembre'!W36))</f>
        <v/>
      </c>
      <c r="L163" s="11">
        <f>IF(N('Octobre'!W36)=0,"",N('Octobre'!W36))</f>
        <v/>
      </c>
      <c r="M163" s="11">
        <f>IF(N('Novembre'!W36)=0,"",N('Novembre'!W36))</f>
        <v/>
      </c>
      <c r="N163" s="11">
        <f>IF(N('Décembre'!W36)=0,"",N('Décembre'!W36))</f>
        <v/>
      </c>
      <c r="O163" s="22">
        <f>IF(N163&lt;&gt;"",N163,IF(M163&lt;&gt;"",M163,IF(L163&lt;&gt;"",L163,IF(K163&lt;&gt;"",K163,IF(J163&lt;&gt;"",J163,IF(I163&lt;&gt;"",I163,IF(H163&lt;&gt;"",H163,IF(G163&lt;&gt;"",G163,IF(F163&lt;&gt;"",F163,IF(E163&lt;&gt;"",E163,IF(D163&lt;&gt;"",D163,IF(C163&lt;&gt;"",C163,""))))))))))))</f>
        <v/>
      </c>
    </row>
    <row r="164">
      <c r="A164" s="33">
        <f>IF(Produits!$A$36="","",Produits!$A$36)</f>
        <v/>
      </c>
      <c r="B164" s="34">
        <f>IF(Produits!$A$36="","",Produits!$C$36)</f>
        <v/>
      </c>
      <c r="C164" s="11">
        <f>IF(N('Janvier'!W37)=0,"",N('Janvier'!W37))</f>
        <v/>
      </c>
      <c r="D164" s="11">
        <f>IF(N('Février'!W37)=0,"",N('Février'!W37))</f>
        <v/>
      </c>
      <c r="E164" s="11">
        <f>IF(N('Mars'!W37)=0,"",N('Mars'!W37))</f>
        <v/>
      </c>
      <c r="F164" s="11">
        <f>IF(N('Avril'!W37)=0,"",N('Avril'!W37))</f>
        <v/>
      </c>
      <c r="G164" s="11">
        <f>IF(N('Mai'!W37)=0,"",N('Mai'!W37))</f>
        <v/>
      </c>
      <c r="H164" s="11">
        <f>IF(N('Juin'!W37)=0,"",N('Juin'!W37))</f>
        <v/>
      </c>
      <c r="I164" s="11">
        <f>IF(N('Juillet'!W37)=0,"",N('Juillet'!W37))</f>
        <v/>
      </c>
      <c r="J164" s="11">
        <f>IF(N('Août'!W37)=0,"",N('Août'!W37))</f>
        <v/>
      </c>
      <c r="K164" s="11">
        <f>IF(N('Septembre'!W37)=0,"",N('Septembre'!W37))</f>
        <v/>
      </c>
      <c r="L164" s="11">
        <f>IF(N('Octobre'!W37)=0,"",N('Octobre'!W37))</f>
        <v/>
      </c>
      <c r="M164" s="11">
        <f>IF(N('Novembre'!W37)=0,"",N('Novembre'!W37))</f>
        <v/>
      </c>
      <c r="N164" s="11">
        <f>IF(N('Décembre'!W37)=0,"",N('Décembre'!W37))</f>
        <v/>
      </c>
      <c r="O164" s="22">
        <f>IF(N164&lt;&gt;"",N164,IF(M164&lt;&gt;"",M164,IF(L164&lt;&gt;"",L164,IF(K164&lt;&gt;"",K164,IF(J164&lt;&gt;"",J164,IF(I164&lt;&gt;"",I164,IF(H164&lt;&gt;"",H164,IF(G164&lt;&gt;"",G164,IF(F164&lt;&gt;"",F164,IF(E164&lt;&gt;"",E164,IF(D164&lt;&gt;"",D164,IF(C164&lt;&gt;"",C164,""))))))))))))</f>
        <v/>
      </c>
    </row>
    <row r="165">
      <c r="A165" s="33">
        <f>IF(Produits!$A$38="","",Produits!$A$38)</f>
        <v/>
      </c>
      <c r="B165" s="34">
        <f>IF(Produits!$A$38="","",Produits!$C$38)</f>
        <v/>
      </c>
      <c r="C165" s="11">
        <f>IF(N('Janvier'!W39)=0,"",N('Janvier'!W39))</f>
        <v/>
      </c>
      <c r="D165" s="11">
        <f>IF(N('Février'!W39)=0,"",N('Février'!W39))</f>
        <v/>
      </c>
      <c r="E165" s="11">
        <f>IF(N('Mars'!W39)=0,"",N('Mars'!W39))</f>
        <v/>
      </c>
      <c r="F165" s="11">
        <f>IF(N('Avril'!W39)=0,"",N('Avril'!W39))</f>
        <v/>
      </c>
      <c r="G165" s="11">
        <f>IF(N('Mai'!W39)=0,"",N('Mai'!W39))</f>
        <v/>
      </c>
      <c r="H165" s="11">
        <f>IF(N('Juin'!W39)=0,"",N('Juin'!W39))</f>
        <v/>
      </c>
      <c r="I165" s="11">
        <f>IF(N('Juillet'!W39)=0,"",N('Juillet'!W39))</f>
        <v/>
      </c>
      <c r="J165" s="11">
        <f>IF(N('Août'!W39)=0,"",N('Août'!W39))</f>
        <v/>
      </c>
      <c r="K165" s="11">
        <f>IF(N('Septembre'!W39)=0,"",N('Septembre'!W39))</f>
        <v/>
      </c>
      <c r="L165" s="11">
        <f>IF(N('Octobre'!W39)=0,"",N('Octobre'!W39))</f>
        <v/>
      </c>
      <c r="M165" s="11">
        <f>IF(N('Novembre'!W39)=0,"",N('Novembre'!W39))</f>
        <v/>
      </c>
      <c r="N165" s="11">
        <f>IF(N('Décembre'!W39)=0,"",N('Décembre'!W39))</f>
        <v/>
      </c>
      <c r="O165" s="22">
        <f>IF(N165&lt;&gt;"",N165,IF(M165&lt;&gt;"",M165,IF(L165&lt;&gt;"",L165,IF(K165&lt;&gt;"",K165,IF(J165&lt;&gt;"",J165,IF(I165&lt;&gt;"",I165,IF(H165&lt;&gt;"",H165,IF(G165&lt;&gt;"",G165,IF(F165&lt;&gt;"",F165,IF(E165&lt;&gt;"",E165,IF(D165&lt;&gt;"",D165,IF(C165&lt;&gt;"",C165,""))))))))))))</f>
        <v/>
      </c>
    </row>
    <row r="166">
      <c r="A166" s="33">
        <f>IF(Produits!$A$39="","",Produits!$A$39)</f>
        <v/>
      </c>
      <c r="B166" s="34">
        <f>IF(Produits!$A$39="","",Produits!$C$39)</f>
        <v/>
      </c>
      <c r="C166" s="11">
        <f>IF(N('Janvier'!W40)=0,"",N('Janvier'!W40))</f>
        <v/>
      </c>
      <c r="D166" s="11">
        <f>IF(N('Février'!W40)=0,"",N('Février'!W40))</f>
        <v/>
      </c>
      <c r="E166" s="11">
        <f>IF(N('Mars'!W40)=0,"",N('Mars'!W40))</f>
        <v/>
      </c>
      <c r="F166" s="11">
        <f>IF(N('Avril'!W40)=0,"",N('Avril'!W40))</f>
        <v/>
      </c>
      <c r="G166" s="11">
        <f>IF(N('Mai'!W40)=0,"",N('Mai'!W40))</f>
        <v/>
      </c>
      <c r="H166" s="11">
        <f>IF(N('Juin'!W40)=0,"",N('Juin'!W40))</f>
        <v/>
      </c>
      <c r="I166" s="11">
        <f>IF(N('Juillet'!W40)=0,"",N('Juillet'!W40))</f>
        <v/>
      </c>
      <c r="J166" s="11">
        <f>IF(N('Août'!W40)=0,"",N('Août'!W40))</f>
        <v/>
      </c>
      <c r="K166" s="11">
        <f>IF(N('Septembre'!W40)=0,"",N('Septembre'!W40))</f>
        <v/>
      </c>
      <c r="L166" s="11">
        <f>IF(N('Octobre'!W40)=0,"",N('Octobre'!W40))</f>
        <v/>
      </c>
      <c r="M166" s="11">
        <f>IF(N('Novembre'!W40)=0,"",N('Novembre'!W40))</f>
        <v/>
      </c>
      <c r="N166" s="11">
        <f>IF(N('Décembre'!W40)=0,"",N('Décembre'!W40))</f>
        <v/>
      </c>
      <c r="O166" s="22">
        <f>IF(N166&lt;&gt;"",N166,IF(M166&lt;&gt;"",M166,IF(L166&lt;&gt;"",L166,IF(K166&lt;&gt;"",K166,IF(J166&lt;&gt;"",J166,IF(I166&lt;&gt;"",I166,IF(H166&lt;&gt;"",H166,IF(G166&lt;&gt;"",G166,IF(F166&lt;&gt;"",F166,IF(E166&lt;&gt;"",E166,IF(D166&lt;&gt;"",D166,IF(C166&lt;&gt;"",C166,""))))))))))))</f>
        <v/>
      </c>
    </row>
    <row r="167">
      <c r="A167" s="33">
        <f>IF(Produits!$A$40="","",Produits!$A$40)</f>
        <v/>
      </c>
      <c r="B167" s="34">
        <f>IF(Produits!$A$40="","",Produits!$C$40)</f>
        <v/>
      </c>
      <c r="C167" s="11">
        <f>IF(N('Janvier'!W41)=0,"",N('Janvier'!W41))</f>
        <v/>
      </c>
      <c r="D167" s="11">
        <f>IF(N('Février'!W41)=0,"",N('Février'!W41))</f>
        <v/>
      </c>
      <c r="E167" s="11">
        <f>IF(N('Mars'!W41)=0,"",N('Mars'!W41))</f>
        <v/>
      </c>
      <c r="F167" s="11">
        <f>IF(N('Avril'!W41)=0,"",N('Avril'!W41))</f>
        <v/>
      </c>
      <c r="G167" s="11">
        <f>IF(N('Mai'!W41)=0,"",N('Mai'!W41))</f>
        <v/>
      </c>
      <c r="H167" s="11">
        <f>IF(N('Juin'!W41)=0,"",N('Juin'!W41))</f>
        <v/>
      </c>
      <c r="I167" s="11">
        <f>IF(N('Juillet'!W41)=0,"",N('Juillet'!W41))</f>
        <v/>
      </c>
      <c r="J167" s="11">
        <f>IF(N('Août'!W41)=0,"",N('Août'!W41))</f>
        <v/>
      </c>
      <c r="K167" s="11">
        <f>IF(N('Septembre'!W41)=0,"",N('Septembre'!W41))</f>
        <v/>
      </c>
      <c r="L167" s="11">
        <f>IF(N('Octobre'!W41)=0,"",N('Octobre'!W41))</f>
        <v/>
      </c>
      <c r="M167" s="11">
        <f>IF(N('Novembre'!W41)=0,"",N('Novembre'!W41))</f>
        <v/>
      </c>
      <c r="N167" s="11">
        <f>IF(N('Décembre'!W41)=0,"",N('Décembre'!W41))</f>
        <v/>
      </c>
      <c r="O167" s="22">
        <f>IF(N167&lt;&gt;"",N167,IF(M167&lt;&gt;"",M167,IF(L167&lt;&gt;"",L167,IF(K167&lt;&gt;"",K167,IF(J167&lt;&gt;"",J167,IF(I167&lt;&gt;"",I167,IF(H167&lt;&gt;"",H167,IF(G167&lt;&gt;"",G167,IF(F167&lt;&gt;"",F167,IF(E167&lt;&gt;"",E167,IF(D167&lt;&gt;"",D167,IF(C167&lt;&gt;"",C167,""))))))))))))</f>
        <v/>
      </c>
    </row>
    <row r="168">
      <c r="A168" s="33">
        <f>IF(Produits!$A$41="","",Produits!$A$41)</f>
        <v/>
      </c>
      <c r="B168" s="34">
        <f>IF(Produits!$A$41="","",Produits!$C$41)</f>
        <v/>
      </c>
      <c r="C168" s="11">
        <f>IF(N('Janvier'!W42)=0,"",N('Janvier'!W42))</f>
        <v/>
      </c>
      <c r="D168" s="11">
        <f>IF(N('Février'!W42)=0,"",N('Février'!W42))</f>
        <v/>
      </c>
      <c r="E168" s="11">
        <f>IF(N('Mars'!W42)=0,"",N('Mars'!W42))</f>
        <v/>
      </c>
      <c r="F168" s="11">
        <f>IF(N('Avril'!W42)=0,"",N('Avril'!W42))</f>
        <v/>
      </c>
      <c r="G168" s="11">
        <f>IF(N('Mai'!W42)=0,"",N('Mai'!W42))</f>
        <v/>
      </c>
      <c r="H168" s="11">
        <f>IF(N('Juin'!W42)=0,"",N('Juin'!W42))</f>
        <v/>
      </c>
      <c r="I168" s="11">
        <f>IF(N('Juillet'!W42)=0,"",N('Juillet'!W42))</f>
        <v/>
      </c>
      <c r="J168" s="11">
        <f>IF(N('Août'!W42)=0,"",N('Août'!W42))</f>
        <v/>
      </c>
      <c r="K168" s="11">
        <f>IF(N('Septembre'!W42)=0,"",N('Septembre'!W42))</f>
        <v/>
      </c>
      <c r="L168" s="11">
        <f>IF(N('Octobre'!W42)=0,"",N('Octobre'!W42))</f>
        <v/>
      </c>
      <c r="M168" s="11">
        <f>IF(N('Novembre'!W42)=0,"",N('Novembre'!W42))</f>
        <v/>
      </c>
      <c r="N168" s="11">
        <f>IF(N('Décembre'!W42)=0,"",N('Décembre'!W42))</f>
        <v/>
      </c>
      <c r="O168" s="22">
        <f>IF(N168&lt;&gt;"",N168,IF(M168&lt;&gt;"",M168,IF(L168&lt;&gt;"",L168,IF(K168&lt;&gt;"",K168,IF(J168&lt;&gt;"",J168,IF(I168&lt;&gt;"",I168,IF(H168&lt;&gt;"",H168,IF(G168&lt;&gt;"",G168,IF(F168&lt;&gt;"",F168,IF(E168&lt;&gt;"",E168,IF(D168&lt;&gt;"",D168,IF(C168&lt;&gt;"",C168,""))))))))))))</f>
        <v/>
      </c>
    </row>
    <row r="169">
      <c r="A169" s="33">
        <f>IF(Produits!$A$42="","",Produits!$A$42)</f>
        <v/>
      </c>
      <c r="B169" s="34">
        <f>IF(Produits!$A$42="","",Produits!$C$42)</f>
        <v/>
      </c>
      <c r="C169" s="11">
        <f>IF(N('Janvier'!W43)=0,"",N('Janvier'!W43))</f>
        <v/>
      </c>
      <c r="D169" s="11">
        <f>IF(N('Février'!W43)=0,"",N('Février'!W43))</f>
        <v/>
      </c>
      <c r="E169" s="11">
        <f>IF(N('Mars'!W43)=0,"",N('Mars'!W43))</f>
        <v/>
      </c>
      <c r="F169" s="11">
        <f>IF(N('Avril'!W43)=0,"",N('Avril'!W43))</f>
        <v/>
      </c>
      <c r="G169" s="11">
        <f>IF(N('Mai'!W43)=0,"",N('Mai'!W43))</f>
        <v/>
      </c>
      <c r="H169" s="11">
        <f>IF(N('Juin'!W43)=0,"",N('Juin'!W43))</f>
        <v/>
      </c>
      <c r="I169" s="11">
        <f>IF(N('Juillet'!W43)=0,"",N('Juillet'!W43))</f>
        <v/>
      </c>
      <c r="J169" s="11">
        <f>IF(N('Août'!W43)=0,"",N('Août'!W43))</f>
        <v/>
      </c>
      <c r="K169" s="11">
        <f>IF(N('Septembre'!W43)=0,"",N('Septembre'!W43))</f>
        <v/>
      </c>
      <c r="L169" s="11">
        <f>IF(N('Octobre'!W43)=0,"",N('Octobre'!W43))</f>
        <v/>
      </c>
      <c r="M169" s="11">
        <f>IF(N('Novembre'!W43)=0,"",N('Novembre'!W43))</f>
        <v/>
      </c>
      <c r="N169" s="11">
        <f>IF(N('Décembre'!W43)=0,"",N('Décembre'!W43))</f>
        <v/>
      </c>
      <c r="O169" s="22">
        <f>IF(N169&lt;&gt;"",N169,IF(M169&lt;&gt;"",M169,IF(L169&lt;&gt;"",L169,IF(K169&lt;&gt;"",K169,IF(J169&lt;&gt;"",J169,IF(I169&lt;&gt;"",I169,IF(H169&lt;&gt;"",H169,IF(G169&lt;&gt;"",G169,IF(F169&lt;&gt;"",F169,IF(E169&lt;&gt;"",E169,IF(D169&lt;&gt;"",D169,IF(C169&lt;&gt;"",C169,""))))))))))))</f>
        <v/>
      </c>
    </row>
    <row r="170">
      <c r="A170" s="33">
        <f>IF(Produits!$A$43="","",Produits!$A$43)</f>
        <v/>
      </c>
      <c r="B170" s="34">
        <f>IF(Produits!$A$43="","",Produits!$C$43)</f>
        <v/>
      </c>
      <c r="C170" s="11">
        <f>IF(N('Janvier'!W44)=0,"",N('Janvier'!W44))</f>
        <v/>
      </c>
      <c r="D170" s="11">
        <f>IF(N('Février'!W44)=0,"",N('Février'!W44))</f>
        <v/>
      </c>
      <c r="E170" s="11">
        <f>IF(N('Mars'!W44)=0,"",N('Mars'!W44))</f>
        <v/>
      </c>
      <c r="F170" s="11">
        <f>IF(N('Avril'!W44)=0,"",N('Avril'!W44))</f>
        <v/>
      </c>
      <c r="G170" s="11">
        <f>IF(N('Mai'!W44)=0,"",N('Mai'!W44))</f>
        <v/>
      </c>
      <c r="H170" s="11">
        <f>IF(N('Juin'!W44)=0,"",N('Juin'!W44))</f>
        <v/>
      </c>
      <c r="I170" s="11">
        <f>IF(N('Juillet'!W44)=0,"",N('Juillet'!W44))</f>
        <v/>
      </c>
      <c r="J170" s="11">
        <f>IF(N('Août'!W44)=0,"",N('Août'!W44))</f>
        <v/>
      </c>
      <c r="K170" s="11">
        <f>IF(N('Septembre'!W44)=0,"",N('Septembre'!W44))</f>
        <v/>
      </c>
      <c r="L170" s="11">
        <f>IF(N('Octobre'!W44)=0,"",N('Octobre'!W44))</f>
        <v/>
      </c>
      <c r="M170" s="11">
        <f>IF(N('Novembre'!W44)=0,"",N('Novembre'!W44))</f>
        <v/>
      </c>
      <c r="N170" s="11">
        <f>IF(N('Décembre'!W44)=0,"",N('Décembre'!W44))</f>
        <v/>
      </c>
      <c r="O170" s="22">
        <f>IF(N170&lt;&gt;"",N170,IF(M170&lt;&gt;"",M170,IF(L170&lt;&gt;"",L170,IF(K170&lt;&gt;"",K170,IF(J170&lt;&gt;"",J170,IF(I170&lt;&gt;"",I170,IF(H170&lt;&gt;"",H170,IF(G170&lt;&gt;"",G170,IF(F170&lt;&gt;"",F170,IF(E170&lt;&gt;"",E170,IF(D170&lt;&gt;"",D170,IF(C170&lt;&gt;"",C170,""))))))))))))</f>
        <v/>
      </c>
    </row>
    <row r="171">
      <c r="A171" s="33">
        <f>IF(Produits!$A$44="","",Produits!$A$44)</f>
        <v/>
      </c>
      <c r="B171" s="34">
        <f>IF(Produits!$A$44="","",Produits!$C$44)</f>
        <v/>
      </c>
      <c r="C171" s="11">
        <f>IF(N('Janvier'!W45)=0,"",N('Janvier'!W45))</f>
        <v/>
      </c>
      <c r="D171" s="11">
        <f>IF(N('Février'!W45)=0,"",N('Février'!W45))</f>
        <v/>
      </c>
      <c r="E171" s="11">
        <f>IF(N('Mars'!W45)=0,"",N('Mars'!W45))</f>
        <v/>
      </c>
      <c r="F171" s="11">
        <f>IF(N('Avril'!W45)=0,"",N('Avril'!W45))</f>
        <v/>
      </c>
      <c r="G171" s="11">
        <f>IF(N('Mai'!W45)=0,"",N('Mai'!W45))</f>
        <v/>
      </c>
      <c r="H171" s="11">
        <f>IF(N('Juin'!W45)=0,"",N('Juin'!W45))</f>
        <v/>
      </c>
      <c r="I171" s="11">
        <f>IF(N('Juillet'!W45)=0,"",N('Juillet'!W45))</f>
        <v/>
      </c>
      <c r="J171" s="11">
        <f>IF(N('Août'!W45)=0,"",N('Août'!W45))</f>
        <v/>
      </c>
      <c r="K171" s="11">
        <f>IF(N('Septembre'!W45)=0,"",N('Septembre'!W45))</f>
        <v/>
      </c>
      <c r="L171" s="11">
        <f>IF(N('Octobre'!W45)=0,"",N('Octobre'!W45))</f>
        <v/>
      </c>
      <c r="M171" s="11">
        <f>IF(N('Novembre'!W45)=0,"",N('Novembre'!W45))</f>
        <v/>
      </c>
      <c r="N171" s="11">
        <f>IF(N('Décembre'!W45)=0,"",N('Décembre'!W45))</f>
        <v/>
      </c>
      <c r="O171" s="22">
        <f>IF(N171&lt;&gt;"",N171,IF(M171&lt;&gt;"",M171,IF(L171&lt;&gt;"",L171,IF(K171&lt;&gt;"",K171,IF(J171&lt;&gt;"",J171,IF(I171&lt;&gt;"",I171,IF(H171&lt;&gt;"",H171,IF(G171&lt;&gt;"",G171,IF(F171&lt;&gt;"",F171,IF(E171&lt;&gt;"",E171,IF(D171&lt;&gt;"",D171,IF(C171&lt;&gt;"",C171,""))))))))))))</f>
        <v/>
      </c>
    </row>
    <row r="172">
      <c r="A172" s="33">
        <f>IF(Produits!$A$45="","",Produits!$A$45)</f>
        <v/>
      </c>
      <c r="B172" s="34">
        <f>IF(Produits!$A$45="","",Produits!$C$45)</f>
        <v/>
      </c>
      <c r="C172" s="11">
        <f>IF(N('Janvier'!W46)=0,"",N('Janvier'!W46))</f>
        <v/>
      </c>
      <c r="D172" s="11">
        <f>IF(N('Février'!W46)=0,"",N('Février'!W46))</f>
        <v/>
      </c>
      <c r="E172" s="11">
        <f>IF(N('Mars'!W46)=0,"",N('Mars'!W46))</f>
        <v/>
      </c>
      <c r="F172" s="11">
        <f>IF(N('Avril'!W46)=0,"",N('Avril'!W46))</f>
        <v/>
      </c>
      <c r="G172" s="11">
        <f>IF(N('Mai'!W46)=0,"",N('Mai'!W46))</f>
        <v/>
      </c>
      <c r="H172" s="11">
        <f>IF(N('Juin'!W46)=0,"",N('Juin'!W46))</f>
        <v/>
      </c>
      <c r="I172" s="11">
        <f>IF(N('Juillet'!W46)=0,"",N('Juillet'!W46))</f>
        <v/>
      </c>
      <c r="J172" s="11">
        <f>IF(N('Août'!W46)=0,"",N('Août'!W46))</f>
        <v/>
      </c>
      <c r="K172" s="11">
        <f>IF(N('Septembre'!W46)=0,"",N('Septembre'!W46))</f>
        <v/>
      </c>
      <c r="L172" s="11">
        <f>IF(N('Octobre'!W46)=0,"",N('Octobre'!W46))</f>
        <v/>
      </c>
      <c r="M172" s="11">
        <f>IF(N('Novembre'!W46)=0,"",N('Novembre'!W46))</f>
        <v/>
      </c>
      <c r="N172" s="11">
        <f>IF(N('Décembre'!W46)=0,"",N('Décembre'!W46))</f>
        <v/>
      </c>
      <c r="O172" s="22">
        <f>IF(N172&lt;&gt;"",N172,IF(M172&lt;&gt;"",M172,IF(L172&lt;&gt;"",L172,IF(K172&lt;&gt;"",K172,IF(J172&lt;&gt;"",J172,IF(I172&lt;&gt;"",I172,IF(H172&lt;&gt;"",H172,IF(G172&lt;&gt;"",G172,IF(F172&lt;&gt;"",F172,IF(E172&lt;&gt;"",E172,IF(D172&lt;&gt;"",D172,IF(C172&lt;&gt;"",C172,""))))))))))))</f>
        <v/>
      </c>
    </row>
    <row r="173">
      <c r="A173" s="33">
        <f>IF(Produits!$A$46="","",Produits!$A$46)</f>
        <v/>
      </c>
      <c r="B173" s="34">
        <f>IF(Produits!$A$46="","",Produits!$C$46)</f>
        <v/>
      </c>
      <c r="C173" s="11">
        <f>IF(N('Janvier'!W47)=0,"",N('Janvier'!W47))</f>
        <v/>
      </c>
      <c r="D173" s="11">
        <f>IF(N('Février'!W47)=0,"",N('Février'!W47))</f>
        <v/>
      </c>
      <c r="E173" s="11">
        <f>IF(N('Mars'!W47)=0,"",N('Mars'!W47))</f>
        <v/>
      </c>
      <c r="F173" s="11">
        <f>IF(N('Avril'!W47)=0,"",N('Avril'!W47))</f>
        <v/>
      </c>
      <c r="G173" s="11">
        <f>IF(N('Mai'!W47)=0,"",N('Mai'!W47))</f>
        <v/>
      </c>
      <c r="H173" s="11">
        <f>IF(N('Juin'!W47)=0,"",N('Juin'!W47))</f>
        <v/>
      </c>
      <c r="I173" s="11">
        <f>IF(N('Juillet'!W47)=0,"",N('Juillet'!W47))</f>
        <v/>
      </c>
      <c r="J173" s="11">
        <f>IF(N('Août'!W47)=0,"",N('Août'!W47))</f>
        <v/>
      </c>
      <c r="K173" s="11">
        <f>IF(N('Septembre'!W47)=0,"",N('Septembre'!W47))</f>
        <v/>
      </c>
      <c r="L173" s="11">
        <f>IF(N('Octobre'!W47)=0,"",N('Octobre'!W47))</f>
        <v/>
      </c>
      <c r="M173" s="11">
        <f>IF(N('Novembre'!W47)=0,"",N('Novembre'!W47))</f>
        <v/>
      </c>
      <c r="N173" s="11">
        <f>IF(N('Décembre'!W47)=0,"",N('Décembre'!W47))</f>
        <v/>
      </c>
      <c r="O173" s="22">
        <f>IF(N173&lt;&gt;"",N173,IF(M173&lt;&gt;"",M173,IF(L173&lt;&gt;"",L173,IF(K173&lt;&gt;"",K173,IF(J173&lt;&gt;"",J173,IF(I173&lt;&gt;"",I173,IF(H173&lt;&gt;"",H173,IF(G173&lt;&gt;"",G173,IF(F173&lt;&gt;"",F173,IF(E173&lt;&gt;"",E173,IF(D173&lt;&gt;"",D173,IF(C173&lt;&gt;"",C173,""))))))))))))</f>
        <v/>
      </c>
    </row>
    <row r="174">
      <c r="A174" s="33">
        <f>IF(Produits!$A$47="","",Produits!$A$47)</f>
        <v/>
      </c>
      <c r="B174" s="34">
        <f>IF(Produits!$A$47="","",Produits!$C$47)</f>
        <v/>
      </c>
      <c r="C174" s="11">
        <f>IF(N('Janvier'!W48)=0,"",N('Janvier'!W48))</f>
        <v/>
      </c>
      <c r="D174" s="11">
        <f>IF(N('Février'!W48)=0,"",N('Février'!W48))</f>
        <v/>
      </c>
      <c r="E174" s="11">
        <f>IF(N('Mars'!W48)=0,"",N('Mars'!W48))</f>
        <v/>
      </c>
      <c r="F174" s="11">
        <f>IF(N('Avril'!W48)=0,"",N('Avril'!W48))</f>
        <v/>
      </c>
      <c r="G174" s="11">
        <f>IF(N('Mai'!W48)=0,"",N('Mai'!W48))</f>
        <v/>
      </c>
      <c r="H174" s="11">
        <f>IF(N('Juin'!W48)=0,"",N('Juin'!W48))</f>
        <v/>
      </c>
      <c r="I174" s="11">
        <f>IF(N('Juillet'!W48)=0,"",N('Juillet'!W48))</f>
        <v/>
      </c>
      <c r="J174" s="11">
        <f>IF(N('Août'!W48)=0,"",N('Août'!W48))</f>
        <v/>
      </c>
      <c r="K174" s="11">
        <f>IF(N('Septembre'!W48)=0,"",N('Septembre'!W48))</f>
        <v/>
      </c>
      <c r="L174" s="11">
        <f>IF(N('Octobre'!W48)=0,"",N('Octobre'!W48))</f>
        <v/>
      </c>
      <c r="M174" s="11">
        <f>IF(N('Novembre'!W48)=0,"",N('Novembre'!W48))</f>
        <v/>
      </c>
      <c r="N174" s="11">
        <f>IF(N('Décembre'!W48)=0,"",N('Décembre'!W48))</f>
        <v/>
      </c>
      <c r="O174" s="22">
        <f>IF(N174&lt;&gt;"",N174,IF(M174&lt;&gt;"",M174,IF(L174&lt;&gt;"",L174,IF(K174&lt;&gt;"",K174,IF(J174&lt;&gt;"",J174,IF(I174&lt;&gt;"",I174,IF(H174&lt;&gt;"",H174,IF(G174&lt;&gt;"",G174,IF(F174&lt;&gt;"",F174,IF(E174&lt;&gt;"",E174,IF(D174&lt;&gt;"",D174,IF(C174&lt;&gt;"",C174,""))))))))))))</f>
        <v/>
      </c>
    </row>
    <row r="175">
      <c r="A175" s="33">
        <f>IF(Produits!$A$48="","",Produits!$A$48)</f>
        <v/>
      </c>
      <c r="B175" s="34">
        <f>IF(Produits!$A$48="","",Produits!$C$48)</f>
        <v/>
      </c>
      <c r="C175" s="11">
        <f>IF(N('Janvier'!W49)=0,"",N('Janvier'!W49))</f>
        <v/>
      </c>
      <c r="D175" s="11">
        <f>IF(N('Février'!W49)=0,"",N('Février'!W49))</f>
        <v/>
      </c>
      <c r="E175" s="11">
        <f>IF(N('Mars'!W49)=0,"",N('Mars'!W49))</f>
        <v/>
      </c>
      <c r="F175" s="11">
        <f>IF(N('Avril'!W49)=0,"",N('Avril'!W49))</f>
        <v/>
      </c>
      <c r="G175" s="11">
        <f>IF(N('Mai'!W49)=0,"",N('Mai'!W49))</f>
        <v/>
      </c>
      <c r="H175" s="11">
        <f>IF(N('Juin'!W49)=0,"",N('Juin'!W49))</f>
        <v/>
      </c>
      <c r="I175" s="11">
        <f>IF(N('Juillet'!W49)=0,"",N('Juillet'!W49))</f>
        <v/>
      </c>
      <c r="J175" s="11">
        <f>IF(N('Août'!W49)=0,"",N('Août'!W49))</f>
        <v/>
      </c>
      <c r="K175" s="11">
        <f>IF(N('Septembre'!W49)=0,"",N('Septembre'!W49))</f>
        <v/>
      </c>
      <c r="L175" s="11">
        <f>IF(N('Octobre'!W49)=0,"",N('Octobre'!W49))</f>
        <v/>
      </c>
      <c r="M175" s="11">
        <f>IF(N('Novembre'!W49)=0,"",N('Novembre'!W49))</f>
        <v/>
      </c>
      <c r="N175" s="11">
        <f>IF(N('Décembre'!W49)=0,"",N('Décembre'!W49))</f>
        <v/>
      </c>
      <c r="O175" s="22">
        <f>IF(N175&lt;&gt;"",N175,IF(M175&lt;&gt;"",M175,IF(L175&lt;&gt;"",L175,IF(K175&lt;&gt;"",K175,IF(J175&lt;&gt;"",J175,IF(I175&lt;&gt;"",I175,IF(H175&lt;&gt;"",H175,IF(G175&lt;&gt;"",G175,IF(F175&lt;&gt;"",F175,IF(E175&lt;&gt;"",E175,IF(D175&lt;&gt;"",D175,IF(C175&lt;&gt;"",C175,""))))))))))))</f>
        <v/>
      </c>
    </row>
    <row r="176">
      <c r="A176" s="33">
        <f>IF(Produits!$A$49="","",Produits!$A$49)</f>
        <v/>
      </c>
      <c r="B176" s="34">
        <f>IF(Produits!$A$49="","",Produits!$C$49)</f>
        <v/>
      </c>
      <c r="C176" s="11">
        <f>IF(N('Janvier'!W50)=0,"",N('Janvier'!W50))</f>
        <v/>
      </c>
      <c r="D176" s="11">
        <f>IF(N('Février'!W50)=0,"",N('Février'!W50))</f>
        <v/>
      </c>
      <c r="E176" s="11">
        <f>IF(N('Mars'!W50)=0,"",N('Mars'!W50))</f>
        <v/>
      </c>
      <c r="F176" s="11">
        <f>IF(N('Avril'!W50)=0,"",N('Avril'!W50))</f>
        <v/>
      </c>
      <c r="G176" s="11">
        <f>IF(N('Mai'!W50)=0,"",N('Mai'!W50))</f>
        <v/>
      </c>
      <c r="H176" s="11">
        <f>IF(N('Juin'!W50)=0,"",N('Juin'!W50))</f>
        <v/>
      </c>
      <c r="I176" s="11">
        <f>IF(N('Juillet'!W50)=0,"",N('Juillet'!W50))</f>
        <v/>
      </c>
      <c r="J176" s="11">
        <f>IF(N('Août'!W50)=0,"",N('Août'!W50))</f>
        <v/>
      </c>
      <c r="K176" s="11">
        <f>IF(N('Septembre'!W50)=0,"",N('Septembre'!W50))</f>
        <v/>
      </c>
      <c r="L176" s="11">
        <f>IF(N('Octobre'!W50)=0,"",N('Octobre'!W50))</f>
        <v/>
      </c>
      <c r="M176" s="11">
        <f>IF(N('Novembre'!W50)=0,"",N('Novembre'!W50))</f>
        <v/>
      </c>
      <c r="N176" s="11">
        <f>IF(N('Décembre'!W50)=0,"",N('Décembre'!W50))</f>
        <v/>
      </c>
      <c r="O176" s="22">
        <f>IF(N176&lt;&gt;"",N176,IF(M176&lt;&gt;"",M176,IF(L176&lt;&gt;"",L176,IF(K176&lt;&gt;"",K176,IF(J176&lt;&gt;"",J176,IF(I176&lt;&gt;"",I176,IF(H176&lt;&gt;"",H176,IF(G176&lt;&gt;"",G176,IF(F176&lt;&gt;"",F176,IF(E176&lt;&gt;"",E176,IF(D176&lt;&gt;"",D176,IF(C176&lt;&gt;"",C176,""))))))))))))</f>
        <v/>
      </c>
    </row>
    <row r="177">
      <c r="A177" s="33">
        <f>IF(Produits!$A$50="","",Produits!$A$50)</f>
        <v/>
      </c>
      <c r="B177" s="34">
        <f>IF(Produits!$A$50="","",Produits!$C$50)</f>
        <v/>
      </c>
      <c r="C177" s="11">
        <f>IF(N('Janvier'!W51)=0,"",N('Janvier'!W51))</f>
        <v/>
      </c>
      <c r="D177" s="11">
        <f>IF(N('Février'!W51)=0,"",N('Février'!W51))</f>
        <v/>
      </c>
      <c r="E177" s="11">
        <f>IF(N('Mars'!W51)=0,"",N('Mars'!W51))</f>
        <v/>
      </c>
      <c r="F177" s="11">
        <f>IF(N('Avril'!W51)=0,"",N('Avril'!W51))</f>
        <v/>
      </c>
      <c r="G177" s="11">
        <f>IF(N('Mai'!W51)=0,"",N('Mai'!W51))</f>
        <v/>
      </c>
      <c r="H177" s="11">
        <f>IF(N('Juin'!W51)=0,"",N('Juin'!W51))</f>
        <v/>
      </c>
      <c r="I177" s="11">
        <f>IF(N('Juillet'!W51)=0,"",N('Juillet'!W51))</f>
        <v/>
      </c>
      <c r="J177" s="11">
        <f>IF(N('Août'!W51)=0,"",N('Août'!W51))</f>
        <v/>
      </c>
      <c r="K177" s="11">
        <f>IF(N('Septembre'!W51)=0,"",N('Septembre'!W51))</f>
        <v/>
      </c>
      <c r="L177" s="11">
        <f>IF(N('Octobre'!W51)=0,"",N('Octobre'!W51))</f>
        <v/>
      </c>
      <c r="M177" s="11">
        <f>IF(N('Novembre'!W51)=0,"",N('Novembre'!W51))</f>
        <v/>
      </c>
      <c r="N177" s="11">
        <f>IF(N('Décembre'!W51)=0,"",N('Décembre'!W51))</f>
        <v/>
      </c>
      <c r="O177" s="22">
        <f>IF(N177&lt;&gt;"",N177,IF(M177&lt;&gt;"",M177,IF(L177&lt;&gt;"",L177,IF(K177&lt;&gt;"",K177,IF(J177&lt;&gt;"",J177,IF(I177&lt;&gt;"",I177,IF(H177&lt;&gt;"",H177,IF(G177&lt;&gt;"",G177,IF(F177&lt;&gt;"",F177,IF(E177&lt;&gt;"",E177,IF(D177&lt;&gt;"",D177,IF(C177&lt;&gt;"",C177,""))))))))))))</f>
        <v/>
      </c>
    </row>
    <row r="178">
      <c r="A178" s="33">
        <f>IF(Produits!$A$51="","",Produits!$A$51)</f>
        <v/>
      </c>
      <c r="B178" s="34">
        <f>IF(Produits!$A$51="","",Produits!$C$51)</f>
        <v/>
      </c>
      <c r="C178" s="11">
        <f>IF(N('Janvier'!W52)=0,"",N('Janvier'!W52))</f>
        <v/>
      </c>
      <c r="D178" s="11">
        <f>IF(N('Février'!W52)=0,"",N('Février'!W52))</f>
        <v/>
      </c>
      <c r="E178" s="11">
        <f>IF(N('Mars'!W52)=0,"",N('Mars'!W52))</f>
        <v/>
      </c>
      <c r="F178" s="11">
        <f>IF(N('Avril'!W52)=0,"",N('Avril'!W52))</f>
        <v/>
      </c>
      <c r="G178" s="11">
        <f>IF(N('Mai'!W52)=0,"",N('Mai'!W52))</f>
        <v/>
      </c>
      <c r="H178" s="11">
        <f>IF(N('Juin'!W52)=0,"",N('Juin'!W52))</f>
        <v/>
      </c>
      <c r="I178" s="11">
        <f>IF(N('Juillet'!W52)=0,"",N('Juillet'!W52))</f>
        <v/>
      </c>
      <c r="J178" s="11">
        <f>IF(N('Août'!W52)=0,"",N('Août'!W52))</f>
        <v/>
      </c>
      <c r="K178" s="11">
        <f>IF(N('Septembre'!W52)=0,"",N('Septembre'!W52))</f>
        <v/>
      </c>
      <c r="L178" s="11">
        <f>IF(N('Octobre'!W52)=0,"",N('Octobre'!W52))</f>
        <v/>
      </c>
      <c r="M178" s="11">
        <f>IF(N('Novembre'!W52)=0,"",N('Novembre'!W52))</f>
        <v/>
      </c>
      <c r="N178" s="11">
        <f>IF(N('Décembre'!W52)=0,"",N('Décembre'!W52))</f>
        <v/>
      </c>
      <c r="O178" s="22">
        <f>IF(N178&lt;&gt;"",N178,IF(M178&lt;&gt;"",M178,IF(L178&lt;&gt;"",L178,IF(K178&lt;&gt;"",K178,IF(J178&lt;&gt;"",J178,IF(I178&lt;&gt;"",I178,IF(H178&lt;&gt;"",H178,IF(G178&lt;&gt;"",G178,IF(F178&lt;&gt;"",F178,IF(E178&lt;&gt;"",E178,IF(D178&lt;&gt;"",D178,IF(C178&lt;&gt;"",C178,""))))))))))))</f>
        <v/>
      </c>
    </row>
    <row r="179">
      <c r="A179" s="33">
        <f>IF(Produits!$A$52="","",Produits!$A$52)</f>
        <v/>
      </c>
      <c r="B179" s="34">
        <f>IF(Produits!$A$52="","",Produits!$C$52)</f>
        <v/>
      </c>
      <c r="C179" s="11">
        <f>IF(N('Janvier'!W53)=0,"",N('Janvier'!W53))</f>
        <v/>
      </c>
      <c r="D179" s="11">
        <f>IF(N('Février'!W53)=0,"",N('Février'!W53))</f>
        <v/>
      </c>
      <c r="E179" s="11">
        <f>IF(N('Mars'!W53)=0,"",N('Mars'!W53))</f>
        <v/>
      </c>
      <c r="F179" s="11">
        <f>IF(N('Avril'!W53)=0,"",N('Avril'!W53))</f>
        <v/>
      </c>
      <c r="G179" s="11">
        <f>IF(N('Mai'!W53)=0,"",N('Mai'!W53))</f>
        <v/>
      </c>
      <c r="H179" s="11">
        <f>IF(N('Juin'!W53)=0,"",N('Juin'!W53))</f>
        <v/>
      </c>
      <c r="I179" s="11">
        <f>IF(N('Juillet'!W53)=0,"",N('Juillet'!W53))</f>
        <v/>
      </c>
      <c r="J179" s="11">
        <f>IF(N('Août'!W53)=0,"",N('Août'!W53))</f>
        <v/>
      </c>
      <c r="K179" s="11">
        <f>IF(N('Septembre'!W53)=0,"",N('Septembre'!W53))</f>
        <v/>
      </c>
      <c r="L179" s="11">
        <f>IF(N('Octobre'!W53)=0,"",N('Octobre'!W53))</f>
        <v/>
      </c>
      <c r="M179" s="11">
        <f>IF(N('Novembre'!W53)=0,"",N('Novembre'!W53))</f>
        <v/>
      </c>
      <c r="N179" s="11">
        <f>IF(N('Décembre'!W53)=0,"",N('Décembre'!W53))</f>
        <v/>
      </c>
      <c r="O179" s="22">
        <f>IF(N179&lt;&gt;"",N179,IF(M179&lt;&gt;"",M179,IF(L179&lt;&gt;"",L179,IF(K179&lt;&gt;"",K179,IF(J179&lt;&gt;"",J179,IF(I179&lt;&gt;"",I179,IF(H179&lt;&gt;"",H179,IF(G179&lt;&gt;"",G179,IF(F179&lt;&gt;"",F179,IF(E179&lt;&gt;"",E179,IF(D179&lt;&gt;"",D179,IF(C179&lt;&gt;"",C179,""))))))))))))</f>
        <v/>
      </c>
    </row>
    <row r="180">
      <c r="A180" s="33">
        <f>IF(Produits!$A$54="","",Produits!$A$54)</f>
        <v/>
      </c>
      <c r="B180" s="34">
        <f>IF(Produits!$A$54="","",Produits!$C$54)</f>
        <v/>
      </c>
      <c r="C180" s="11">
        <f>IF(N('Janvier'!W55)=0,"",N('Janvier'!W55))</f>
        <v/>
      </c>
      <c r="D180" s="11">
        <f>IF(N('Février'!W55)=0,"",N('Février'!W55))</f>
        <v/>
      </c>
      <c r="E180" s="11">
        <f>IF(N('Mars'!W55)=0,"",N('Mars'!W55))</f>
        <v/>
      </c>
      <c r="F180" s="11">
        <f>IF(N('Avril'!W55)=0,"",N('Avril'!W55))</f>
        <v/>
      </c>
      <c r="G180" s="11">
        <f>IF(N('Mai'!W55)=0,"",N('Mai'!W55))</f>
        <v/>
      </c>
      <c r="H180" s="11">
        <f>IF(N('Juin'!W55)=0,"",N('Juin'!W55))</f>
        <v/>
      </c>
      <c r="I180" s="11">
        <f>IF(N('Juillet'!W55)=0,"",N('Juillet'!W55))</f>
        <v/>
      </c>
      <c r="J180" s="11">
        <f>IF(N('Août'!W55)=0,"",N('Août'!W55))</f>
        <v/>
      </c>
      <c r="K180" s="11">
        <f>IF(N('Septembre'!W55)=0,"",N('Septembre'!W55))</f>
        <v/>
      </c>
      <c r="L180" s="11">
        <f>IF(N('Octobre'!W55)=0,"",N('Octobre'!W55))</f>
        <v/>
      </c>
      <c r="M180" s="11">
        <f>IF(N('Novembre'!W55)=0,"",N('Novembre'!W55))</f>
        <v/>
      </c>
      <c r="N180" s="11">
        <f>IF(N('Décembre'!W55)=0,"",N('Décembre'!W55))</f>
        <v/>
      </c>
      <c r="O180" s="22">
        <f>IF(N180&lt;&gt;"",N180,IF(M180&lt;&gt;"",M180,IF(L180&lt;&gt;"",L180,IF(K180&lt;&gt;"",K180,IF(J180&lt;&gt;"",J180,IF(I180&lt;&gt;"",I180,IF(H180&lt;&gt;"",H180,IF(G180&lt;&gt;"",G180,IF(F180&lt;&gt;"",F180,IF(E180&lt;&gt;"",E180,IF(D180&lt;&gt;"",D180,IF(C180&lt;&gt;"",C180,""))))))))))))</f>
        <v/>
      </c>
    </row>
    <row r="181">
      <c r="A181" s="33">
        <f>IF(Produits!$A$55="","",Produits!$A$55)</f>
        <v/>
      </c>
      <c r="B181" s="34">
        <f>IF(Produits!$A$55="","",Produits!$C$55)</f>
        <v/>
      </c>
      <c r="C181" s="11">
        <f>IF(N('Janvier'!W56)=0,"",N('Janvier'!W56))</f>
        <v/>
      </c>
      <c r="D181" s="11">
        <f>IF(N('Février'!W56)=0,"",N('Février'!W56))</f>
        <v/>
      </c>
      <c r="E181" s="11">
        <f>IF(N('Mars'!W56)=0,"",N('Mars'!W56))</f>
        <v/>
      </c>
      <c r="F181" s="11">
        <f>IF(N('Avril'!W56)=0,"",N('Avril'!W56))</f>
        <v/>
      </c>
      <c r="G181" s="11">
        <f>IF(N('Mai'!W56)=0,"",N('Mai'!W56))</f>
        <v/>
      </c>
      <c r="H181" s="11">
        <f>IF(N('Juin'!W56)=0,"",N('Juin'!W56))</f>
        <v/>
      </c>
      <c r="I181" s="11">
        <f>IF(N('Juillet'!W56)=0,"",N('Juillet'!W56))</f>
        <v/>
      </c>
      <c r="J181" s="11">
        <f>IF(N('Août'!W56)=0,"",N('Août'!W56))</f>
        <v/>
      </c>
      <c r="K181" s="11">
        <f>IF(N('Septembre'!W56)=0,"",N('Septembre'!W56))</f>
        <v/>
      </c>
      <c r="L181" s="11">
        <f>IF(N('Octobre'!W56)=0,"",N('Octobre'!W56))</f>
        <v/>
      </c>
      <c r="M181" s="11">
        <f>IF(N('Novembre'!W56)=0,"",N('Novembre'!W56))</f>
        <v/>
      </c>
      <c r="N181" s="11">
        <f>IF(N('Décembre'!W56)=0,"",N('Décembre'!W56))</f>
        <v/>
      </c>
      <c r="O181" s="22">
        <f>IF(N181&lt;&gt;"",N181,IF(M181&lt;&gt;"",M181,IF(L181&lt;&gt;"",L181,IF(K181&lt;&gt;"",K181,IF(J181&lt;&gt;"",J181,IF(I181&lt;&gt;"",I181,IF(H181&lt;&gt;"",H181,IF(G181&lt;&gt;"",G181,IF(F181&lt;&gt;"",F181,IF(E181&lt;&gt;"",E181,IF(D181&lt;&gt;"",D181,IF(C181&lt;&gt;"",C181,""))))))))))))</f>
        <v/>
      </c>
    </row>
    <row r="182">
      <c r="A182" s="33">
        <f>IF(Produits!$A$56="","",Produits!$A$56)</f>
        <v/>
      </c>
      <c r="B182" s="34">
        <f>IF(Produits!$A$56="","",Produits!$C$56)</f>
        <v/>
      </c>
      <c r="C182" s="11">
        <f>IF(N('Janvier'!W57)=0,"",N('Janvier'!W57))</f>
        <v/>
      </c>
      <c r="D182" s="11">
        <f>IF(N('Février'!W57)=0,"",N('Février'!W57))</f>
        <v/>
      </c>
      <c r="E182" s="11">
        <f>IF(N('Mars'!W57)=0,"",N('Mars'!W57))</f>
        <v/>
      </c>
      <c r="F182" s="11">
        <f>IF(N('Avril'!W57)=0,"",N('Avril'!W57))</f>
        <v/>
      </c>
      <c r="G182" s="11">
        <f>IF(N('Mai'!W57)=0,"",N('Mai'!W57))</f>
        <v/>
      </c>
      <c r="H182" s="11">
        <f>IF(N('Juin'!W57)=0,"",N('Juin'!W57))</f>
        <v/>
      </c>
      <c r="I182" s="11">
        <f>IF(N('Juillet'!W57)=0,"",N('Juillet'!W57))</f>
        <v/>
      </c>
      <c r="J182" s="11">
        <f>IF(N('Août'!W57)=0,"",N('Août'!W57))</f>
        <v/>
      </c>
      <c r="K182" s="11">
        <f>IF(N('Septembre'!W57)=0,"",N('Septembre'!W57))</f>
        <v/>
      </c>
      <c r="L182" s="11">
        <f>IF(N('Octobre'!W57)=0,"",N('Octobre'!W57))</f>
        <v/>
      </c>
      <c r="M182" s="11">
        <f>IF(N('Novembre'!W57)=0,"",N('Novembre'!W57))</f>
        <v/>
      </c>
      <c r="N182" s="11">
        <f>IF(N('Décembre'!W57)=0,"",N('Décembre'!W57))</f>
        <v/>
      </c>
      <c r="O182" s="22">
        <f>IF(N182&lt;&gt;"",N182,IF(M182&lt;&gt;"",M182,IF(L182&lt;&gt;"",L182,IF(K182&lt;&gt;"",K182,IF(J182&lt;&gt;"",J182,IF(I182&lt;&gt;"",I182,IF(H182&lt;&gt;"",H182,IF(G182&lt;&gt;"",G182,IF(F182&lt;&gt;"",F182,IF(E182&lt;&gt;"",E182,IF(D182&lt;&gt;"",D182,IF(C182&lt;&gt;"",C182,""))))))))))))</f>
        <v/>
      </c>
    </row>
    <row r="183">
      <c r="A183" s="33">
        <f>IF(Produits!$A$57="","",Produits!$A$57)</f>
        <v/>
      </c>
      <c r="B183" s="34">
        <f>IF(Produits!$A$57="","",Produits!$C$57)</f>
        <v/>
      </c>
      <c r="C183" s="11">
        <f>IF(N('Janvier'!W58)=0,"",N('Janvier'!W58))</f>
        <v/>
      </c>
      <c r="D183" s="11">
        <f>IF(N('Février'!W58)=0,"",N('Février'!W58))</f>
        <v/>
      </c>
      <c r="E183" s="11">
        <f>IF(N('Mars'!W58)=0,"",N('Mars'!W58))</f>
        <v/>
      </c>
      <c r="F183" s="11">
        <f>IF(N('Avril'!W58)=0,"",N('Avril'!W58))</f>
        <v/>
      </c>
      <c r="G183" s="11">
        <f>IF(N('Mai'!W58)=0,"",N('Mai'!W58))</f>
        <v/>
      </c>
      <c r="H183" s="11">
        <f>IF(N('Juin'!W58)=0,"",N('Juin'!W58))</f>
        <v/>
      </c>
      <c r="I183" s="11">
        <f>IF(N('Juillet'!W58)=0,"",N('Juillet'!W58))</f>
        <v/>
      </c>
      <c r="J183" s="11">
        <f>IF(N('Août'!W58)=0,"",N('Août'!W58))</f>
        <v/>
      </c>
      <c r="K183" s="11">
        <f>IF(N('Septembre'!W58)=0,"",N('Septembre'!W58))</f>
        <v/>
      </c>
      <c r="L183" s="11">
        <f>IF(N('Octobre'!W58)=0,"",N('Octobre'!W58))</f>
        <v/>
      </c>
      <c r="M183" s="11">
        <f>IF(N('Novembre'!W58)=0,"",N('Novembre'!W58))</f>
        <v/>
      </c>
      <c r="N183" s="11">
        <f>IF(N('Décembre'!W58)=0,"",N('Décembre'!W58))</f>
        <v/>
      </c>
      <c r="O183" s="22">
        <f>IF(N183&lt;&gt;"",N183,IF(M183&lt;&gt;"",M183,IF(L183&lt;&gt;"",L183,IF(K183&lt;&gt;"",K183,IF(J183&lt;&gt;"",J183,IF(I183&lt;&gt;"",I183,IF(H183&lt;&gt;"",H183,IF(G183&lt;&gt;"",G183,IF(F183&lt;&gt;"",F183,IF(E183&lt;&gt;"",E183,IF(D183&lt;&gt;"",D183,IF(C183&lt;&gt;"",C183,""))))))))))))</f>
        <v/>
      </c>
    </row>
    <row r="184">
      <c r="A184" s="33">
        <f>IF(Produits!$A$58="","",Produits!$A$58)</f>
        <v/>
      </c>
      <c r="B184" s="34">
        <f>IF(Produits!$A$58="","",Produits!$C$58)</f>
        <v/>
      </c>
      <c r="C184" s="11">
        <f>IF(N('Janvier'!W59)=0,"",N('Janvier'!W59))</f>
        <v/>
      </c>
      <c r="D184" s="11">
        <f>IF(N('Février'!W59)=0,"",N('Février'!W59))</f>
        <v/>
      </c>
      <c r="E184" s="11">
        <f>IF(N('Mars'!W59)=0,"",N('Mars'!W59))</f>
        <v/>
      </c>
      <c r="F184" s="11">
        <f>IF(N('Avril'!W59)=0,"",N('Avril'!W59))</f>
        <v/>
      </c>
      <c r="G184" s="11">
        <f>IF(N('Mai'!W59)=0,"",N('Mai'!W59))</f>
        <v/>
      </c>
      <c r="H184" s="11">
        <f>IF(N('Juin'!W59)=0,"",N('Juin'!W59))</f>
        <v/>
      </c>
      <c r="I184" s="11">
        <f>IF(N('Juillet'!W59)=0,"",N('Juillet'!W59))</f>
        <v/>
      </c>
      <c r="J184" s="11">
        <f>IF(N('Août'!W59)=0,"",N('Août'!W59))</f>
        <v/>
      </c>
      <c r="K184" s="11">
        <f>IF(N('Septembre'!W59)=0,"",N('Septembre'!W59))</f>
        <v/>
      </c>
      <c r="L184" s="11">
        <f>IF(N('Octobre'!W59)=0,"",N('Octobre'!W59))</f>
        <v/>
      </c>
      <c r="M184" s="11">
        <f>IF(N('Novembre'!W59)=0,"",N('Novembre'!W59))</f>
        <v/>
      </c>
      <c r="N184" s="11">
        <f>IF(N('Décembre'!W59)=0,"",N('Décembre'!W59))</f>
        <v/>
      </c>
      <c r="O184" s="22">
        <f>IF(N184&lt;&gt;"",N184,IF(M184&lt;&gt;"",M184,IF(L184&lt;&gt;"",L184,IF(K184&lt;&gt;"",K184,IF(J184&lt;&gt;"",J184,IF(I184&lt;&gt;"",I184,IF(H184&lt;&gt;"",H184,IF(G184&lt;&gt;"",G184,IF(F184&lt;&gt;"",F184,IF(E184&lt;&gt;"",E184,IF(D184&lt;&gt;"",D184,IF(C184&lt;&gt;"",C184,""))))))))))))</f>
        <v/>
      </c>
    </row>
    <row r="185">
      <c r="A185" s="33">
        <f>IF(Produits!$A$59="","",Produits!$A$59)</f>
        <v/>
      </c>
      <c r="B185" s="34">
        <f>IF(Produits!$A$59="","",Produits!$C$59)</f>
        <v/>
      </c>
      <c r="C185" s="11">
        <f>IF(N('Janvier'!W60)=0,"",N('Janvier'!W60))</f>
        <v/>
      </c>
      <c r="D185" s="11">
        <f>IF(N('Février'!W60)=0,"",N('Février'!W60))</f>
        <v/>
      </c>
      <c r="E185" s="11">
        <f>IF(N('Mars'!W60)=0,"",N('Mars'!W60))</f>
        <v/>
      </c>
      <c r="F185" s="11">
        <f>IF(N('Avril'!W60)=0,"",N('Avril'!W60))</f>
        <v/>
      </c>
      <c r="G185" s="11">
        <f>IF(N('Mai'!W60)=0,"",N('Mai'!W60))</f>
        <v/>
      </c>
      <c r="H185" s="11">
        <f>IF(N('Juin'!W60)=0,"",N('Juin'!W60))</f>
        <v/>
      </c>
      <c r="I185" s="11">
        <f>IF(N('Juillet'!W60)=0,"",N('Juillet'!W60))</f>
        <v/>
      </c>
      <c r="J185" s="11">
        <f>IF(N('Août'!W60)=0,"",N('Août'!W60))</f>
        <v/>
      </c>
      <c r="K185" s="11">
        <f>IF(N('Septembre'!W60)=0,"",N('Septembre'!W60))</f>
        <v/>
      </c>
      <c r="L185" s="11">
        <f>IF(N('Octobre'!W60)=0,"",N('Octobre'!W60))</f>
        <v/>
      </c>
      <c r="M185" s="11">
        <f>IF(N('Novembre'!W60)=0,"",N('Novembre'!W60))</f>
        <v/>
      </c>
      <c r="N185" s="11">
        <f>IF(N('Décembre'!W60)=0,"",N('Décembre'!W60))</f>
        <v/>
      </c>
      <c r="O185" s="22">
        <f>IF(N185&lt;&gt;"",N185,IF(M185&lt;&gt;"",M185,IF(L185&lt;&gt;"",L185,IF(K185&lt;&gt;"",K185,IF(J185&lt;&gt;"",J185,IF(I185&lt;&gt;"",I185,IF(H185&lt;&gt;"",H185,IF(G185&lt;&gt;"",G185,IF(F185&lt;&gt;"",F185,IF(E185&lt;&gt;"",E185,IF(D185&lt;&gt;"",D185,IF(C185&lt;&gt;"",C185,""))))))))))))</f>
        <v/>
      </c>
    </row>
    <row r="186">
      <c r="A186" s="33">
        <f>IF(Produits!$A$60="","",Produits!$A$60)</f>
        <v/>
      </c>
      <c r="B186" s="34">
        <f>IF(Produits!$A$60="","",Produits!$C$60)</f>
        <v/>
      </c>
      <c r="C186" s="11">
        <f>IF(N('Janvier'!W61)=0,"",N('Janvier'!W61))</f>
        <v/>
      </c>
      <c r="D186" s="11">
        <f>IF(N('Février'!W61)=0,"",N('Février'!W61))</f>
        <v/>
      </c>
      <c r="E186" s="11">
        <f>IF(N('Mars'!W61)=0,"",N('Mars'!W61))</f>
        <v/>
      </c>
      <c r="F186" s="11">
        <f>IF(N('Avril'!W61)=0,"",N('Avril'!W61))</f>
        <v/>
      </c>
      <c r="G186" s="11">
        <f>IF(N('Mai'!W61)=0,"",N('Mai'!W61))</f>
        <v/>
      </c>
      <c r="H186" s="11">
        <f>IF(N('Juin'!W61)=0,"",N('Juin'!W61))</f>
        <v/>
      </c>
      <c r="I186" s="11">
        <f>IF(N('Juillet'!W61)=0,"",N('Juillet'!W61))</f>
        <v/>
      </c>
      <c r="J186" s="11">
        <f>IF(N('Août'!W61)=0,"",N('Août'!W61))</f>
        <v/>
      </c>
      <c r="K186" s="11">
        <f>IF(N('Septembre'!W61)=0,"",N('Septembre'!W61))</f>
        <v/>
      </c>
      <c r="L186" s="11">
        <f>IF(N('Octobre'!W61)=0,"",N('Octobre'!W61))</f>
        <v/>
      </c>
      <c r="M186" s="11">
        <f>IF(N('Novembre'!W61)=0,"",N('Novembre'!W61))</f>
        <v/>
      </c>
      <c r="N186" s="11">
        <f>IF(N('Décembre'!W61)=0,"",N('Décembre'!W61))</f>
        <v/>
      </c>
      <c r="O186" s="22">
        <f>IF(N186&lt;&gt;"",N186,IF(M186&lt;&gt;"",M186,IF(L186&lt;&gt;"",L186,IF(K186&lt;&gt;"",K186,IF(J186&lt;&gt;"",J186,IF(I186&lt;&gt;"",I186,IF(H186&lt;&gt;"",H186,IF(G186&lt;&gt;"",G186,IF(F186&lt;&gt;"",F186,IF(E186&lt;&gt;"",E186,IF(D186&lt;&gt;"",D186,IF(C186&lt;&gt;"",C186,""))))))))))))</f>
        <v/>
      </c>
    </row>
    <row r="187">
      <c r="A187" s="33">
        <f>IF(Produits!$A$61="","",Produits!$A$61)</f>
        <v/>
      </c>
      <c r="B187" s="34">
        <f>IF(Produits!$A$61="","",Produits!$C$61)</f>
        <v/>
      </c>
      <c r="C187" s="11">
        <f>IF(N('Janvier'!W62)=0,"",N('Janvier'!W62))</f>
        <v/>
      </c>
      <c r="D187" s="11">
        <f>IF(N('Février'!W62)=0,"",N('Février'!W62))</f>
        <v/>
      </c>
      <c r="E187" s="11">
        <f>IF(N('Mars'!W62)=0,"",N('Mars'!W62))</f>
        <v/>
      </c>
      <c r="F187" s="11">
        <f>IF(N('Avril'!W62)=0,"",N('Avril'!W62))</f>
        <v/>
      </c>
      <c r="G187" s="11">
        <f>IF(N('Mai'!W62)=0,"",N('Mai'!W62))</f>
        <v/>
      </c>
      <c r="H187" s="11">
        <f>IF(N('Juin'!W62)=0,"",N('Juin'!W62))</f>
        <v/>
      </c>
      <c r="I187" s="11">
        <f>IF(N('Juillet'!W62)=0,"",N('Juillet'!W62))</f>
        <v/>
      </c>
      <c r="J187" s="11">
        <f>IF(N('Août'!W62)=0,"",N('Août'!W62))</f>
        <v/>
      </c>
      <c r="K187" s="11">
        <f>IF(N('Septembre'!W62)=0,"",N('Septembre'!W62))</f>
        <v/>
      </c>
      <c r="L187" s="11">
        <f>IF(N('Octobre'!W62)=0,"",N('Octobre'!W62))</f>
        <v/>
      </c>
      <c r="M187" s="11">
        <f>IF(N('Novembre'!W62)=0,"",N('Novembre'!W62))</f>
        <v/>
      </c>
      <c r="N187" s="11">
        <f>IF(N('Décembre'!W62)=0,"",N('Décembre'!W62))</f>
        <v/>
      </c>
      <c r="O187" s="22">
        <f>IF(N187&lt;&gt;"",N187,IF(M187&lt;&gt;"",M187,IF(L187&lt;&gt;"",L187,IF(K187&lt;&gt;"",K187,IF(J187&lt;&gt;"",J187,IF(I187&lt;&gt;"",I187,IF(H187&lt;&gt;"",H187,IF(G187&lt;&gt;"",G187,IF(F187&lt;&gt;"",F187,IF(E187&lt;&gt;"",E187,IF(D187&lt;&gt;"",D187,IF(C187&lt;&gt;"",C187,""))))))))))))</f>
        <v/>
      </c>
    </row>
    <row r="188">
      <c r="A188" s="33">
        <f>IF(Produits!$A$62="","",Produits!$A$62)</f>
        <v/>
      </c>
      <c r="B188" s="34">
        <f>IF(Produits!$A$62="","",Produits!$C$62)</f>
        <v/>
      </c>
      <c r="C188" s="11">
        <f>IF(N('Janvier'!W63)=0,"",N('Janvier'!W63))</f>
        <v/>
      </c>
      <c r="D188" s="11">
        <f>IF(N('Février'!W63)=0,"",N('Février'!W63))</f>
        <v/>
      </c>
      <c r="E188" s="11">
        <f>IF(N('Mars'!W63)=0,"",N('Mars'!W63))</f>
        <v/>
      </c>
      <c r="F188" s="11">
        <f>IF(N('Avril'!W63)=0,"",N('Avril'!W63))</f>
        <v/>
      </c>
      <c r="G188" s="11">
        <f>IF(N('Mai'!W63)=0,"",N('Mai'!W63))</f>
        <v/>
      </c>
      <c r="H188" s="11">
        <f>IF(N('Juin'!W63)=0,"",N('Juin'!W63))</f>
        <v/>
      </c>
      <c r="I188" s="11">
        <f>IF(N('Juillet'!W63)=0,"",N('Juillet'!W63))</f>
        <v/>
      </c>
      <c r="J188" s="11">
        <f>IF(N('Août'!W63)=0,"",N('Août'!W63))</f>
        <v/>
      </c>
      <c r="K188" s="11">
        <f>IF(N('Septembre'!W63)=0,"",N('Septembre'!W63))</f>
        <v/>
      </c>
      <c r="L188" s="11">
        <f>IF(N('Octobre'!W63)=0,"",N('Octobre'!W63))</f>
        <v/>
      </c>
      <c r="M188" s="11">
        <f>IF(N('Novembre'!W63)=0,"",N('Novembre'!W63))</f>
        <v/>
      </c>
      <c r="N188" s="11">
        <f>IF(N('Décembre'!W63)=0,"",N('Décembre'!W63))</f>
        <v/>
      </c>
      <c r="O188" s="22">
        <f>IF(N188&lt;&gt;"",N188,IF(M188&lt;&gt;"",M188,IF(L188&lt;&gt;"",L188,IF(K188&lt;&gt;"",K188,IF(J188&lt;&gt;"",J188,IF(I188&lt;&gt;"",I188,IF(H188&lt;&gt;"",H188,IF(G188&lt;&gt;"",G188,IF(F188&lt;&gt;"",F188,IF(E188&lt;&gt;"",E188,IF(D188&lt;&gt;"",D188,IF(C188&lt;&gt;"",C188,""))))))))))))</f>
        <v/>
      </c>
    </row>
    <row r="189">
      <c r="A189" s="33">
        <f>IF(Produits!$A$63="","",Produits!$A$63)</f>
        <v/>
      </c>
      <c r="B189" s="34">
        <f>IF(Produits!$A$63="","",Produits!$C$63)</f>
        <v/>
      </c>
      <c r="C189" s="11">
        <f>IF(N('Janvier'!W64)=0,"",N('Janvier'!W64))</f>
        <v/>
      </c>
      <c r="D189" s="11">
        <f>IF(N('Février'!W64)=0,"",N('Février'!W64))</f>
        <v/>
      </c>
      <c r="E189" s="11">
        <f>IF(N('Mars'!W64)=0,"",N('Mars'!W64))</f>
        <v/>
      </c>
      <c r="F189" s="11">
        <f>IF(N('Avril'!W64)=0,"",N('Avril'!W64))</f>
        <v/>
      </c>
      <c r="G189" s="11">
        <f>IF(N('Mai'!W64)=0,"",N('Mai'!W64))</f>
        <v/>
      </c>
      <c r="H189" s="11">
        <f>IF(N('Juin'!W64)=0,"",N('Juin'!W64))</f>
        <v/>
      </c>
      <c r="I189" s="11">
        <f>IF(N('Juillet'!W64)=0,"",N('Juillet'!W64))</f>
        <v/>
      </c>
      <c r="J189" s="11">
        <f>IF(N('Août'!W64)=0,"",N('Août'!W64))</f>
        <v/>
      </c>
      <c r="K189" s="11">
        <f>IF(N('Septembre'!W64)=0,"",N('Septembre'!W64))</f>
        <v/>
      </c>
      <c r="L189" s="11">
        <f>IF(N('Octobre'!W64)=0,"",N('Octobre'!W64))</f>
        <v/>
      </c>
      <c r="M189" s="11">
        <f>IF(N('Novembre'!W64)=0,"",N('Novembre'!W64))</f>
        <v/>
      </c>
      <c r="N189" s="11">
        <f>IF(N('Décembre'!W64)=0,"",N('Décembre'!W64))</f>
        <v/>
      </c>
      <c r="O189" s="22">
        <f>IF(N189&lt;&gt;"",N189,IF(M189&lt;&gt;"",M189,IF(L189&lt;&gt;"",L189,IF(K189&lt;&gt;"",K189,IF(J189&lt;&gt;"",J189,IF(I189&lt;&gt;"",I189,IF(H189&lt;&gt;"",H189,IF(G189&lt;&gt;"",G189,IF(F189&lt;&gt;"",F189,IF(E189&lt;&gt;"",E189,IF(D189&lt;&gt;"",D189,IF(C189&lt;&gt;"",C189,""))))))))))))</f>
        <v/>
      </c>
    </row>
    <row r="190">
      <c r="A190" s="33">
        <f>IF(Produits!$A$64="","",Produits!$A$64)</f>
        <v/>
      </c>
      <c r="B190" s="34">
        <f>IF(Produits!$A$64="","",Produits!$C$64)</f>
        <v/>
      </c>
      <c r="C190" s="11">
        <f>IF(N('Janvier'!W65)=0,"",N('Janvier'!W65))</f>
        <v/>
      </c>
      <c r="D190" s="11">
        <f>IF(N('Février'!W65)=0,"",N('Février'!W65))</f>
        <v/>
      </c>
      <c r="E190" s="11">
        <f>IF(N('Mars'!W65)=0,"",N('Mars'!W65))</f>
        <v/>
      </c>
      <c r="F190" s="11">
        <f>IF(N('Avril'!W65)=0,"",N('Avril'!W65))</f>
        <v/>
      </c>
      <c r="G190" s="11">
        <f>IF(N('Mai'!W65)=0,"",N('Mai'!W65))</f>
        <v/>
      </c>
      <c r="H190" s="11">
        <f>IF(N('Juin'!W65)=0,"",N('Juin'!W65))</f>
        <v/>
      </c>
      <c r="I190" s="11">
        <f>IF(N('Juillet'!W65)=0,"",N('Juillet'!W65))</f>
        <v/>
      </c>
      <c r="J190" s="11">
        <f>IF(N('Août'!W65)=0,"",N('Août'!W65))</f>
        <v/>
      </c>
      <c r="K190" s="11">
        <f>IF(N('Septembre'!W65)=0,"",N('Septembre'!W65))</f>
        <v/>
      </c>
      <c r="L190" s="11">
        <f>IF(N('Octobre'!W65)=0,"",N('Octobre'!W65))</f>
        <v/>
      </c>
      <c r="M190" s="11">
        <f>IF(N('Novembre'!W65)=0,"",N('Novembre'!W65))</f>
        <v/>
      </c>
      <c r="N190" s="11">
        <f>IF(N('Décembre'!W65)=0,"",N('Décembre'!W65))</f>
        <v/>
      </c>
      <c r="O190" s="22">
        <f>IF(N190&lt;&gt;"",N190,IF(M190&lt;&gt;"",M190,IF(L190&lt;&gt;"",L190,IF(K190&lt;&gt;"",K190,IF(J190&lt;&gt;"",J190,IF(I190&lt;&gt;"",I190,IF(H190&lt;&gt;"",H190,IF(G190&lt;&gt;"",G190,IF(F190&lt;&gt;"",F190,IF(E190&lt;&gt;"",E190,IF(D190&lt;&gt;"",D190,IF(C190&lt;&gt;"",C190,""))))))))))))</f>
        <v/>
      </c>
    </row>
    <row r="191">
      <c r="A191" s="33">
        <f>IF(Produits!$A$65="","",Produits!$A$65)</f>
        <v/>
      </c>
      <c r="B191" s="34">
        <f>IF(Produits!$A$65="","",Produits!$C$65)</f>
        <v/>
      </c>
      <c r="C191" s="11">
        <f>IF(N('Janvier'!W66)=0,"",N('Janvier'!W66))</f>
        <v/>
      </c>
      <c r="D191" s="11">
        <f>IF(N('Février'!W66)=0,"",N('Février'!W66))</f>
        <v/>
      </c>
      <c r="E191" s="11">
        <f>IF(N('Mars'!W66)=0,"",N('Mars'!W66))</f>
        <v/>
      </c>
      <c r="F191" s="11">
        <f>IF(N('Avril'!W66)=0,"",N('Avril'!W66))</f>
        <v/>
      </c>
      <c r="G191" s="11">
        <f>IF(N('Mai'!W66)=0,"",N('Mai'!W66))</f>
        <v/>
      </c>
      <c r="H191" s="11">
        <f>IF(N('Juin'!W66)=0,"",N('Juin'!W66))</f>
        <v/>
      </c>
      <c r="I191" s="11">
        <f>IF(N('Juillet'!W66)=0,"",N('Juillet'!W66))</f>
        <v/>
      </c>
      <c r="J191" s="11">
        <f>IF(N('Août'!W66)=0,"",N('Août'!W66))</f>
        <v/>
      </c>
      <c r="K191" s="11">
        <f>IF(N('Septembre'!W66)=0,"",N('Septembre'!W66))</f>
        <v/>
      </c>
      <c r="L191" s="11">
        <f>IF(N('Octobre'!W66)=0,"",N('Octobre'!W66))</f>
        <v/>
      </c>
      <c r="M191" s="11">
        <f>IF(N('Novembre'!W66)=0,"",N('Novembre'!W66))</f>
        <v/>
      </c>
      <c r="N191" s="11">
        <f>IF(N('Décembre'!W66)=0,"",N('Décembre'!W66))</f>
        <v/>
      </c>
      <c r="O191" s="22">
        <f>IF(N191&lt;&gt;"",N191,IF(M191&lt;&gt;"",M191,IF(L191&lt;&gt;"",L191,IF(K191&lt;&gt;"",K191,IF(J191&lt;&gt;"",J191,IF(I191&lt;&gt;"",I191,IF(H191&lt;&gt;"",H191,IF(G191&lt;&gt;"",G191,IF(F191&lt;&gt;"",F191,IF(E191&lt;&gt;"",E191,IF(D191&lt;&gt;"",D191,IF(C191&lt;&gt;"",C191,""))))))))))))</f>
        <v/>
      </c>
    </row>
    <row r="192">
      <c r="A192" s="33">
        <f>IF(Produits!$A$66="","",Produits!$A$66)</f>
        <v/>
      </c>
      <c r="B192" s="34">
        <f>IF(Produits!$A$66="","",Produits!$C$66)</f>
        <v/>
      </c>
      <c r="C192" s="11">
        <f>IF(N('Janvier'!W67)=0,"",N('Janvier'!W67))</f>
        <v/>
      </c>
      <c r="D192" s="11">
        <f>IF(N('Février'!W67)=0,"",N('Février'!W67))</f>
        <v/>
      </c>
      <c r="E192" s="11">
        <f>IF(N('Mars'!W67)=0,"",N('Mars'!W67))</f>
        <v/>
      </c>
      <c r="F192" s="11">
        <f>IF(N('Avril'!W67)=0,"",N('Avril'!W67))</f>
        <v/>
      </c>
      <c r="G192" s="11">
        <f>IF(N('Mai'!W67)=0,"",N('Mai'!W67))</f>
        <v/>
      </c>
      <c r="H192" s="11">
        <f>IF(N('Juin'!W67)=0,"",N('Juin'!W67))</f>
        <v/>
      </c>
      <c r="I192" s="11">
        <f>IF(N('Juillet'!W67)=0,"",N('Juillet'!W67))</f>
        <v/>
      </c>
      <c r="J192" s="11">
        <f>IF(N('Août'!W67)=0,"",N('Août'!W67))</f>
        <v/>
      </c>
      <c r="K192" s="11">
        <f>IF(N('Septembre'!W67)=0,"",N('Septembre'!W67))</f>
        <v/>
      </c>
      <c r="L192" s="11">
        <f>IF(N('Octobre'!W67)=0,"",N('Octobre'!W67))</f>
        <v/>
      </c>
      <c r="M192" s="11">
        <f>IF(N('Novembre'!W67)=0,"",N('Novembre'!W67))</f>
        <v/>
      </c>
      <c r="N192" s="11">
        <f>IF(N('Décembre'!W67)=0,"",N('Décembre'!W67))</f>
        <v/>
      </c>
      <c r="O192" s="22">
        <f>IF(N192&lt;&gt;"",N192,IF(M192&lt;&gt;"",M192,IF(L192&lt;&gt;"",L192,IF(K192&lt;&gt;"",K192,IF(J192&lt;&gt;"",J192,IF(I192&lt;&gt;"",I192,IF(H192&lt;&gt;"",H192,IF(G192&lt;&gt;"",G192,IF(F192&lt;&gt;"",F192,IF(E192&lt;&gt;"",E192,IF(D192&lt;&gt;"",D192,IF(C192&lt;&gt;"",C192,""))))))))))))</f>
        <v/>
      </c>
    </row>
    <row r="193">
      <c r="A193" s="33">
        <f>IF(Produits!$A$67="","",Produits!$A$67)</f>
        <v/>
      </c>
      <c r="B193" s="34">
        <f>IF(Produits!$A$67="","",Produits!$C$67)</f>
        <v/>
      </c>
      <c r="C193" s="11">
        <f>IF(N('Janvier'!W68)=0,"",N('Janvier'!W68))</f>
        <v/>
      </c>
      <c r="D193" s="11">
        <f>IF(N('Février'!W68)=0,"",N('Février'!W68))</f>
        <v/>
      </c>
      <c r="E193" s="11">
        <f>IF(N('Mars'!W68)=0,"",N('Mars'!W68))</f>
        <v/>
      </c>
      <c r="F193" s="11">
        <f>IF(N('Avril'!W68)=0,"",N('Avril'!W68))</f>
        <v/>
      </c>
      <c r="G193" s="11">
        <f>IF(N('Mai'!W68)=0,"",N('Mai'!W68))</f>
        <v/>
      </c>
      <c r="H193" s="11">
        <f>IF(N('Juin'!W68)=0,"",N('Juin'!W68))</f>
        <v/>
      </c>
      <c r="I193" s="11">
        <f>IF(N('Juillet'!W68)=0,"",N('Juillet'!W68))</f>
        <v/>
      </c>
      <c r="J193" s="11">
        <f>IF(N('Août'!W68)=0,"",N('Août'!W68))</f>
        <v/>
      </c>
      <c r="K193" s="11">
        <f>IF(N('Septembre'!W68)=0,"",N('Septembre'!W68))</f>
        <v/>
      </c>
      <c r="L193" s="11">
        <f>IF(N('Octobre'!W68)=0,"",N('Octobre'!W68))</f>
        <v/>
      </c>
      <c r="M193" s="11">
        <f>IF(N('Novembre'!W68)=0,"",N('Novembre'!W68))</f>
        <v/>
      </c>
      <c r="N193" s="11">
        <f>IF(N('Décembre'!W68)=0,"",N('Décembre'!W68))</f>
        <v/>
      </c>
      <c r="O193" s="22">
        <f>IF(N193&lt;&gt;"",N193,IF(M193&lt;&gt;"",M193,IF(L193&lt;&gt;"",L193,IF(K193&lt;&gt;"",K193,IF(J193&lt;&gt;"",J193,IF(I193&lt;&gt;"",I193,IF(H193&lt;&gt;"",H193,IF(G193&lt;&gt;"",G193,IF(F193&lt;&gt;"",F193,IF(E193&lt;&gt;"",E193,IF(D193&lt;&gt;"",D193,IF(C193&lt;&gt;"",C193,""))))))))))))</f>
        <v/>
      </c>
    </row>
    <row r="194">
      <c r="A194" s="33">
        <f>IF(Produits!$A$68="","",Produits!$A$68)</f>
        <v/>
      </c>
      <c r="B194" s="34">
        <f>IF(Produits!$A$68="","",Produits!$C$68)</f>
        <v/>
      </c>
      <c r="C194" s="11">
        <f>IF(N('Janvier'!W69)=0,"",N('Janvier'!W69))</f>
        <v/>
      </c>
      <c r="D194" s="11">
        <f>IF(N('Février'!W69)=0,"",N('Février'!W69))</f>
        <v/>
      </c>
      <c r="E194" s="11">
        <f>IF(N('Mars'!W69)=0,"",N('Mars'!W69))</f>
        <v/>
      </c>
      <c r="F194" s="11">
        <f>IF(N('Avril'!W69)=0,"",N('Avril'!W69))</f>
        <v/>
      </c>
      <c r="G194" s="11">
        <f>IF(N('Mai'!W69)=0,"",N('Mai'!W69))</f>
        <v/>
      </c>
      <c r="H194" s="11">
        <f>IF(N('Juin'!W69)=0,"",N('Juin'!W69))</f>
        <v/>
      </c>
      <c r="I194" s="11">
        <f>IF(N('Juillet'!W69)=0,"",N('Juillet'!W69))</f>
        <v/>
      </c>
      <c r="J194" s="11">
        <f>IF(N('Août'!W69)=0,"",N('Août'!W69))</f>
        <v/>
      </c>
      <c r="K194" s="11">
        <f>IF(N('Septembre'!W69)=0,"",N('Septembre'!W69))</f>
        <v/>
      </c>
      <c r="L194" s="11">
        <f>IF(N('Octobre'!W69)=0,"",N('Octobre'!W69))</f>
        <v/>
      </c>
      <c r="M194" s="11">
        <f>IF(N('Novembre'!W69)=0,"",N('Novembre'!W69))</f>
        <v/>
      </c>
      <c r="N194" s="11">
        <f>IF(N('Décembre'!W69)=0,"",N('Décembre'!W69))</f>
        <v/>
      </c>
      <c r="O194" s="22">
        <f>IF(N194&lt;&gt;"",N194,IF(M194&lt;&gt;"",M194,IF(L194&lt;&gt;"",L194,IF(K194&lt;&gt;"",K194,IF(J194&lt;&gt;"",J194,IF(I194&lt;&gt;"",I194,IF(H194&lt;&gt;"",H194,IF(G194&lt;&gt;"",G194,IF(F194&lt;&gt;"",F194,IF(E194&lt;&gt;"",E194,IF(D194&lt;&gt;"",D194,IF(C194&lt;&gt;"",C194,""))))))))))))</f>
        <v/>
      </c>
    </row>
  </sheetData>
  <mergeCells count="1">
    <mergeCell ref="A130:B13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2026-10-10T15:20:19Z</dcterms:created>
  <dcterms:modified xmlns:dcterms="http://purl.org/dc/terms/" xmlns:xsi="http://www.w3.org/2001/XMLSchema-instance" xsi:type="dcterms:W3CDTF">2026-10-10T15:20:22Z</dcterms:modified>
</cp:coreProperties>
</file>