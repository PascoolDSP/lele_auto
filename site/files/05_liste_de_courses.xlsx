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Octobre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B8860B"/>
      <sz val="16"/>
    </font>
    <font>
      <name val="Arial"/>
      <i val="1"/>
      <color rgb="00666666"/>
      <sz val="9"/>
    </font>
    <font>
      <name val="Arial"/>
      <b val="1"/>
      <color rgb="00B8860B"/>
    </font>
    <font>
      <name val="Arial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F4FD1"/>
    </font>
    <font>
      <name val="Arial"/>
      <b val="1"/>
      <color rgb="00000000"/>
      <sz val="10"/>
    </font>
    <font>
      <name val="Arial"/>
      <color rgb="00555555"/>
      <sz val="10"/>
    </font>
    <font>
      <name val="Arial"/>
      <color rgb="00555555"/>
    </font>
    <font>
      <name val="Arial"/>
      <i val="1"/>
      <color rgb="008A6D00"/>
    </font>
  </fonts>
  <fills count="5">
    <fill>
      <patternFill/>
    </fill>
    <fill>
      <patternFill patternType="gray125"/>
    </fill>
    <fill>
      <patternFill patternType="solid">
        <fgColor rgb="00B8860B"/>
      </patternFill>
    </fill>
    <fill>
      <patternFill patternType="solid">
        <fgColor rgb="00FFF6D5"/>
      </patternFill>
    </fill>
    <fill>
      <patternFill patternType="solid">
        <fgColor rgb="00F0E6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0" fillId="2" borderId="1" pivotButton="0" quotePrefix="0" xfId="0"/>
    <xf numFmtId="164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BDDB0"/>
        </patternFill>
      </fill>
    </dxf>
    <dxf>
      <fill>
        <patternFill patternType="solid">
          <fgColor rgb="00F8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lele_auto</author>
  </authors>
  <commentList>
    <comment ref="E5" authorId="0" shapeId="0">
      <text>
        <t>Date du comptage (facultatif)</t>
      </text>
    </comment>
    <comment ref="I5" authorId="0" shapeId="0">
      <text>
        <t>Date du comptage (facultatif)</t>
      </text>
    </comment>
    <comment ref="M5" authorId="0" shapeId="0">
      <text>
        <t>Date du comptage (facultatif)</t>
      </text>
    </comment>
    <comment ref="Q5" authorId="0" shapeId="0">
      <text>
        <t>Date du comptage (facultatif)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5 · La liste de courses</t>
        </is>
      </c>
    </row>
    <row r="2">
      <c r="A2" s="2" t="inlineStr">
        <is>
          <t>Proposition de tableau de gestion des stocks — Excel et Google Sheets</t>
        </is>
      </c>
    </row>
    <row r="4">
      <c r="A4" s="3" t="inlineStr">
        <is>
          <t>L'idée</t>
        </is>
      </c>
      <c r="B4" s="4" t="inlineStr">
        <is>
          <t>Pour chaque produit, tu indiques une fois pour toutes ton stock minimum et ton stock idéal. Le vendredi, tu comptes ce qu'il reste : le fichier te propose la quantité à commander et signale en orange ce qui est passé sous le minimum. Tu restes libre de commander autre chose.</t>
        </is>
      </c>
    </row>
    <row r="5">
      <c r="A5" s="5" t="inlineStr"/>
      <c r="B5" s="4" t="inlineStr"/>
    </row>
    <row r="6">
      <c r="A6" s="5" t="inlineStr">
        <is>
          <t>Comment faire</t>
        </is>
      </c>
      <c r="B6" s="4" t="inlineStr">
        <is>
          <t>1. Onglet Produits : produit, fournisseur, unité, stock minimum, stock idéal.</t>
        </is>
      </c>
    </row>
    <row r="7">
      <c r="A7" s="5" t="inlineStr"/>
      <c r="B7" s="4" t="inlineStr">
        <is>
          <t>2. Le vendredi : colonne Stock. La colonne Suggéré se remplit (stock idéal − stock restant).</t>
        </is>
      </c>
    </row>
    <row r="8">
      <c r="A8" s="5" t="inlineStr"/>
      <c r="B8" s="4" t="inlineStr">
        <is>
          <t>3. Tu écris ce que tu commandes vraiment dans Commandé (tu peux suivre la suggestion ou pas).</t>
        </is>
      </c>
    </row>
    <row r="9">
      <c r="A9" s="5" t="inlineStr"/>
      <c r="B9" s="4" t="inlineStr">
        <is>
          <t>4. À la livraison : Reçu. Nouveau mois : duplique l'onglet du mois.</t>
        </is>
      </c>
    </row>
    <row r="10">
      <c r="A10" s="5" t="inlineStr"/>
      <c r="B10" s="4" t="inlineStr"/>
    </row>
    <row r="11">
      <c r="A11" s="5" t="inlineStr">
        <is>
          <t>Les onglets</t>
        </is>
      </c>
      <c r="B11" s="4" t="inlineStr">
        <is>
          <t>Produits — ta liste, avec stock minimum et stock idéal.</t>
        </is>
      </c>
    </row>
    <row r="12">
      <c r="A12" s="5" t="inlineStr"/>
      <c r="B12" s="4" t="inlineStr">
        <is>
          <t>Octobre 2026 — 4 semaines ; orange = sous le minimum, rouge = livraison incomplète.</t>
        </is>
      </c>
    </row>
    <row r="13">
      <c r="A13" s="5" t="inlineStr"/>
      <c r="B13" s="4" t="inlineStr"/>
    </row>
    <row r="14">
      <c r="A14" s="5" t="inlineStr">
        <is>
          <t>Couleurs</t>
        </is>
      </c>
      <c r="B14" s="4" t="inlineStr">
        <is>
          <t>Cases jaunes = à remplir. Cases blanches = calculées toutes seules, ne pas y toucher.</t>
        </is>
      </c>
    </row>
    <row r="15">
      <c r="A15" s="5" t="inlineStr"/>
      <c r="B15" s="4" t="inlineStr">
        <is>
          <t>Chiffres en bleu = exemple pour montrer le fonctionnement, à effacer.</t>
        </is>
      </c>
    </row>
    <row r="16">
      <c r="A16" s="5" t="inlineStr"/>
      <c r="B16" s="4" t="inlineStr">
        <is>
          <t>Rouge = il manque quelque chose (livraison incomplète, stock trop bas).</t>
        </is>
      </c>
    </row>
    <row r="17">
      <c r="A17" s="5" t="inlineStr"/>
      <c r="B17" s="4" t="inlineStr"/>
    </row>
    <row r="18">
      <c r="A18" s="5" t="inlineStr">
        <is>
          <t>Google Sheets</t>
        </is>
      </c>
      <c r="B18" s="4" t="inlineStr">
        <is>
          <t>Fichier &gt; Importer &gt; Importer ce fichier. Tout fonctionne pareil, y compris sur téléphone.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  <col width="13" customWidth="1" min="4" max="4"/>
    <col width="12" customWidth="1" min="5" max="5"/>
  </cols>
  <sheetData>
    <row r="1" ht="26" customHeight="1">
      <c r="A1" s="1" t="inlineStr">
        <is>
          <t>Mes produits</t>
        </is>
      </c>
    </row>
    <row r="2">
      <c r="A2" s="2" t="inlineStr">
        <is>
          <t>Une ligne par produit. Tout le reste du fichier se remplit à partir de cette liste.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  <c r="D4" s="6" t="inlineStr">
        <is>
          <t>Stock minimum</t>
        </is>
      </c>
      <c r="E4" s="6" t="inlineStr">
        <is>
          <t>Stock idéal</t>
        </is>
      </c>
    </row>
    <row r="5">
      <c r="A5" s="7" t="inlineStr">
        <is>
          <t>Farine T55</t>
        </is>
      </c>
      <c r="B5" s="7" t="inlineStr">
        <is>
          <t>Metro</t>
        </is>
      </c>
      <c r="C5" s="8" t="inlineStr">
        <is>
          <t>kg</t>
        </is>
      </c>
      <c r="D5" s="8" t="n">
        <v>5</v>
      </c>
      <c r="E5" s="8" t="n">
        <v>15</v>
      </c>
    </row>
    <row r="6">
      <c r="A6" s="7" t="inlineStr">
        <is>
          <t>Farine T45</t>
        </is>
      </c>
      <c r="B6" s="7" t="inlineStr">
        <is>
          <t>Metro</t>
        </is>
      </c>
      <c r="C6" s="8" t="inlineStr">
        <is>
          <t>kg</t>
        </is>
      </c>
      <c r="D6" s="8" t="n">
        <v>3</v>
      </c>
      <c r="E6" s="8" t="n">
        <v>8</v>
      </c>
    </row>
    <row r="7">
      <c r="A7" s="7" t="inlineStr">
        <is>
          <t>Sucre semoule</t>
        </is>
      </c>
      <c r="B7" s="7" t="inlineStr">
        <is>
          <t>Metro</t>
        </is>
      </c>
      <c r="C7" s="8" t="inlineStr">
        <is>
          <t>kg</t>
        </is>
      </c>
      <c r="D7" s="8" t="n">
        <v>5</v>
      </c>
      <c r="E7" s="8" t="n">
        <v>15</v>
      </c>
    </row>
    <row r="8">
      <c r="A8" s="7" t="inlineStr">
        <is>
          <t>Sucre glace</t>
        </is>
      </c>
      <c r="B8" s="7" t="inlineStr">
        <is>
          <t>Metro</t>
        </is>
      </c>
      <c r="C8" s="8" t="inlineStr">
        <is>
          <t>kg</t>
        </is>
      </c>
      <c r="D8" s="8" t="n">
        <v>2</v>
      </c>
      <c r="E8" s="8" t="n">
        <v>4</v>
      </c>
    </row>
    <row r="9">
      <c r="A9" s="7" t="inlineStr">
        <is>
          <t>Beurre doux</t>
        </is>
      </c>
      <c r="B9" s="7" t="inlineStr">
        <is>
          <t>Crèmerie</t>
        </is>
      </c>
      <c r="C9" s="8" t="inlineStr">
        <is>
          <t>kg</t>
        </is>
      </c>
      <c r="D9" s="8" t="n">
        <v>4</v>
      </c>
      <c r="E9" s="8" t="n">
        <v>8</v>
      </c>
    </row>
    <row r="10">
      <c r="A10" s="7" t="inlineStr">
        <is>
          <t>Crème liquide 35%</t>
        </is>
      </c>
      <c r="B10" s="7" t="inlineStr">
        <is>
          <t>Crèmerie</t>
        </is>
      </c>
      <c r="C10" s="8" t="inlineStr">
        <is>
          <t>L</t>
        </is>
      </c>
      <c r="D10" s="8" t="n">
        <v>6</v>
      </c>
      <c r="E10" s="8" t="n">
        <v>15</v>
      </c>
    </row>
    <row r="11">
      <c r="A11" s="7" t="inlineStr">
        <is>
          <t>Lait entier</t>
        </is>
      </c>
      <c r="B11" s="7" t="inlineStr">
        <is>
          <t>Crèmerie</t>
        </is>
      </c>
      <c r="C11" s="8" t="inlineStr">
        <is>
          <t>L</t>
        </is>
      </c>
      <c r="D11" s="8" t="n">
        <v>5</v>
      </c>
      <c r="E11" s="8" t="n">
        <v>10</v>
      </c>
    </row>
    <row r="12">
      <c r="A12" s="7" t="inlineStr">
        <is>
          <t>Oeufs</t>
        </is>
      </c>
      <c r="B12" s="7" t="inlineStr">
        <is>
          <t>Crèmerie</t>
        </is>
      </c>
      <c r="C12" s="8" t="inlineStr">
        <is>
          <t>pièce</t>
        </is>
      </c>
      <c r="D12" s="8" t="n">
        <v>60</v>
      </c>
      <c r="E12" s="8" t="n">
        <v>150</v>
      </c>
    </row>
    <row r="13">
      <c r="A13" s="7" t="inlineStr">
        <is>
          <t>Chocolat blanc</t>
        </is>
      </c>
      <c r="B13" s="7" t="inlineStr">
        <is>
          <t>Transgourmet</t>
        </is>
      </c>
      <c r="C13" s="8" t="inlineStr">
        <is>
          <t>kg</t>
        </is>
      </c>
      <c r="D13" s="8" t="n">
        <v>2</v>
      </c>
      <c r="E13" s="8" t="n">
        <v>4</v>
      </c>
    </row>
    <row r="14">
      <c r="A14" s="7" t="inlineStr">
        <is>
          <t>Chocolat noir 70%</t>
        </is>
      </c>
      <c r="B14" s="7" t="inlineStr">
        <is>
          <t>Transgourmet</t>
        </is>
      </c>
      <c r="C14" s="8" t="inlineStr">
        <is>
          <t>kg</t>
        </is>
      </c>
      <c r="D14" s="8" t="n">
        <v>2</v>
      </c>
      <c r="E14" s="8" t="n">
        <v>4</v>
      </c>
    </row>
    <row r="15">
      <c r="A15" s="7" t="inlineStr">
        <is>
          <t>Levure chimique</t>
        </is>
      </c>
      <c r="B15" s="7" t="inlineStr">
        <is>
          <t>Transgourmet</t>
        </is>
      </c>
      <c r="C15" s="8" t="inlineStr">
        <is>
          <t>kg</t>
        </is>
      </c>
      <c r="D15" s="8" t="n">
        <v>0.5</v>
      </c>
      <c r="E15" s="8" t="n">
        <v>1</v>
      </c>
    </row>
    <row r="16">
      <c r="A16" s="7" t="inlineStr">
        <is>
          <t>Vanille (gousse)</t>
        </is>
      </c>
      <c r="B16" s="7" t="inlineStr">
        <is>
          <t>Transgourmet</t>
        </is>
      </c>
      <c r="C16" s="8" t="inlineStr">
        <is>
          <t>pièce</t>
        </is>
      </c>
      <c r="D16" s="8" t="n">
        <v>5</v>
      </c>
      <c r="E16" s="8" t="n">
        <v>10</v>
      </c>
    </row>
    <row r="17">
      <c r="A17" s="9" t="n"/>
      <c r="B17" s="9" t="n"/>
      <c r="C17" s="10" t="n"/>
      <c r="D17" s="10" t="n"/>
      <c r="E17" s="10" t="n"/>
    </row>
    <row r="18">
      <c r="A18" s="9" t="n"/>
      <c r="B18" s="9" t="n"/>
      <c r="C18" s="10" t="n"/>
      <c r="D18" s="10" t="n"/>
      <c r="E18" s="10" t="n"/>
    </row>
    <row r="19">
      <c r="A19" s="9" t="n"/>
      <c r="B19" s="9" t="n"/>
      <c r="C19" s="10" t="n"/>
      <c r="D19" s="10" t="n"/>
      <c r="E19" s="10" t="n"/>
    </row>
    <row r="20">
      <c r="A20" s="9" t="n"/>
      <c r="B20" s="9" t="n"/>
      <c r="C20" s="10" t="n"/>
      <c r="D20" s="10" t="n"/>
      <c r="E20" s="10" t="n"/>
    </row>
    <row r="21">
      <c r="A21" s="9" t="n"/>
      <c r="B21" s="9" t="n"/>
      <c r="C21" s="10" t="n"/>
      <c r="D21" s="10" t="n"/>
      <c r="E21" s="10" t="n"/>
    </row>
    <row r="22">
      <c r="A22" s="9" t="n"/>
      <c r="B22" s="9" t="n"/>
      <c r="C22" s="10" t="n"/>
      <c r="D22" s="10" t="n"/>
      <c r="E22" s="10" t="n"/>
    </row>
    <row r="23">
      <c r="A23" s="9" t="n"/>
      <c r="B23" s="9" t="n"/>
      <c r="C23" s="10" t="n"/>
      <c r="D23" s="10" t="n"/>
      <c r="E23" s="10" t="n"/>
    </row>
    <row r="24">
      <c r="A24" s="9" t="n"/>
      <c r="B24" s="9" t="n"/>
      <c r="C24" s="10" t="n"/>
      <c r="D24" s="10" t="n"/>
      <c r="E24" s="10" t="n"/>
    </row>
    <row r="25">
      <c r="A25" s="9" t="n"/>
      <c r="B25" s="9" t="n"/>
      <c r="C25" s="10" t="n"/>
      <c r="D25" s="10" t="n"/>
      <c r="E25" s="10" t="n"/>
    </row>
    <row r="26">
      <c r="A26" s="9" t="n"/>
      <c r="B26" s="9" t="n"/>
      <c r="C26" s="10" t="n"/>
      <c r="D26" s="10" t="n"/>
      <c r="E26" s="10" t="n"/>
    </row>
    <row r="27">
      <c r="A27" s="9" t="n"/>
      <c r="B27" s="9" t="n"/>
      <c r="C27" s="10" t="n"/>
      <c r="D27" s="10" t="n"/>
      <c r="E27" s="10" t="n"/>
    </row>
    <row r="28">
      <c r="A28" s="9" t="n"/>
      <c r="B28" s="9" t="n"/>
      <c r="C28" s="10" t="n"/>
      <c r="D28" s="10" t="n"/>
      <c r="E28" s="10" t="n"/>
    </row>
    <row r="29">
      <c r="A29" s="9" t="n"/>
      <c r="B29" s="9" t="n"/>
      <c r="C29" s="10" t="n"/>
      <c r="D29" s="10" t="n"/>
      <c r="E29" s="10" t="n"/>
    </row>
    <row r="30">
      <c r="A30" s="9" t="n"/>
      <c r="B30" s="9" t="n"/>
      <c r="C30" s="10" t="n"/>
      <c r="D30" s="10" t="n"/>
      <c r="E30" s="10" t="n"/>
    </row>
    <row r="31">
      <c r="A31" s="9" t="n"/>
      <c r="B31" s="9" t="n"/>
      <c r="C31" s="10" t="n"/>
      <c r="D31" s="10" t="n"/>
      <c r="E31" s="10" t="n"/>
    </row>
    <row r="32">
      <c r="A32" s="9" t="n"/>
      <c r="B32" s="9" t="n"/>
      <c r="C32" s="10" t="n"/>
      <c r="D32" s="10" t="n"/>
      <c r="E32" s="10" t="n"/>
    </row>
    <row r="33">
      <c r="A33" s="9" t="n"/>
      <c r="B33" s="9" t="n"/>
      <c r="C33" s="10" t="n"/>
      <c r="D33" s="10" t="n"/>
      <c r="E33" s="10" t="n"/>
    </row>
    <row r="34">
      <c r="A34" s="9" t="n"/>
      <c r="B34" s="9" t="n"/>
      <c r="C34" s="10" t="n"/>
      <c r="D34" s="10" t="n"/>
      <c r="E34" s="10" t="n"/>
    </row>
    <row r="35">
      <c r="A35" s="9" t="n"/>
      <c r="B35" s="9" t="n"/>
      <c r="C35" s="10" t="n"/>
      <c r="D35" s="10" t="n"/>
      <c r="E35" s="10" t="n"/>
    </row>
    <row r="36">
      <c r="A36" s="9" t="n"/>
      <c r="B36" s="9" t="n"/>
      <c r="C36" s="10" t="n"/>
      <c r="D36" s="10" t="n"/>
      <c r="E36" s="10" t="n"/>
    </row>
    <row r="37">
      <c r="A37" s="9" t="n"/>
      <c r="B37" s="9" t="n"/>
      <c r="C37" s="10" t="n"/>
      <c r="D37" s="10" t="n"/>
      <c r="E37" s="10" t="n"/>
    </row>
    <row r="38">
      <c r="A38" s="9" t="n"/>
      <c r="B38" s="9" t="n"/>
      <c r="C38" s="10" t="n"/>
      <c r="D38" s="10" t="n"/>
      <c r="E38" s="10" t="n"/>
    </row>
    <row r="39">
      <c r="A39" s="9" t="n"/>
      <c r="B39" s="9" t="n"/>
      <c r="C39" s="10" t="n"/>
      <c r="D39" s="10" t="n"/>
      <c r="E39" s="10" t="n"/>
    </row>
    <row r="40">
      <c r="A40" s="9" t="n"/>
      <c r="B40" s="9" t="n"/>
      <c r="C40" s="10" t="n"/>
      <c r="D40" s="10" t="n"/>
      <c r="E40" s="10" t="n"/>
    </row>
    <row r="41">
      <c r="A41" s="9" t="n"/>
      <c r="B41" s="9" t="n"/>
      <c r="C41" s="10" t="n"/>
      <c r="D41" s="10" t="n"/>
      <c r="E41" s="10" t="n"/>
    </row>
    <row r="42">
      <c r="A42" s="9" t="n"/>
      <c r="B42" s="9" t="n"/>
      <c r="C42" s="10" t="n"/>
      <c r="D42" s="10" t="n"/>
      <c r="E42" s="10" t="n"/>
    </row>
    <row r="43">
      <c r="A43" s="9" t="n"/>
      <c r="B43" s="9" t="n"/>
      <c r="C43" s="10" t="n"/>
      <c r="D43" s="10" t="n"/>
      <c r="E43" s="10" t="n"/>
    </row>
    <row r="44">
      <c r="A44" s="9" t="n"/>
      <c r="B44" s="9" t="n"/>
      <c r="C44" s="10" t="n"/>
      <c r="D44" s="10" t="n"/>
      <c r="E44" s="10" t="n"/>
    </row>
  </sheetData>
  <dataValidations count="2">
    <dataValidation sqref="C5:C44" showDropDown="0" showInputMessage="0" showErrorMessage="0" allowBlank="1" type="list">
      <formula1>"kg,g,L,pièce,paquet,boîte,sac"</formula1>
    </dataValidation>
    <dataValidation sqref="D5:E44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2" customWidth="1" min="21" max="21"/>
    <col width="12" customWidth="1" min="22" max="22"/>
  </cols>
  <sheetData>
    <row r="1" ht="26" customHeight="1">
      <c r="A1" s="1" t="inlineStr">
        <is>
          <t>Octobre 2026</t>
        </is>
      </c>
    </row>
    <row r="2">
      <c r="A2" s="2" t="inlineStr">
        <is>
          <t>Suggéré = stock idéal − stock restant (arrondi). Orange = sous le minimum.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  <c r="D4" s="6" t="inlineStr">
        <is>
          <t>Stock mini</t>
        </is>
      </c>
      <c r="E4" s="6" t="inlineStr">
        <is>
          <t>Semaine 1</t>
        </is>
      </c>
      <c r="F4" s="11" t="n"/>
      <c r="G4" s="11" t="n"/>
      <c r="H4" s="11" t="n"/>
      <c r="I4" s="6" t="inlineStr">
        <is>
          <t>Semaine 2</t>
        </is>
      </c>
      <c r="J4" s="11" t="n"/>
      <c r="K4" s="11" t="n"/>
      <c r="L4" s="11" t="n"/>
      <c r="M4" s="6" t="inlineStr">
        <is>
          <t>Semaine 3</t>
        </is>
      </c>
      <c r="N4" s="11" t="n"/>
      <c r="O4" s="11" t="n"/>
      <c r="P4" s="11" t="n"/>
      <c r="Q4" s="6" t="inlineStr">
        <is>
          <t>Semaine 4</t>
        </is>
      </c>
      <c r="R4" s="11" t="n"/>
      <c r="S4" s="11" t="n"/>
      <c r="T4" s="11" t="n"/>
      <c r="U4" s="6" t="inlineStr">
        <is>
          <t>Total du mois</t>
        </is>
      </c>
      <c r="V4" s="11" t="n"/>
    </row>
    <row r="5">
      <c r="A5" s="11" t="n"/>
      <c r="B5" s="11" t="n"/>
      <c r="C5" s="11" t="n"/>
      <c r="D5" s="11" t="n"/>
      <c r="E5" s="12" t="n"/>
      <c r="F5" s="13" t="n"/>
      <c r="G5" s="13" t="n"/>
      <c r="H5" s="13" t="n"/>
      <c r="I5" s="12" t="n"/>
      <c r="J5" s="13" t="n"/>
      <c r="K5" s="13" t="n"/>
      <c r="L5" s="13" t="n"/>
      <c r="M5" s="12" t="n"/>
      <c r="N5" s="13" t="n"/>
      <c r="O5" s="13" t="n"/>
      <c r="P5" s="13" t="n"/>
      <c r="Q5" s="12" t="n"/>
      <c r="R5" s="13" t="n"/>
      <c r="S5" s="13" t="n"/>
      <c r="T5" s="13" t="n"/>
      <c r="U5" s="11" t="n"/>
      <c r="V5" s="11" t="n"/>
    </row>
    <row r="6">
      <c r="A6" s="11" t="n"/>
      <c r="B6" s="11" t="n"/>
      <c r="C6" s="11" t="n"/>
      <c r="D6" s="11" t="n"/>
      <c r="E6" s="14" t="inlineStr">
        <is>
          <t>Stock</t>
        </is>
      </c>
      <c r="F6" s="14" t="inlineStr">
        <is>
          <t>Suggéré</t>
        </is>
      </c>
      <c r="G6" s="14" t="inlineStr">
        <is>
          <t>Commandé</t>
        </is>
      </c>
      <c r="H6" s="14" t="inlineStr">
        <is>
          <t>Reçu</t>
        </is>
      </c>
      <c r="I6" s="14" t="inlineStr">
        <is>
          <t>Stock</t>
        </is>
      </c>
      <c r="J6" s="14" t="inlineStr">
        <is>
          <t>Suggéré</t>
        </is>
      </c>
      <c r="K6" s="14" t="inlineStr">
        <is>
          <t>Commandé</t>
        </is>
      </c>
      <c r="L6" s="14" t="inlineStr">
        <is>
          <t>Reçu</t>
        </is>
      </c>
      <c r="M6" s="14" t="inlineStr">
        <is>
          <t>Stock</t>
        </is>
      </c>
      <c r="N6" s="14" t="inlineStr">
        <is>
          <t>Suggéré</t>
        </is>
      </c>
      <c r="O6" s="14" t="inlineStr">
        <is>
          <t>Commandé</t>
        </is>
      </c>
      <c r="P6" s="14" t="inlineStr">
        <is>
          <t>Reçu</t>
        </is>
      </c>
      <c r="Q6" s="14" t="inlineStr">
        <is>
          <t>Stock</t>
        </is>
      </c>
      <c r="R6" s="14" t="inlineStr">
        <is>
          <t>Suggéré</t>
        </is>
      </c>
      <c r="S6" s="14" t="inlineStr">
        <is>
          <t>Commandé</t>
        </is>
      </c>
      <c r="T6" s="14" t="inlineStr">
        <is>
          <t>Reçu</t>
        </is>
      </c>
      <c r="U6" s="14" t="inlineStr">
        <is>
          <t>Commandé</t>
        </is>
      </c>
      <c r="V6" s="14" t="inlineStr">
        <is>
          <t>Reçu</t>
        </is>
      </c>
    </row>
    <row r="7">
      <c r="A7" s="15">
        <f>IF(Produits!$A$5="","",Produits!$A$5)</f>
        <v/>
      </c>
      <c r="B7" s="16">
        <f>IF(Produits!$A$5="","",Produits!$B$5)</f>
        <v/>
      </c>
      <c r="C7" s="17">
        <f>IF(Produits!$A$5="","",Produits!$C$5)</f>
        <v/>
      </c>
      <c r="D7" s="18">
        <f>IF(Produits!$A$5="","",Produits!$D$5)</f>
        <v/>
      </c>
      <c r="E7" s="8" t="n">
        <v>8</v>
      </c>
      <c r="F7" s="19">
        <f>IF(OR(E7="",Produits!$E$5=""),"",MAX(0,CEILING(Produits!$E$5-E7,1)))</f>
        <v/>
      </c>
      <c r="G7" s="8" t="n">
        <v>10</v>
      </c>
      <c r="H7" s="8" t="n">
        <v>7</v>
      </c>
      <c r="I7" s="8" t="n">
        <v>5</v>
      </c>
      <c r="J7" s="19">
        <f>IF(OR(I7="",Produits!$E$5=""),"",MAX(0,CEILING(Produits!$E$5-I7,1)))</f>
        <v/>
      </c>
      <c r="K7" s="8" t="n">
        <v>10</v>
      </c>
      <c r="L7" s="8" t="n">
        <v>10</v>
      </c>
      <c r="M7" s="10" t="n"/>
      <c r="N7" s="19">
        <f>IF(OR(M7="",Produits!$E$5=""),"",MAX(0,CEILING(Produits!$E$5-M7,1)))</f>
        <v/>
      </c>
      <c r="O7" s="10" t="n"/>
      <c r="P7" s="10" t="n"/>
      <c r="Q7" s="10" t="n"/>
      <c r="R7" s="19">
        <f>IF(OR(Q7="",Produits!$E$5=""),"",MAX(0,CEILING(Produits!$E$5-Q7,1)))</f>
        <v/>
      </c>
      <c r="S7" s="10" t="n"/>
      <c r="T7" s="10" t="n"/>
      <c r="U7" s="20">
        <f>IF(COUNT(G7,K7,O7,S7)=0,"",SUM(G7,K7,O7,S7))</f>
        <v/>
      </c>
      <c r="V7" s="20">
        <f>IF(COUNT(H7,L7,P7,T7)=0,"",SUM(H7,L7,P7,T7))</f>
        <v/>
      </c>
    </row>
    <row r="8">
      <c r="A8" s="15">
        <f>IF(Produits!$A$6="","",Produits!$A$6)</f>
        <v/>
      </c>
      <c r="B8" s="16">
        <f>IF(Produits!$A$6="","",Produits!$B$6)</f>
        <v/>
      </c>
      <c r="C8" s="17">
        <f>IF(Produits!$A$6="","",Produits!$C$6)</f>
        <v/>
      </c>
      <c r="D8" s="18">
        <f>IF(Produits!$A$6="","",Produits!$D$6)</f>
        <v/>
      </c>
      <c r="E8" s="8" t="n">
        <v>2</v>
      </c>
      <c r="F8" s="19">
        <f>IF(OR(E8="",Produits!$E$6=""),"",MAX(0,CEILING(Produits!$E$6-E8,1)))</f>
        <v/>
      </c>
      <c r="G8" s="8" t="n">
        <v>5</v>
      </c>
      <c r="H8" s="8" t="n">
        <v>5</v>
      </c>
      <c r="I8" s="8" t="n">
        <v>3</v>
      </c>
      <c r="J8" s="19">
        <f>IF(OR(I8="",Produits!$E$6=""),"",MAX(0,CEILING(Produits!$E$6-I8,1)))</f>
        <v/>
      </c>
      <c r="K8" s="8" t="n">
        <v>3</v>
      </c>
      <c r="L8" s="8" t="n">
        <v>3</v>
      </c>
      <c r="M8" s="10" t="n"/>
      <c r="N8" s="19">
        <f>IF(OR(M8="",Produits!$E$6=""),"",MAX(0,CEILING(Produits!$E$6-M8,1)))</f>
        <v/>
      </c>
      <c r="O8" s="10" t="n"/>
      <c r="P8" s="10" t="n"/>
      <c r="Q8" s="10" t="n"/>
      <c r="R8" s="19">
        <f>IF(OR(Q8="",Produits!$E$6=""),"",MAX(0,CEILING(Produits!$E$6-Q8,1)))</f>
        <v/>
      </c>
      <c r="S8" s="10" t="n"/>
      <c r="T8" s="10" t="n"/>
      <c r="U8" s="20">
        <f>IF(COUNT(G8,K8,O8,S8)=0,"",SUM(G8,K8,O8,S8))</f>
        <v/>
      </c>
      <c r="V8" s="20">
        <f>IF(COUNT(H8,L8,P8,T8)=0,"",SUM(H8,L8,P8,T8))</f>
        <v/>
      </c>
    </row>
    <row r="9">
      <c r="A9" s="15">
        <f>IF(Produits!$A$7="","",Produits!$A$7)</f>
        <v/>
      </c>
      <c r="B9" s="16">
        <f>IF(Produits!$A$7="","",Produits!$B$7)</f>
        <v/>
      </c>
      <c r="C9" s="17">
        <f>IF(Produits!$A$7="","",Produits!$C$7)</f>
        <v/>
      </c>
      <c r="D9" s="18">
        <f>IF(Produits!$A$7="","",Produits!$D$7)</f>
        <v/>
      </c>
      <c r="E9" s="8" t="n">
        <v>6</v>
      </c>
      <c r="F9" s="19">
        <f>IF(OR(E9="",Produits!$E$7=""),"",MAX(0,CEILING(Produits!$E$7-E9,1)))</f>
        <v/>
      </c>
      <c r="G9" s="8" t="n">
        <v>10</v>
      </c>
      <c r="H9" s="8" t="n">
        <v>10</v>
      </c>
      <c r="I9" s="8" t="n">
        <v>7</v>
      </c>
      <c r="J9" s="19">
        <f>IF(OR(I9="",Produits!$E$7=""),"",MAX(0,CEILING(Produits!$E$7-I9,1)))</f>
        <v/>
      </c>
      <c r="K9" s="8" t="n">
        <v>5</v>
      </c>
      <c r="L9" s="8" t="n">
        <v>5</v>
      </c>
      <c r="M9" s="10" t="n"/>
      <c r="N9" s="19">
        <f>IF(OR(M9="",Produits!$E$7=""),"",MAX(0,CEILING(Produits!$E$7-M9,1)))</f>
        <v/>
      </c>
      <c r="O9" s="10" t="n"/>
      <c r="P9" s="10" t="n"/>
      <c r="Q9" s="10" t="n"/>
      <c r="R9" s="19">
        <f>IF(OR(Q9="",Produits!$E$7=""),"",MAX(0,CEILING(Produits!$E$7-Q9,1)))</f>
        <v/>
      </c>
      <c r="S9" s="10" t="n"/>
      <c r="T9" s="10" t="n"/>
      <c r="U9" s="20">
        <f>IF(COUNT(G9,K9,O9,S9)=0,"",SUM(G9,K9,O9,S9))</f>
        <v/>
      </c>
      <c r="V9" s="20">
        <f>IF(COUNT(H9,L9,P9,T9)=0,"",SUM(H9,L9,P9,T9))</f>
        <v/>
      </c>
    </row>
    <row r="10">
      <c r="A10" s="15">
        <f>IF(Produits!$A$8="","",Produits!$A$8)</f>
        <v/>
      </c>
      <c r="B10" s="16">
        <f>IF(Produits!$A$8="","",Produits!$B$8)</f>
        <v/>
      </c>
      <c r="C10" s="17">
        <f>IF(Produits!$A$8="","",Produits!$C$8)</f>
        <v/>
      </c>
      <c r="D10" s="18">
        <f>IF(Produits!$A$8="","",Produits!$D$8)</f>
        <v/>
      </c>
      <c r="E10" s="8" t="n">
        <v>1</v>
      </c>
      <c r="F10" s="19">
        <f>IF(OR(E10="",Produits!$E$8=""),"",MAX(0,CEILING(Produits!$E$8-E10,1)))</f>
        <v/>
      </c>
      <c r="G10" s="8" t="n">
        <v>3</v>
      </c>
      <c r="H10" s="8" t="n">
        <v>3</v>
      </c>
      <c r="I10" s="8" t="n">
        <v>2</v>
      </c>
      <c r="J10" s="19">
        <f>IF(OR(I10="",Produits!$E$8=""),"",MAX(0,CEILING(Produits!$E$8-I10,1)))</f>
        <v/>
      </c>
      <c r="K10" s="8" t="n">
        <v>0</v>
      </c>
      <c r="L10" s="8" t="n">
        <v>0</v>
      </c>
      <c r="M10" s="10" t="n"/>
      <c r="N10" s="19">
        <f>IF(OR(M10="",Produits!$E$8=""),"",MAX(0,CEILING(Produits!$E$8-M10,1)))</f>
        <v/>
      </c>
      <c r="O10" s="10" t="n"/>
      <c r="P10" s="10" t="n"/>
      <c r="Q10" s="10" t="n"/>
      <c r="R10" s="19">
        <f>IF(OR(Q10="",Produits!$E$8=""),"",MAX(0,CEILING(Produits!$E$8-Q10,1)))</f>
        <v/>
      </c>
      <c r="S10" s="10" t="n"/>
      <c r="T10" s="10" t="n"/>
      <c r="U10" s="20">
        <f>IF(COUNT(G10,K10,O10,S10)=0,"",SUM(G10,K10,O10,S10))</f>
        <v/>
      </c>
      <c r="V10" s="20">
        <f>IF(COUNT(H10,L10,P10,T10)=0,"",SUM(H10,L10,P10,T10))</f>
        <v/>
      </c>
    </row>
    <row r="11">
      <c r="A11" s="15">
        <f>IF(Produits!$A$9="","",Produits!$A$9)</f>
        <v/>
      </c>
      <c r="B11" s="16">
        <f>IF(Produits!$A$9="","",Produits!$B$9)</f>
        <v/>
      </c>
      <c r="C11" s="17">
        <f>IF(Produits!$A$9="","",Produits!$C$9)</f>
        <v/>
      </c>
      <c r="D11" s="18">
        <f>IF(Produits!$A$9="","",Produits!$D$9)</f>
        <v/>
      </c>
      <c r="E11" s="8" t="n">
        <v>3</v>
      </c>
      <c r="F11" s="19">
        <f>IF(OR(E11="",Produits!$E$9=""),"",MAX(0,CEILING(Produits!$E$9-E11,1)))</f>
        <v/>
      </c>
      <c r="G11" s="8" t="n">
        <v>5</v>
      </c>
      <c r="H11" s="8" t="n">
        <v>5</v>
      </c>
      <c r="I11" s="8" t="n">
        <v>4</v>
      </c>
      <c r="J11" s="19">
        <f>IF(OR(I11="",Produits!$E$9=""),"",MAX(0,CEILING(Produits!$E$9-I11,1)))</f>
        <v/>
      </c>
      <c r="K11" s="8" t="n">
        <v>5</v>
      </c>
      <c r="L11" s="8" t="n">
        <v>5</v>
      </c>
      <c r="M11" s="10" t="n"/>
      <c r="N11" s="19">
        <f>IF(OR(M11="",Produits!$E$9=""),"",MAX(0,CEILING(Produits!$E$9-M11,1)))</f>
        <v/>
      </c>
      <c r="O11" s="10" t="n"/>
      <c r="P11" s="10" t="n"/>
      <c r="Q11" s="10" t="n"/>
      <c r="R11" s="19">
        <f>IF(OR(Q11="",Produits!$E$9=""),"",MAX(0,CEILING(Produits!$E$9-Q11,1)))</f>
        <v/>
      </c>
      <c r="S11" s="10" t="n"/>
      <c r="T11" s="10" t="n"/>
      <c r="U11" s="20">
        <f>IF(COUNT(G11,K11,O11,S11)=0,"",SUM(G11,K11,O11,S11))</f>
        <v/>
      </c>
      <c r="V11" s="20">
        <f>IF(COUNT(H11,L11,P11,T11)=0,"",SUM(H11,L11,P11,T11))</f>
        <v/>
      </c>
    </row>
    <row r="12">
      <c r="A12" s="15">
        <f>IF(Produits!$A$10="","",Produits!$A$10)</f>
        <v/>
      </c>
      <c r="B12" s="16">
        <f>IF(Produits!$A$10="","",Produits!$B$10)</f>
        <v/>
      </c>
      <c r="C12" s="17">
        <f>IF(Produits!$A$10="","",Produits!$C$10)</f>
        <v/>
      </c>
      <c r="D12" s="18">
        <f>IF(Produits!$A$10="","",Produits!$D$10)</f>
        <v/>
      </c>
      <c r="E12" s="8" t="n">
        <v>4</v>
      </c>
      <c r="F12" s="19">
        <f>IF(OR(E12="",Produits!$E$10=""),"",MAX(0,CEILING(Produits!$E$10-E12,1)))</f>
        <v/>
      </c>
      <c r="G12" s="8" t="n">
        <v>12</v>
      </c>
      <c r="H12" s="8" t="n">
        <v>12</v>
      </c>
      <c r="I12" s="8" t="n">
        <v>5</v>
      </c>
      <c r="J12" s="19">
        <f>IF(OR(I12="",Produits!$E$10=""),"",MAX(0,CEILING(Produits!$E$10-I12,1)))</f>
        <v/>
      </c>
      <c r="K12" s="8" t="n">
        <v>10</v>
      </c>
      <c r="L12" s="8" t="n">
        <v>10</v>
      </c>
      <c r="M12" s="10" t="n"/>
      <c r="N12" s="19">
        <f>IF(OR(M12="",Produits!$E$10=""),"",MAX(0,CEILING(Produits!$E$10-M12,1)))</f>
        <v/>
      </c>
      <c r="O12" s="10" t="n"/>
      <c r="P12" s="10" t="n"/>
      <c r="Q12" s="10" t="n"/>
      <c r="R12" s="19">
        <f>IF(OR(Q12="",Produits!$E$10=""),"",MAX(0,CEILING(Produits!$E$10-Q12,1)))</f>
        <v/>
      </c>
      <c r="S12" s="10" t="n"/>
      <c r="T12" s="10" t="n"/>
      <c r="U12" s="20">
        <f>IF(COUNT(G12,K12,O12,S12)=0,"",SUM(G12,K12,O12,S12))</f>
        <v/>
      </c>
      <c r="V12" s="20">
        <f>IF(COUNT(H12,L12,P12,T12)=0,"",SUM(H12,L12,P12,T12))</f>
        <v/>
      </c>
    </row>
    <row r="13">
      <c r="A13" s="15">
        <f>IF(Produits!$A$11="","",Produits!$A$11)</f>
        <v/>
      </c>
      <c r="B13" s="16">
        <f>IF(Produits!$A$11="","",Produits!$B$11)</f>
        <v/>
      </c>
      <c r="C13" s="17">
        <f>IF(Produits!$A$11="","",Produits!$C$11)</f>
        <v/>
      </c>
      <c r="D13" s="18">
        <f>IF(Produits!$A$11="","",Produits!$D$11)</f>
        <v/>
      </c>
      <c r="E13" s="8" t="n">
        <v>3</v>
      </c>
      <c r="F13" s="19">
        <f>IF(OR(E13="",Produits!$E$11=""),"",MAX(0,CEILING(Produits!$E$11-E13,1)))</f>
        <v/>
      </c>
      <c r="G13" s="8" t="n">
        <v>6</v>
      </c>
      <c r="H13" s="8" t="n">
        <v>6</v>
      </c>
      <c r="I13" s="8" t="n">
        <v>4</v>
      </c>
      <c r="J13" s="19">
        <f>IF(OR(I13="",Produits!$E$11=""),"",MAX(0,CEILING(Produits!$E$11-I13,1)))</f>
        <v/>
      </c>
      <c r="K13" s="8" t="n">
        <v>6</v>
      </c>
      <c r="L13" s="8" t="n">
        <v>6</v>
      </c>
      <c r="M13" s="10" t="n"/>
      <c r="N13" s="19">
        <f>IF(OR(M13="",Produits!$E$11=""),"",MAX(0,CEILING(Produits!$E$11-M13,1)))</f>
        <v/>
      </c>
      <c r="O13" s="10" t="n"/>
      <c r="P13" s="10" t="n"/>
      <c r="Q13" s="10" t="n"/>
      <c r="R13" s="19">
        <f>IF(OR(Q13="",Produits!$E$11=""),"",MAX(0,CEILING(Produits!$E$11-Q13,1)))</f>
        <v/>
      </c>
      <c r="S13" s="10" t="n"/>
      <c r="T13" s="10" t="n"/>
      <c r="U13" s="20">
        <f>IF(COUNT(G13,K13,O13,S13)=0,"",SUM(G13,K13,O13,S13))</f>
        <v/>
      </c>
      <c r="V13" s="20">
        <f>IF(COUNT(H13,L13,P13,T13)=0,"",SUM(H13,L13,P13,T13))</f>
        <v/>
      </c>
    </row>
    <row r="14">
      <c r="A14" s="15">
        <f>IF(Produits!$A$12="","",Produits!$A$12)</f>
        <v/>
      </c>
      <c r="B14" s="16">
        <f>IF(Produits!$A$12="","",Produits!$B$12)</f>
        <v/>
      </c>
      <c r="C14" s="17">
        <f>IF(Produits!$A$12="","",Produits!$C$12)</f>
        <v/>
      </c>
      <c r="D14" s="18">
        <f>IF(Produits!$A$12="","",Produits!$D$12)</f>
        <v/>
      </c>
      <c r="E14" s="8" t="n">
        <v>40</v>
      </c>
      <c r="F14" s="19">
        <f>IF(OR(E14="",Produits!$E$12=""),"",MAX(0,CEILING(Produits!$E$12-E14,1)))</f>
        <v/>
      </c>
      <c r="G14" s="8" t="n">
        <v>90</v>
      </c>
      <c r="H14" s="8" t="n">
        <v>90</v>
      </c>
      <c r="I14" s="8" t="n">
        <v>50</v>
      </c>
      <c r="J14" s="19">
        <f>IF(OR(I14="",Produits!$E$12=""),"",MAX(0,CEILING(Produits!$E$12-I14,1)))</f>
        <v/>
      </c>
      <c r="K14" s="8" t="n">
        <v>60</v>
      </c>
      <c r="L14" s="8" t="n">
        <v>60</v>
      </c>
      <c r="M14" s="10" t="n"/>
      <c r="N14" s="19">
        <f>IF(OR(M14="",Produits!$E$12=""),"",MAX(0,CEILING(Produits!$E$12-M14,1)))</f>
        <v/>
      </c>
      <c r="O14" s="10" t="n"/>
      <c r="P14" s="10" t="n"/>
      <c r="Q14" s="10" t="n"/>
      <c r="R14" s="19">
        <f>IF(OR(Q14="",Produits!$E$12=""),"",MAX(0,CEILING(Produits!$E$12-Q14,1)))</f>
        <v/>
      </c>
      <c r="S14" s="10" t="n"/>
      <c r="T14" s="10" t="n"/>
      <c r="U14" s="20">
        <f>IF(COUNT(G14,K14,O14,S14)=0,"",SUM(G14,K14,O14,S14))</f>
        <v/>
      </c>
      <c r="V14" s="20">
        <f>IF(COUNT(H14,L14,P14,T14)=0,"",SUM(H14,L14,P14,T14))</f>
        <v/>
      </c>
    </row>
    <row r="15">
      <c r="A15" s="15">
        <f>IF(Produits!$A$13="","",Produits!$A$13)</f>
        <v/>
      </c>
      <c r="B15" s="16">
        <f>IF(Produits!$A$13="","",Produits!$B$13)</f>
        <v/>
      </c>
      <c r="C15" s="17">
        <f>IF(Produits!$A$13="","",Produits!$C$13)</f>
        <v/>
      </c>
      <c r="D15" s="18">
        <f>IF(Produits!$A$13="","",Produits!$D$13)</f>
        <v/>
      </c>
      <c r="E15" s="8" t="n">
        <v>1.5</v>
      </c>
      <c r="F15" s="19">
        <f>IF(OR(E15="",Produits!$E$13=""),"",MAX(0,CEILING(Produits!$E$13-E15,1)))</f>
        <v/>
      </c>
      <c r="G15" s="8" t="n">
        <v>3</v>
      </c>
      <c r="H15" s="8" t="n">
        <v>2</v>
      </c>
      <c r="I15" s="8" t="n">
        <v>2</v>
      </c>
      <c r="J15" s="19">
        <f>IF(OR(I15="",Produits!$E$13=""),"",MAX(0,CEILING(Produits!$E$13-I15,1)))</f>
        <v/>
      </c>
      <c r="K15" s="8" t="n">
        <v>2</v>
      </c>
      <c r="L15" s="8" t="n">
        <v>2</v>
      </c>
      <c r="M15" s="10" t="n"/>
      <c r="N15" s="19">
        <f>IF(OR(M15="",Produits!$E$13=""),"",MAX(0,CEILING(Produits!$E$13-M15,1)))</f>
        <v/>
      </c>
      <c r="O15" s="10" t="n"/>
      <c r="P15" s="10" t="n"/>
      <c r="Q15" s="10" t="n"/>
      <c r="R15" s="19">
        <f>IF(OR(Q15="",Produits!$E$13=""),"",MAX(0,CEILING(Produits!$E$13-Q15,1)))</f>
        <v/>
      </c>
      <c r="S15" s="10" t="n"/>
      <c r="T15" s="10" t="n"/>
      <c r="U15" s="20">
        <f>IF(COUNT(G15,K15,O15,S15)=0,"",SUM(G15,K15,O15,S15))</f>
        <v/>
      </c>
      <c r="V15" s="20">
        <f>IF(COUNT(H15,L15,P15,T15)=0,"",SUM(H15,L15,P15,T15))</f>
        <v/>
      </c>
    </row>
    <row r="16">
      <c r="A16" s="15">
        <f>IF(Produits!$A$14="","",Produits!$A$14)</f>
        <v/>
      </c>
      <c r="B16" s="16">
        <f>IF(Produits!$A$14="","",Produits!$B$14)</f>
        <v/>
      </c>
      <c r="C16" s="17">
        <f>IF(Produits!$A$14="","",Produits!$C$14)</f>
        <v/>
      </c>
      <c r="D16" s="18">
        <f>IF(Produits!$A$14="","",Produits!$D$14)</f>
        <v/>
      </c>
      <c r="E16" s="8" t="n">
        <v>2</v>
      </c>
      <c r="F16" s="19">
        <f>IF(OR(E16="",Produits!$E$14=""),"",MAX(0,CEILING(Produits!$E$14-E16,1)))</f>
        <v/>
      </c>
      <c r="G16" s="8" t="n">
        <v>2</v>
      </c>
      <c r="H16" s="8" t="n">
        <v>2</v>
      </c>
      <c r="I16" s="8" t="n">
        <v>2</v>
      </c>
      <c r="J16" s="19">
        <f>IF(OR(I16="",Produits!$E$14=""),"",MAX(0,CEILING(Produits!$E$14-I16,1)))</f>
        <v/>
      </c>
      <c r="K16" s="8" t="n">
        <v>2</v>
      </c>
      <c r="L16" s="8" t="n">
        <v>2</v>
      </c>
      <c r="M16" s="10" t="n"/>
      <c r="N16" s="19">
        <f>IF(OR(M16="",Produits!$E$14=""),"",MAX(0,CEILING(Produits!$E$14-M16,1)))</f>
        <v/>
      </c>
      <c r="O16" s="10" t="n"/>
      <c r="P16" s="10" t="n"/>
      <c r="Q16" s="10" t="n"/>
      <c r="R16" s="19">
        <f>IF(OR(Q16="",Produits!$E$14=""),"",MAX(0,CEILING(Produits!$E$14-Q16,1)))</f>
        <v/>
      </c>
      <c r="S16" s="10" t="n"/>
      <c r="T16" s="10" t="n"/>
      <c r="U16" s="20">
        <f>IF(COUNT(G16,K16,O16,S16)=0,"",SUM(G16,K16,O16,S16))</f>
        <v/>
      </c>
      <c r="V16" s="20">
        <f>IF(COUNT(H16,L16,P16,T16)=0,"",SUM(H16,L16,P16,T16))</f>
        <v/>
      </c>
    </row>
    <row r="17">
      <c r="A17" s="15">
        <f>IF(Produits!$A$15="","",Produits!$A$15)</f>
        <v/>
      </c>
      <c r="B17" s="16">
        <f>IF(Produits!$A$15="","",Produits!$B$15)</f>
        <v/>
      </c>
      <c r="C17" s="17">
        <f>IF(Produits!$A$15="","",Produits!$C$15)</f>
        <v/>
      </c>
      <c r="D17" s="18">
        <f>IF(Produits!$A$15="","",Produits!$D$15)</f>
        <v/>
      </c>
      <c r="E17" s="8" t="n">
        <v>0.4</v>
      </c>
      <c r="F17" s="19">
        <f>IF(OR(E17="",Produits!$E$15=""),"",MAX(0,CEILING(Produits!$E$15-E17,1)))</f>
        <v/>
      </c>
      <c r="G17" s="8" t="n">
        <v>1</v>
      </c>
      <c r="H17" s="8" t="n">
        <v>1</v>
      </c>
      <c r="I17" s="8" t="n">
        <v>0.6</v>
      </c>
      <c r="J17" s="19">
        <f>IF(OR(I17="",Produits!$E$15=""),"",MAX(0,CEILING(Produits!$E$15-I17,1)))</f>
        <v/>
      </c>
      <c r="K17" s="8" t="n">
        <v>0</v>
      </c>
      <c r="L17" s="8" t="n">
        <v>0</v>
      </c>
      <c r="M17" s="10" t="n"/>
      <c r="N17" s="19">
        <f>IF(OR(M17="",Produits!$E$15=""),"",MAX(0,CEILING(Produits!$E$15-M17,1)))</f>
        <v/>
      </c>
      <c r="O17" s="10" t="n"/>
      <c r="P17" s="10" t="n"/>
      <c r="Q17" s="10" t="n"/>
      <c r="R17" s="19">
        <f>IF(OR(Q17="",Produits!$E$15=""),"",MAX(0,CEILING(Produits!$E$15-Q17,1)))</f>
        <v/>
      </c>
      <c r="S17" s="10" t="n"/>
      <c r="T17" s="10" t="n"/>
      <c r="U17" s="20">
        <f>IF(COUNT(G17,K17,O17,S17)=0,"",SUM(G17,K17,O17,S17))</f>
        <v/>
      </c>
      <c r="V17" s="20">
        <f>IF(COUNT(H17,L17,P17,T17)=0,"",SUM(H17,L17,P17,T17))</f>
        <v/>
      </c>
    </row>
    <row r="18">
      <c r="A18" s="15">
        <f>IF(Produits!$A$16="","",Produits!$A$16)</f>
        <v/>
      </c>
      <c r="B18" s="16">
        <f>IF(Produits!$A$16="","",Produits!$B$16)</f>
        <v/>
      </c>
      <c r="C18" s="17">
        <f>IF(Produits!$A$16="","",Produits!$C$16)</f>
        <v/>
      </c>
      <c r="D18" s="18">
        <f>IF(Produits!$A$16="","",Produits!$D$16)</f>
        <v/>
      </c>
      <c r="E18" s="8" t="n">
        <v>6</v>
      </c>
      <c r="F18" s="19">
        <f>IF(OR(E18="",Produits!$E$16=""),"",MAX(0,CEILING(Produits!$E$16-E18,1)))</f>
        <v/>
      </c>
      <c r="G18" s="8" t="n">
        <v>0</v>
      </c>
      <c r="H18" s="8" t="n">
        <v>0</v>
      </c>
      <c r="I18" s="8" t="n">
        <v>6</v>
      </c>
      <c r="J18" s="19">
        <f>IF(OR(I18="",Produits!$E$16=""),"",MAX(0,CEILING(Produits!$E$16-I18,1)))</f>
        <v/>
      </c>
      <c r="K18" s="8" t="n">
        <v>0</v>
      </c>
      <c r="L18" s="8" t="n">
        <v>0</v>
      </c>
      <c r="M18" s="10" t="n"/>
      <c r="N18" s="19">
        <f>IF(OR(M18="",Produits!$E$16=""),"",MAX(0,CEILING(Produits!$E$16-M18,1)))</f>
        <v/>
      </c>
      <c r="O18" s="10" t="n"/>
      <c r="P18" s="10" t="n"/>
      <c r="Q18" s="10" t="n"/>
      <c r="R18" s="19">
        <f>IF(OR(Q18="",Produits!$E$16=""),"",MAX(0,CEILING(Produits!$E$16-Q18,1)))</f>
        <v/>
      </c>
      <c r="S18" s="10" t="n"/>
      <c r="T18" s="10" t="n"/>
      <c r="U18" s="20">
        <f>IF(COUNT(G18,K18,O18,S18)=0,"",SUM(G18,K18,O18,S18))</f>
        <v/>
      </c>
      <c r="V18" s="20">
        <f>IF(COUNT(H18,L18,P18,T18)=0,"",SUM(H18,L18,P18,T18))</f>
        <v/>
      </c>
    </row>
    <row r="19">
      <c r="A19" s="15">
        <f>IF(Produits!$A$17="","",Produits!$A$17)</f>
        <v/>
      </c>
      <c r="B19" s="16">
        <f>IF(Produits!$A$17="","",Produits!$B$17)</f>
        <v/>
      </c>
      <c r="C19" s="17">
        <f>IF(Produits!$A$17="","",Produits!$C$17)</f>
        <v/>
      </c>
      <c r="D19" s="18">
        <f>IF(Produits!$A$17="","",Produits!$D$17)</f>
        <v/>
      </c>
      <c r="E19" s="10" t="n"/>
      <c r="F19" s="19">
        <f>IF(OR(E19="",Produits!$E$17=""),"",MAX(0,CEILING(Produits!$E$17-E19,1)))</f>
        <v/>
      </c>
      <c r="G19" s="10" t="n"/>
      <c r="H19" s="10" t="n"/>
      <c r="I19" s="10" t="n"/>
      <c r="J19" s="19">
        <f>IF(OR(I19="",Produits!$E$17=""),"",MAX(0,CEILING(Produits!$E$17-I19,1)))</f>
        <v/>
      </c>
      <c r="K19" s="10" t="n"/>
      <c r="L19" s="10" t="n"/>
      <c r="M19" s="10" t="n"/>
      <c r="N19" s="19">
        <f>IF(OR(M19="",Produits!$E$17=""),"",MAX(0,CEILING(Produits!$E$17-M19,1)))</f>
        <v/>
      </c>
      <c r="O19" s="10" t="n"/>
      <c r="P19" s="10" t="n"/>
      <c r="Q19" s="10" t="n"/>
      <c r="R19" s="19">
        <f>IF(OR(Q19="",Produits!$E$17=""),"",MAX(0,CEILING(Produits!$E$17-Q19,1)))</f>
        <v/>
      </c>
      <c r="S19" s="10" t="n"/>
      <c r="T19" s="10" t="n"/>
      <c r="U19" s="20">
        <f>IF(COUNT(G19,K19,O19,S19)=0,"",SUM(G19,K19,O19,S19))</f>
        <v/>
      </c>
      <c r="V19" s="20">
        <f>IF(COUNT(H19,L19,P19,T19)=0,"",SUM(H19,L19,P19,T19))</f>
        <v/>
      </c>
    </row>
    <row r="20">
      <c r="A20" s="15">
        <f>IF(Produits!$A$18="","",Produits!$A$18)</f>
        <v/>
      </c>
      <c r="B20" s="16">
        <f>IF(Produits!$A$18="","",Produits!$B$18)</f>
        <v/>
      </c>
      <c r="C20" s="17">
        <f>IF(Produits!$A$18="","",Produits!$C$18)</f>
        <v/>
      </c>
      <c r="D20" s="18">
        <f>IF(Produits!$A$18="","",Produits!$D$18)</f>
        <v/>
      </c>
      <c r="E20" s="10" t="n"/>
      <c r="F20" s="19">
        <f>IF(OR(E20="",Produits!$E$18=""),"",MAX(0,CEILING(Produits!$E$18-E20,1)))</f>
        <v/>
      </c>
      <c r="G20" s="10" t="n"/>
      <c r="H20" s="10" t="n"/>
      <c r="I20" s="10" t="n"/>
      <c r="J20" s="19">
        <f>IF(OR(I20="",Produits!$E$18=""),"",MAX(0,CEILING(Produits!$E$18-I20,1)))</f>
        <v/>
      </c>
      <c r="K20" s="10" t="n"/>
      <c r="L20" s="10" t="n"/>
      <c r="M20" s="10" t="n"/>
      <c r="N20" s="19">
        <f>IF(OR(M20="",Produits!$E$18=""),"",MAX(0,CEILING(Produits!$E$18-M20,1)))</f>
        <v/>
      </c>
      <c r="O20" s="10" t="n"/>
      <c r="P20" s="10" t="n"/>
      <c r="Q20" s="10" t="n"/>
      <c r="R20" s="19">
        <f>IF(OR(Q20="",Produits!$E$18=""),"",MAX(0,CEILING(Produits!$E$18-Q20,1)))</f>
        <v/>
      </c>
      <c r="S20" s="10" t="n"/>
      <c r="T20" s="10" t="n"/>
      <c r="U20" s="20">
        <f>IF(COUNT(G20,K20,O20,S20)=0,"",SUM(G20,K20,O20,S20))</f>
        <v/>
      </c>
      <c r="V20" s="20">
        <f>IF(COUNT(H20,L20,P20,T20)=0,"",SUM(H20,L20,P20,T20))</f>
        <v/>
      </c>
    </row>
    <row r="21">
      <c r="A21" s="15">
        <f>IF(Produits!$A$19="","",Produits!$A$19)</f>
        <v/>
      </c>
      <c r="B21" s="16">
        <f>IF(Produits!$A$19="","",Produits!$B$19)</f>
        <v/>
      </c>
      <c r="C21" s="17">
        <f>IF(Produits!$A$19="","",Produits!$C$19)</f>
        <v/>
      </c>
      <c r="D21" s="18">
        <f>IF(Produits!$A$19="","",Produits!$D$19)</f>
        <v/>
      </c>
      <c r="E21" s="10" t="n"/>
      <c r="F21" s="19">
        <f>IF(OR(E21="",Produits!$E$19=""),"",MAX(0,CEILING(Produits!$E$19-E21,1)))</f>
        <v/>
      </c>
      <c r="G21" s="10" t="n"/>
      <c r="H21" s="10" t="n"/>
      <c r="I21" s="10" t="n"/>
      <c r="J21" s="19">
        <f>IF(OR(I21="",Produits!$E$19=""),"",MAX(0,CEILING(Produits!$E$19-I21,1)))</f>
        <v/>
      </c>
      <c r="K21" s="10" t="n"/>
      <c r="L21" s="10" t="n"/>
      <c r="M21" s="10" t="n"/>
      <c r="N21" s="19">
        <f>IF(OR(M21="",Produits!$E$19=""),"",MAX(0,CEILING(Produits!$E$19-M21,1)))</f>
        <v/>
      </c>
      <c r="O21" s="10" t="n"/>
      <c r="P21" s="10" t="n"/>
      <c r="Q21" s="10" t="n"/>
      <c r="R21" s="19">
        <f>IF(OR(Q21="",Produits!$E$19=""),"",MAX(0,CEILING(Produits!$E$19-Q21,1)))</f>
        <v/>
      </c>
      <c r="S21" s="10" t="n"/>
      <c r="T21" s="10" t="n"/>
      <c r="U21" s="20">
        <f>IF(COUNT(G21,K21,O21,S21)=0,"",SUM(G21,K21,O21,S21))</f>
        <v/>
      </c>
      <c r="V21" s="20">
        <f>IF(COUNT(H21,L21,P21,T21)=0,"",SUM(H21,L21,P21,T21))</f>
        <v/>
      </c>
    </row>
    <row r="22">
      <c r="A22" s="15">
        <f>IF(Produits!$A$20="","",Produits!$A$20)</f>
        <v/>
      </c>
      <c r="B22" s="16">
        <f>IF(Produits!$A$20="","",Produits!$B$20)</f>
        <v/>
      </c>
      <c r="C22" s="17">
        <f>IF(Produits!$A$20="","",Produits!$C$20)</f>
        <v/>
      </c>
      <c r="D22" s="18">
        <f>IF(Produits!$A$20="","",Produits!$D$20)</f>
        <v/>
      </c>
      <c r="E22" s="10" t="n"/>
      <c r="F22" s="19">
        <f>IF(OR(E22="",Produits!$E$20=""),"",MAX(0,CEILING(Produits!$E$20-E22,1)))</f>
        <v/>
      </c>
      <c r="G22" s="10" t="n"/>
      <c r="H22" s="10" t="n"/>
      <c r="I22" s="10" t="n"/>
      <c r="J22" s="19">
        <f>IF(OR(I22="",Produits!$E$20=""),"",MAX(0,CEILING(Produits!$E$20-I22,1)))</f>
        <v/>
      </c>
      <c r="K22" s="10" t="n"/>
      <c r="L22" s="10" t="n"/>
      <c r="M22" s="10" t="n"/>
      <c r="N22" s="19">
        <f>IF(OR(M22="",Produits!$E$20=""),"",MAX(0,CEILING(Produits!$E$20-M22,1)))</f>
        <v/>
      </c>
      <c r="O22" s="10" t="n"/>
      <c r="P22" s="10" t="n"/>
      <c r="Q22" s="10" t="n"/>
      <c r="R22" s="19">
        <f>IF(OR(Q22="",Produits!$E$20=""),"",MAX(0,CEILING(Produits!$E$20-Q22,1)))</f>
        <v/>
      </c>
      <c r="S22" s="10" t="n"/>
      <c r="T22" s="10" t="n"/>
      <c r="U22" s="20">
        <f>IF(COUNT(G22,K22,O22,S22)=0,"",SUM(G22,K22,O22,S22))</f>
        <v/>
      </c>
      <c r="V22" s="20">
        <f>IF(COUNT(H22,L22,P22,T22)=0,"",SUM(H22,L22,P22,T22))</f>
        <v/>
      </c>
    </row>
    <row r="23">
      <c r="A23" s="15">
        <f>IF(Produits!$A$21="","",Produits!$A$21)</f>
        <v/>
      </c>
      <c r="B23" s="16">
        <f>IF(Produits!$A$21="","",Produits!$B$21)</f>
        <v/>
      </c>
      <c r="C23" s="17">
        <f>IF(Produits!$A$21="","",Produits!$C$21)</f>
        <v/>
      </c>
      <c r="D23" s="18">
        <f>IF(Produits!$A$21="","",Produits!$D$21)</f>
        <v/>
      </c>
      <c r="E23" s="10" t="n"/>
      <c r="F23" s="19">
        <f>IF(OR(E23="",Produits!$E$21=""),"",MAX(0,CEILING(Produits!$E$21-E23,1)))</f>
        <v/>
      </c>
      <c r="G23" s="10" t="n"/>
      <c r="H23" s="10" t="n"/>
      <c r="I23" s="10" t="n"/>
      <c r="J23" s="19">
        <f>IF(OR(I23="",Produits!$E$21=""),"",MAX(0,CEILING(Produits!$E$21-I23,1)))</f>
        <v/>
      </c>
      <c r="K23" s="10" t="n"/>
      <c r="L23" s="10" t="n"/>
      <c r="M23" s="10" t="n"/>
      <c r="N23" s="19">
        <f>IF(OR(M23="",Produits!$E$21=""),"",MAX(0,CEILING(Produits!$E$21-M23,1)))</f>
        <v/>
      </c>
      <c r="O23" s="10" t="n"/>
      <c r="P23" s="10" t="n"/>
      <c r="Q23" s="10" t="n"/>
      <c r="R23" s="19">
        <f>IF(OR(Q23="",Produits!$E$21=""),"",MAX(0,CEILING(Produits!$E$21-Q23,1)))</f>
        <v/>
      </c>
      <c r="S23" s="10" t="n"/>
      <c r="T23" s="10" t="n"/>
      <c r="U23" s="20">
        <f>IF(COUNT(G23,K23,O23,S23)=0,"",SUM(G23,K23,O23,S23))</f>
        <v/>
      </c>
      <c r="V23" s="20">
        <f>IF(COUNT(H23,L23,P23,T23)=0,"",SUM(H23,L23,P23,T23))</f>
        <v/>
      </c>
    </row>
    <row r="24">
      <c r="A24" s="15">
        <f>IF(Produits!$A$22="","",Produits!$A$22)</f>
        <v/>
      </c>
      <c r="B24" s="16">
        <f>IF(Produits!$A$22="","",Produits!$B$22)</f>
        <v/>
      </c>
      <c r="C24" s="17">
        <f>IF(Produits!$A$22="","",Produits!$C$22)</f>
        <v/>
      </c>
      <c r="D24" s="18">
        <f>IF(Produits!$A$22="","",Produits!$D$22)</f>
        <v/>
      </c>
      <c r="E24" s="10" t="n"/>
      <c r="F24" s="19">
        <f>IF(OR(E24="",Produits!$E$22=""),"",MAX(0,CEILING(Produits!$E$22-E24,1)))</f>
        <v/>
      </c>
      <c r="G24" s="10" t="n"/>
      <c r="H24" s="10" t="n"/>
      <c r="I24" s="10" t="n"/>
      <c r="J24" s="19">
        <f>IF(OR(I24="",Produits!$E$22=""),"",MAX(0,CEILING(Produits!$E$22-I24,1)))</f>
        <v/>
      </c>
      <c r="K24" s="10" t="n"/>
      <c r="L24" s="10" t="n"/>
      <c r="M24" s="10" t="n"/>
      <c r="N24" s="19">
        <f>IF(OR(M24="",Produits!$E$22=""),"",MAX(0,CEILING(Produits!$E$22-M24,1)))</f>
        <v/>
      </c>
      <c r="O24" s="10" t="n"/>
      <c r="P24" s="10" t="n"/>
      <c r="Q24" s="10" t="n"/>
      <c r="R24" s="19">
        <f>IF(OR(Q24="",Produits!$E$22=""),"",MAX(0,CEILING(Produits!$E$22-Q24,1)))</f>
        <v/>
      </c>
      <c r="S24" s="10" t="n"/>
      <c r="T24" s="10" t="n"/>
      <c r="U24" s="20">
        <f>IF(COUNT(G24,K24,O24,S24)=0,"",SUM(G24,K24,O24,S24))</f>
        <v/>
      </c>
      <c r="V24" s="20">
        <f>IF(COUNT(H24,L24,P24,T24)=0,"",SUM(H24,L24,P24,T24))</f>
        <v/>
      </c>
    </row>
    <row r="25">
      <c r="A25" s="15">
        <f>IF(Produits!$A$23="","",Produits!$A$23)</f>
        <v/>
      </c>
      <c r="B25" s="16">
        <f>IF(Produits!$A$23="","",Produits!$B$23)</f>
        <v/>
      </c>
      <c r="C25" s="17">
        <f>IF(Produits!$A$23="","",Produits!$C$23)</f>
        <v/>
      </c>
      <c r="D25" s="18">
        <f>IF(Produits!$A$23="","",Produits!$D$23)</f>
        <v/>
      </c>
      <c r="E25" s="10" t="n"/>
      <c r="F25" s="19">
        <f>IF(OR(E25="",Produits!$E$23=""),"",MAX(0,CEILING(Produits!$E$23-E25,1)))</f>
        <v/>
      </c>
      <c r="G25" s="10" t="n"/>
      <c r="H25" s="10" t="n"/>
      <c r="I25" s="10" t="n"/>
      <c r="J25" s="19">
        <f>IF(OR(I25="",Produits!$E$23=""),"",MAX(0,CEILING(Produits!$E$23-I25,1)))</f>
        <v/>
      </c>
      <c r="K25" s="10" t="n"/>
      <c r="L25" s="10" t="n"/>
      <c r="M25" s="10" t="n"/>
      <c r="N25" s="19">
        <f>IF(OR(M25="",Produits!$E$23=""),"",MAX(0,CEILING(Produits!$E$23-M25,1)))</f>
        <v/>
      </c>
      <c r="O25" s="10" t="n"/>
      <c r="P25" s="10" t="n"/>
      <c r="Q25" s="10" t="n"/>
      <c r="R25" s="19">
        <f>IF(OR(Q25="",Produits!$E$23=""),"",MAX(0,CEILING(Produits!$E$23-Q25,1)))</f>
        <v/>
      </c>
      <c r="S25" s="10" t="n"/>
      <c r="T25" s="10" t="n"/>
      <c r="U25" s="20">
        <f>IF(COUNT(G25,K25,O25,S25)=0,"",SUM(G25,K25,O25,S25))</f>
        <v/>
      </c>
      <c r="V25" s="20">
        <f>IF(COUNT(H25,L25,P25,T25)=0,"",SUM(H25,L25,P25,T25))</f>
        <v/>
      </c>
    </row>
    <row r="26">
      <c r="A26" s="15">
        <f>IF(Produits!$A$24="","",Produits!$A$24)</f>
        <v/>
      </c>
      <c r="B26" s="16">
        <f>IF(Produits!$A$24="","",Produits!$B$24)</f>
        <v/>
      </c>
      <c r="C26" s="17">
        <f>IF(Produits!$A$24="","",Produits!$C$24)</f>
        <v/>
      </c>
      <c r="D26" s="18">
        <f>IF(Produits!$A$24="","",Produits!$D$24)</f>
        <v/>
      </c>
      <c r="E26" s="10" t="n"/>
      <c r="F26" s="19">
        <f>IF(OR(E26="",Produits!$E$24=""),"",MAX(0,CEILING(Produits!$E$24-E26,1)))</f>
        <v/>
      </c>
      <c r="G26" s="10" t="n"/>
      <c r="H26" s="10" t="n"/>
      <c r="I26" s="10" t="n"/>
      <c r="J26" s="19">
        <f>IF(OR(I26="",Produits!$E$24=""),"",MAX(0,CEILING(Produits!$E$24-I26,1)))</f>
        <v/>
      </c>
      <c r="K26" s="10" t="n"/>
      <c r="L26" s="10" t="n"/>
      <c r="M26" s="10" t="n"/>
      <c r="N26" s="19">
        <f>IF(OR(M26="",Produits!$E$24=""),"",MAX(0,CEILING(Produits!$E$24-M26,1)))</f>
        <v/>
      </c>
      <c r="O26" s="10" t="n"/>
      <c r="P26" s="10" t="n"/>
      <c r="Q26" s="10" t="n"/>
      <c r="R26" s="19">
        <f>IF(OR(Q26="",Produits!$E$24=""),"",MAX(0,CEILING(Produits!$E$24-Q26,1)))</f>
        <v/>
      </c>
      <c r="S26" s="10" t="n"/>
      <c r="T26" s="10" t="n"/>
      <c r="U26" s="20">
        <f>IF(COUNT(G26,K26,O26,S26)=0,"",SUM(G26,K26,O26,S26))</f>
        <v/>
      </c>
      <c r="V26" s="20">
        <f>IF(COUNT(H26,L26,P26,T26)=0,"",SUM(H26,L26,P26,T26))</f>
        <v/>
      </c>
    </row>
    <row r="27">
      <c r="A27" s="15">
        <f>IF(Produits!$A$25="","",Produits!$A$25)</f>
        <v/>
      </c>
      <c r="B27" s="16">
        <f>IF(Produits!$A$25="","",Produits!$B$25)</f>
        <v/>
      </c>
      <c r="C27" s="17">
        <f>IF(Produits!$A$25="","",Produits!$C$25)</f>
        <v/>
      </c>
      <c r="D27" s="18">
        <f>IF(Produits!$A$25="","",Produits!$D$25)</f>
        <v/>
      </c>
      <c r="E27" s="10" t="n"/>
      <c r="F27" s="19">
        <f>IF(OR(E27="",Produits!$E$25=""),"",MAX(0,CEILING(Produits!$E$25-E27,1)))</f>
        <v/>
      </c>
      <c r="G27" s="10" t="n"/>
      <c r="H27" s="10" t="n"/>
      <c r="I27" s="10" t="n"/>
      <c r="J27" s="19">
        <f>IF(OR(I27="",Produits!$E$25=""),"",MAX(0,CEILING(Produits!$E$25-I27,1)))</f>
        <v/>
      </c>
      <c r="K27" s="10" t="n"/>
      <c r="L27" s="10" t="n"/>
      <c r="M27" s="10" t="n"/>
      <c r="N27" s="19">
        <f>IF(OR(M27="",Produits!$E$25=""),"",MAX(0,CEILING(Produits!$E$25-M27,1)))</f>
        <v/>
      </c>
      <c r="O27" s="10" t="n"/>
      <c r="P27" s="10" t="n"/>
      <c r="Q27" s="10" t="n"/>
      <c r="R27" s="19">
        <f>IF(OR(Q27="",Produits!$E$25=""),"",MAX(0,CEILING(Produits!$E$25-Q27,1)))</f>
        <v/>
      </c>
      <c r="S27" s="10" t="n"/>
      <c r="T27" s="10" t="n"/>
      <c r="U27" s="20">
        <f>IF(COUNT(G27,K27,O27,S27)=0,"",SUM(G27,K27,O27,S27))</f>
        <v/>
      </c>
      <c r="V27" s="20">
        <f>IF(COUNT(H27,L27,P27,T27)=0,"",SUM(H27,L27,P27,T27))</f>
        <v/>
      </c>
    </row>
    <row r="28">
      <c r="A28" s="15">
        <f>IF(Produits!$A$26="","",Produits!$A$26)</f>
        <v/>
      </c>
      <c r="B28" s="16">
        <f>IF(Produits!$A$26="","",Produits!$B$26)</f>
        <v/>
      </c>
      <c r="C28" s="17">
        <f>IF(Produits!$A$26="","",Produits!$C$26)</f>
        <v/>
      </c>
      <c r="D28" s="18">
        <f>IF(Produits!$A$26="","",Produits!$D$26)</f>
        <v/>
      </c>
      <c r="E28" s="10" t="n"/>
      <c r="F28" s="19">
        <f>IF(OR(E28="",Produits!$E$26=""),"",MAX(0,CEILING(Produits!$E$26-E28,1)))</f>
        <v/>
      </c>
      <c r="G28" s="10" t="n"/>
      <c r="H28" s="10" t="n"/>
      <c r="I28" s="10" t="n"/>
      <c r="J28" s="19">
        <f>IF(OR(I28="",Produits!$E$26=""),"",MAX(0,CEILING(Produits!$E$26-I28,1)))</f>
        <v/>
      </c>
      <c r="K28" s="10" t="n"/>
      <c r="L28" s="10" t="n"/>
      <c r="M28" s="10" t="n"/>
      <c r="N28" s="19">
        <f>IF(OR(M28="",Produits!$E$26=""),"",MAX(0,CEILING(Produits!$E$26-M28,1)))</f>
        <v/>
      </c>
      <c r="O28" s="10" t="n"/>
      <c r="P28" s="10" t="n"/>
      <c r="Q28" s="10" t="n"/>
      <c r="R28" s="19">
        <f>IF(OR(Q28="",Produits!$E$26=""),"",MAX(0,CEILING(Produits!$E$26-Q28,1)))</f>
        <v/>
      </c>
      <c r="S28" s="10" t="n"/>
      <c r="T28" s="10" t="n"/>
      <c r="U28" s="20">
        <f>IF(COUNT(G28,K28,O28,S28)=0,"",SUM(G28,K28,O28,S28))</f>
        <v/>
      </c>
      <c r="V28" s="20">
        <f>IF(COUNT(H28,L28,P28,T28)=0,"",SUM(H28,L28,P28,T28))</f>
        <v/>
      </c>
    </row>
    <row r="29">
      <c r="A29" s="15">
        <f>IF(Produits!$A$27="","",Produits!$A$27)</f>
        <v/>
      </c>
      <c r="B29" s="16">
        <f>IF(Produits!$A$27="","",Produits!$B$27)</f>
        <v/>
      </c>
      <c r="C29" s="17">
        <f>IF(Produits!$A$27="","",Produits!$C$27)</f>
        <v/>
      </c>
      <c r="D29" s="18">
        <f>IF(Produits!$A$27="","",Produits!$D$27)</f>
        <v/>
      </c>
      <c r="E29" s="10" t="n"/>
      <c r="F29" s="19">
        <f>IF(OR(E29="",Produits!$E$27=""),"",MAX(0,CEILING(Produits!$E$27-E29,1)))</f>
        <v/>
      </c>
      <c r="G29" s="10" t="n"/>
      <c r="H29" s="10" t="n"/>
      <c r="I29" s="10" t="n"/>
      <c r="J29" s="19">
        <f>IF(OR(I29="",Produits!$E$27=""),"",MAX(0,CEILING(Produits!$E$27-I29,1)))</f>
        <v/>
      </c>
      <c r="K29" s="10" t="n"/>
      <c r="L29" s="10" t="n"/>
      <c r="M29" s="10" t="n"/>
      <c r="N29" s="19">
        <f>IF(OR(M29="",Produits!$E$27=""),"",MAX(0,CEILING(Produits!$E$27-M29,1)))</f>
        <v/>
      </c>
      <c r="O29" s="10" t="n"/>
      <c r="P29" s="10" t="n"/>
      <c r="Q29" s="10" t="n"/>
      <c r="R29" s="19">
        <f>IF(OR(Q29="",Produits!$E$27=""),"",MAX(0,CEILING(Produits!$E$27-Q29,1)))</f>
        <v/>
      </c>
      <c r="S29" s="10" t="n"/>
      <c r="T29" s="10" t="n"/>
      <c r="U29" s="20">
        <f>IF(COUNT(G29,K29,O29,S29)=0,"",SUM(G29,K29,O29,S29))</f>
        <v/>
      </c>
      <c r="V29" s="20">
        <f>IF(COUNT(H29,L29,P29,T29)=0,"",SUM(H29,L29,P29,T29))</f>
        <v/>
      </c>
    </row>
    <row r="30">
      <c r="A30" s="15">
        <f>IF(Produits!$A$28="","",Produits!$A$28)</f>
        <v/>
      </c>
      <c r="B30" s="16">
        <f>IF(Produits!$A$28="","",Produits!$B$28)</f>
        <v/>
      </c>
      <c r="C30" s="17">
        <f>IF(Produits!$A$28="","",Produits!$C$28)</f>
        <v/>
      </c>
      <c r="D30" s="18">
        <f>IF(Produits!$A$28="","",Produits!$D$28)</f>
        <v/>
      </c>
      <c r="E30" s="10" t="n"/>
      <c r="F30" s="19">
        <f>IF(OR(E30="",Produits!$E$28=""),"",MAX(0,CEILING(Produits!$E$28-E30,1)))</f>
        <v/>
      </c>
      <c r="G30" s="10" t="n"/>
      <c r="H30" s="10" t="n"/>
      <c r="I30" s="10" t="n"/>
      <c r="J30" s="19">
        <f>IF(OR(I30="",Produits!$E$28=""),"",MAX(0,CEILING(Produits!$E$28-I30,1)))</f>
        <v/>
      </c>
      <c r="K30" s="10" t="n"/>
      <c r="L30" s="10" t="n"/>
      <c r="M30" s="10" t="n"/>
      <c r="N30" s="19">
        <f>IF(OR(M30="",Produits!$E$28=""),"",MAX(0,CEILING(Produits!$E$28-M30,1)))</f>
        <v/>
      </c>
      <c r="O30" s="10" t="n"/>
      <c r="P30" s="10" t="n"/>
      <c r="Q30" s="10" t="n"/>
      <c r="R30" s="19">
        <f>IF(OR(Q30="",Produits!$E$28=""),"",MAX(0,CEILING(Produits!$E$28-Q30,1)))</f>
        <v/>
      </c>
      <c r="S30" s="10" t="n"/>
      <c r="T30" s="10" t="n"/>
      <c r="U30" s="20">
        <f>IF(COUNT(G30,K30,O30,S30)=0,"",SUM(G30,K30,O30,S30))</f>
        <v/>
      </c>
      <c r="V30" s="20">
        <f>IF(COUNT(H30,L30,P30,T30)=0,"",SUM(H30,L30,P30,T30))</f>
        <v/>
      </c>
    </row>
    <row r="31">
      <c r="A31" s="15">
        <f>IF(Produits!$A$29="","",Produits!$A$29)</f>
        <v/>
      </c>
      <c r="B31" s="16">
        <f>IF(Produits!$A$29="","",Produits!$B$29)</f>
        <v/>
      </c>
      <c r="C31" s="17">
        <f>IF(Produits!$A$29="","",Produits!$C$29)</f>
        <v/>
      </c>
      <c r="D31" s="18">
        <f>IF(Produits!$A$29="","",Produits!$D$29)</f>
        <v/>
      </c>
      <c r="E31" s="10" t="n"/>
      <c r="F31" s="19">
        <f>IF(OR(E31="",Produits!$E$29=""),"",MAX(0,CEILING(Produits!$E$29-E31,1)))</f>
        <v/>
      </c>
      <c r="G31" s="10" t="n"/>
      <c r="H31" s="10" t="n"/>
      <c r="I31" s="10" t="n"/>
      <c r="J31" s="19">
        <f>IF(OR(I31="",Produits!$E$29=""),"",MAX(0,CEILING(Produits!$E$29-I31,1)))</f>
        <v/>
      </c>
      <c r="K31" s="10" t="n"/>
      <c r="L31" s="10" t="n"/>
      <c r="M31" s="10" t="n"/>
      <c r="N31" s="19">
        <f>IF(OR(M31="",Produits!$E$29=""),"",MAX(0,CEILING(Produits!$E$29-M31,1)))</f>
        <v/>
      </c>
      <c r="O31" s="10" t="n"/>
      <c r="P31" s="10" t="n"/>
      <c r="Q31" s="10" t="n"/>
      <c r="R31" s="19">
        <f>IF(OR(Q31="",Produits!$E$29=""),"",MAX(0,CEILING(Produits!$E$29-Q31,1)))</f>
        <v/>
      </c>
      <c r="S31" s="10" t="n"/>
      <c r="T31" s="10" t="n"/>
      <c r="U31" s="20">
        <f>IF(COUNT(G31,K31,O31,S31)=0,"",SUM(G31,K31,O31,S31))</f>
        <v/>
      </c>
      <c r="V31" s="20">
        <f>IF(COUNT(H31,L31,P31,T31)=0,"",SUM(H31,L31,P31,T31))</f>
        <v/>
      </c>
    </row>
    <row r="32">
      <c r="A32" s="15">
        <f>IF(Produits!$A$30="","",Produits!$A$30)</f>
        <v/>
      </c>
      <c r="B32" s="16">
        <f>IF(Produits!$A$30="","",Produits!$B$30)</f>
        <v/>
      </c>
      <c r="C32" s="17">
        <f>IF(Produits!$A$30="","",Produits!$C$30)</f>
        <v/>
      </c>
      <c r="D32" s="18">
        <f>IF(Produits!$A$30="","",Produits!$D$30)</f>
        <v/>
      </c>
      <c r="E32" s="10" t="n"/>
      <c r="F32" s="19">
        <f>IF(OR(E32="",Produits!$E$30=""),"",MAX(0,CEILING(Produits!$E$30-E32,1)))</f>
        <v/>
      </c>
      <c r="G32" s="10" t="n"/>
      <c r="H32" s="10" t="n"/>
      <c r="I32" s="10" t="n"/>
      <c r="J32" s="19">
        <f>IF(OR(I32="",Produits!$E$30=""),"",MAX(0,CEILING(Produits!$E$30-I32,1)))</f>
        <v/>
      </c>
      <c r="K32" s="10" t="n"/>
      <c r="L32" s="10" t="n"/>
      <c r="M32" s="10" t="n"/>
      <c r="N32" s="19">
        <f>IF(OR(M32="",Produits!$E$30=""),"",MAX(0,CEILING(Produits!$E$30-M32,1)))</f>
        <v/>
      </c>
      <c r="O32" s="10" t="n"/>
      <c r="P32" s="10" t="n"/>
      <c r="Q32" s="10" t="n"/>
      <c r="R32" s="19">
        <f>IF(OR(Q32="",Produits!$E$30=""),"",MAX(0,CEILING(Produits!$E$30-Q32,1)))</f>
        <v/>
      </c>
      <c r="S32" s="10" t="n"/>
      <c r="T32" s="10" t="n"/>
      <c r="U32" s="20">
        <f>IF(COUNT(G32,K32,O32,S32)=0,"",SUM(G32,K32,O32,S32))</f>
        <v/>
      </c>
      <c r="V32" s="20">
        <f>IF(COUNT(H32,L32,P32,T32)=0,"",SUM(H32,L32,P32,T32))</f>
        <v/>
      </c>
    </row>
    <row r="33">
      <c r="A33" s="15">
        <f>IF(Produits!$A$31="","",Produits!$A$31)</f>
        <v/>
      </c>
      <c r="B33" s="16">
        <f>IF(Produits!$A$31="","",Produits!$B$31)</f>
        <v/>
      </c>
      <c r="C33" s="17">
        <f>IF(Produits!$A$31="","",Produits!$C$31)</f>
        <v/>
      </c>
      <c r="D33" s="18">
        <f>IF(Produits!$A$31="","",Produits!$D$31)</f>
        <v/>
      </c>
      <c r="E33" s="10" t="n"/>
      <c r="F33" s="19">
        <f>IF(OR(E33="",Produits!$E$31=""),"",MAX(0,CEILING(Produits!$E$31-E33,1)))</f>
        <v/>
      </c>
      <c r="G33" s="10" t="n"/>
      <c r="H33" s="10" t="n"/>
      <c r="I33" s="10" t="n"/>
      <c r="J33" s="19">
        <f>IF(OR(I33="",Produits!$E$31=""),"",MAX(0,CEILING(Produits!$E$31-I33,1)))</f>
        <v/>
      </c>
      <c r="K33" s="10" t="n"/>
      <c r="L33" s="10" t="n"/>
      <c r="M33" s="10" t="n"/>
      <c r="N33" s="19">
        <f>IF(OR(M33="",Produits!$E$31=""),"",MAX(0,CEILING(Produits!$E$31-M33,1)))</f>
        <v/>
      </c>
      <c r="O33" s="10" t="n"/>
      <c r="P33" s="10" t="n"/>
      <c r="Q33" s="10" t="n"/>
      <c r="R33" s="19">
        <f>IF(OR(Q33="",Produits!$E$31=""),"",MAX(0,CEILING(Produits!$E$31-Q33,1)))</f>
        <v/>
      </c>
      <c r="S33" s="10" t="n"/>
      <c r="T33" s="10" t="n"/>
      <c r="U33" s="20">
        <f>IF(COUNT(G33,K33,O33,S33)=0,"",SUM(G33,K33,O33,S33))</f>
        <v/>
      </c>
      <c r="V33" s="20">
        <f>IF(COUNT(H33,L33,P33,T33)=0,"",SUM(H33,L33,P33,T33))</f>
        <v/>
      </c>
    </row>
    <row r="34">
      <c r="A34" s="15">
        <f>IF(Produits!$A$32="","",Produits!$A$32)</f>
        <v/>
      </c>
      <c r="B34" s="16">
        <f>IF(Produits!$A$32="","",Produits!$B$32)</f>
        <v/>
      </c>
      <c r="C34" s="17">
        <f>IF(Produits!$A$32="","",Produits!$C$32)</f>
        <v/>
      </c>
      <c r="D34" s="18">
        <f>IF(Produits!$A$32="","",Produits!$D$32)</f>
        <v/>
      </c>
      <c r="E34" s="10" t="n"/>
      <c r="F34" s="19">
        <f>IF(OR(E34="",Produits!$E$32=""),"",MAX(0,CEILING(Produits!$E$32-E34,1)))</f>
        <v/>
      </c>
      <c r="G34" s="10" t="n"/>
      <c r="H34" s="10" t="n"/>
      <c r="I34" s="10" t="n"/>
      <c r="J34" s="19">
        <f>IF(OR(I34="",Produits!$E$32=""),"",MAX(0,CEILING(Produits!$E$32-I34,1)))</f>
        <v/>
      </c>
      <c r="K34" s="10" t="n"/>
      <c r="L34" s="10" t="n"/>
      <c r="M34" s="10" t="n"/>
      <c r="N34" s="19">
        <f>IF(OR(M34="",Produits!$E$32=""),"",MAX(0,CEILING(Produits!$E$32-M34,1)))</f>
        <v/>
      </c>
      <c r="O34" s="10" t="n"/>
      <c r="P34" s="10" t="n"/>
      <c r="Q34" s="10" t="n"/>
      <c r="R34" s="19">
        <f>IF(OR(Q34="",Produits!$E$32=""),"",MAX(0,CEILING(Produits!$E$32-Q34,1)))</f>
        <v/>
      </c>
      <c r="S34" s="10" t="n"/>
      <c r="T34" s="10" t="n"/>
      <c r="U34" s="20">
        <f>IF(COUNT(G34,K34,O34,S34)=0,"",SUM(G34,K34,O34,S34))</f>
        <v/>
      </c>
      <c r="V34" s="20">
        <f>IF(COUNT(H34,L34,P34,T34)=0,"",SUM(H34,L34,P34,T34))</f>
        <v/>
      </c>
    </row>
    <row r="35">
      <c r="A35" s="15">
        <f>IF(Produits!$A$33="","",Produits!$A$33)</f>
        <v/>
      </c>
      <c r="B35" s="16">
        <f>IF(Produits!$A$33="","",Produits!$B$33)</f>
        <v/>
      </c>
      <c r="C35" s="17">
        <f>IF(Produits!$A$33="","",Produits!$C$33)</f>
        <v/>
      </c>
      <c r="D35" s="18">
        <f>IF(Produits!$A$33="","",Produits!$D$33)</f>
        <v/>
      </c>
      <c r="E35" s="10" t="n"/>
      <c r="F35" s="19">
        <f>IF(OR(E35="",Produits!$E$33=""),"",MAX(0,CEILING(Produits!$E$33-E35,1)))</f>
        <v/>
      </c>
      <c r="G35" s="10" t="n"/>
      <c r="H35" s="10" t="n"/>
      <c r="I35" s="10" t="n"/>
      <c r="J35" s="19">
        <f>IF(OR(I35="",Produits!$E$33=""),"",MAX(0,CEILING(Produits!$E$33-I35,1)))</f>
        <v/>
      </c>
      <c r="K35" s="10" t="n"/>
      <c r="L35" s="10" t="n"/>
      <c r="M35" s="10" t="n"/>
      <c r="N35" s="19">
        <f>IF(OR(M35="",Produits!$E$33=""),"",MAX(0,CEILING(Produits!$E$33-M35,1)))</f>
        <v/>
      </c>
      <c r="O35" s="10" t="n"/>
      <c r="P35" s="10" t="n"/>
      <c r="Q35" s="10" t="n"/>
      <c r="R35" s="19">
        <f>IF(OR(Q35="",Produits!$E$33=""),"",MAX(0,CEILING(Produits!$E$33-Q35,1)))</f>
        <v/>
      </c>
      <c r="S35" s="10" t="n"/>
      <c r="T35" s="10" t="n"/>
      <c r="U35" s="20">
        <f>IF(COUNT(G35,K35,O35,S35)=0,"",SUM(G35,K35,O35,S35))</f>
        <v/>
      </c>
      <c r="V35" s="20">
        <f>IF(COUNT(H35,L35,P35,T35)=0,"",SUM(H35,L35,P35,T35))</f>
        <v/>
      </c>
    </row>
    <row r="36">
      <c r="A36" s="15">
        <f>IF(Produits!$A$34="","",Produits!$A$34)</f>
        <v/>
      </c>
      <c r="B36" s="16">
        <f>IF(Produits!$A$34="","",Produits!$B$34)</f>
        <v/>
      </c>
      <c r="C36" s="17">
        <f>IF(Produits!$A$34="","",Produits!$C$34)</f>
        <v/>
      </c>
      <c r="D36" s="18">
        <f>IF(Produits!$A$34="","",Produits!$D$34)</f>
        <v/>
      </c>
      <c r="E36" s="10" t="n"/>
      <c r="F36" s="19">
        <f>IF(OR(E36="",Produits!$E$34=""),"",MAX(0,CEILING(Produits!$E$34-E36,1)))</f>
        <v/>
      </c>
      <c r="G36" s="10" t="n"/>
      <c r="H36" s="10" t="n"/>
      <c r="I36" s="10" t="n"/>
      <c r="J36" s="19">
        <f>IF(OR(I36="",Produits!$E$34=""),"",MAX(0,CEILING(Produits!$E$34-I36,1)))</f>
        <v/>
      </c>
      <c r="K36" s="10" t="n"/>
      <c r="L36" s="10" t="n"/>
      <c r="M36" s="10" t="n"/>
      <c r="N36" s="19">
        <f>IF(OR(M36="",Produits!$E$34=""),"",MAX(0,CEILING(Produits!$E$34-M36,1)))</f>
        <v/>
      </c>
      <c r="O36" s="10" t="n"/>
      <c r="P36" s="10" t="n"/>
      <c r="Q36" s="10" t="n"/>
      <c r="R36" s="19">
        <f>IF(OR(Q36="",Produits!$E$34=""),"",MAX(0,CEILING(Produits!$E$34-Q36,1)))</f>
        <v/>
      </c>
      <c r="S36" s="10" t="n"/>
      <c r="T36" s="10" t="n"/>
      <c r="U36" s="20">
        <f>IF(COUNT(G36,K36,O36,S36)=0,"",SUM(G36,K36,O36,S36))</f>
        <v/>
      </c>
      <c r="V36" s="20">
        <f>IF(COUNT(H36,L36,P36,T36)=0,"",SUM(H36,L36,P36,T36))</f>
        <v/>
      </c>
    </row>
    <row r="37">
      <c r="A37" s="15">
        <f>IF(Produits!$A$35="","",Produits!$A$35)</f>
        <v/>
      </c>
      <c r="B37" s="16">
        <f>IF(Produits!$A$35="","",Produits!$B$35)</f>
        <v/>
      </c>
      <c r="C37" s="17">
        <f>IF(Produits!$A$35="","",Produits!$C$35)</f>
        <v/>
      </c>
      <c r="D37" s="18">
        <f>IF(Produits!$A$35="","",Produits!$D$35)</f>
        <v/>
      </c>
      <c r="E37" s="10" t="n"/>
      <c r="F37" s="19">
        <f>IF(OR(E37="",Produits!$E$35=""),"",MAX(0,CEILING(Produits!$E$35-E37,1)))</f>
        <v/>
      </c>
      <c r="G37" s="10" t="n"/>
      <c r="H37" s="10" t="n"/>
      <c r="I37" s="10" t="n"/>
      <c r="J37" s="19">
        <f>IF(OR(I37="",Produits!$E$35=""),"",MAX(0,CEILING(Produits!$E$35-I37,1)))</f>
        <v/>
      </c>
      <c r="K37" s="10" t="n"/>
      <c r="L37" s="10" t="n"/>
      <c r="M37" s="10" t="n"/>
      <c r="N37" s="19">
        <f>IF(OR(M37="",Produits!$E$35=""),"",MAX(0,CEILING(Produits!$E$35-M37,1)))</f>
        <v/>
      </c>
      <c r="O37" s="10" t="n"/>
      <c r="P37" s="10" t="n"/>
      <c r="Q37" s="10" t="n"/>
      <c r="R37" s="19">
        <f>IF(OR(Q37="",Produits!$E$35=""),"",MAX(0,CEILING(Produits!$E$35-Q37,1)))</f>
        <v/>
      </c>
      <c r="S37" s="10" t="n"/>
      <c r="T37" s="10" t="n"/>
      <c r="U37" s="20">
        <f>IF(COUNT(G37,K37,O37,S37)=0,"",SUM(G37,K37,O37,S37))</f>
        <v/>
      </c>
      <c r="V37" s="20">
        <f>IF(COUNT(H37,L37,P37,T37)=0,"",SUM(H37,L37,P37,T37))</f>
        <v/>
      </c>
    </row>
    <row r="38">
      <c r="A38" s="15">
        <f>IF(Produits!$A$36="","",Produits!$A$36)</f>
        <v/>
      </c>
      <c r="B38" s="16">
        <f>IF(Produits!$A$36="","",Produits!$B$36)</f>
        <v/>
      </c>
      <c r="C38" s="17">
        <f>IF(Produits!$A$36="","",Produits!$C$36)</f>
        <v/>
      </c>
      <c r="D38" s="18">
        <f>IF(Produits!$A$36="","",Produits!$D$36)</f>
        <v/>
      </c>
      <c r="E38" s="10" t="n"/>
      <c r="F38" s="19">
        <f>IF(OR(E38="",Produits!$E$36=""),"",MAX(0,CEILING(Produits!$E$36-E38,1)))</f>
        <v/>
      </c>
      <c r="G38" s="10" t="n"/>
      <c r="H38" s="10" t="n"/>
      <c r="I38" s="10" t="n"/>
      <c r="J38" s="19">
        <f>IF(OR(I38="",Produits!$E$36=""),"",MAX(0,CEILING(Produits!$E$36-I38,1)))</f>
        <v/>
      </c>
      <c r="K38" s="10" t="n"/>
      <c r="L38" s="10" t="n"/>
      <c r="M38" s="10" t="n"/>
      <c r="N38" s="19">
        <f>IF(OR(M38="",Produits!$E$36=""),"",MAX(0,CEILING(Produits!$E$36-M38,1)))</f>
        <v/>
      </c>
      <c r="O38" s="10" t="n"/>
      <c r="P38" s="10" t="n"/>
      <c r="Q38" s="10" t="n"/>
      <c r="R38" s="19">
        <f>IF(OR(Q38="",Produits!$E$36=""),"",MAX(0,CEILING(Produits!$E$36-Q38,1)))</f>
        <v/>
      </c>
      <c r="S38" s="10" t="n"/>
      <c r="T38" s="10" t="n"/>
      <c r="U38" s="20">
        <f>IF(COUNT(G38,K38,O38,S38)=0,"",SUM(G38,K38,O38,S38))</f>
        <v/>
      </c>
      <c r="V38" s="20">
        <f>IF(COUNT(H38,L38,P38,T38)=0,"",SUM(H38,L38,P38,T38))</f>
        <v/>
      </c>
    </row>
    <row r="39">
      <c r="A39" s="15">
        <f>IF(Produits!$A$37="","",Produits!$A$37)</f>
        <v/>
      </c>
      <c r="B39" s="16">
        <f>IF(Produits!$A$37="","",Produits!$B$37)</f>
        <v/>
      </c>
      <c r="C39" s="17">
        <f>IF(Produits!$A$37="","",Produits!$C$37)</f>
        <v/>
      </c>
      <c r="D39" s="18">
        <f>IF(Produits!$A$37="","",Produits!$D$37)</f>
        <v/>
      </c>
      <c r="E39" s="10" t="n"/>
      <c r="F39" s="19">
        <f>IF(OR(E39="",Produits!$E$37=""),"",MAX(0,CEILING(Produits!$E$37-E39,1)))</f>
        <v/>
      </c>
      <c r="G39" s="10" t="n"/>
      <c r="H39" s="10" t="n"/>
      <c r="I39" s="10" t="n"/>
      <c r="J39" s="19">
        <f>IF(OR(I39="",Produits!$E$37=""),"",MAX(0,CEILING(Produits!$E$37-I39,1)))</f>
        <v/>
      </c>
      <c r="K39" s="10" t="n"/>
      <c r="L39" s="10" t="n"/>
      <c r="M39" s="10" t="n"/>
      <c r="N39" s="19">
        <f>IF(OR(M39="",Produits!$E$37=""),"",MAX(0,CEILING(Produits!$E$37-M39,1)))</f>
        <v/>
      </c>
      <c r="O39" s="10" t="n"/>
      <c r="P39" s="10" t="n"/>
      <c r="Q39" s="10" t="n"/>
      <c r="R39" s="19">
        <f>IF(OR(Q39="",Produits!$E$37=""),"",MAX(0,CEILING(Produits!$E$37-Q39,1)))</f>
        <v/>
      </c>
      <c r="S39" s="10" t="n"/>
      <c r="T39" s="10" t="n"/>
      <c r="U39" s="20">
        <f>IF(COUNT(G39,K39,O39,S39)=0,"",SUM(G39,K39,O39,S39))</f>
        <v/>
      </c>
      <c r="V39" s="20">
        <f>IF(COUNT(H39,L39,P39,T39)=0,"",SUM(H39,L39,P39,T39))</f>
        <v/>
      </c>
    </row>
    <row r="40">
      <c r="A40" s="15">
        <f>IF(Produits!$A$38="","",Produits!$A$38)</f>
        <v/>
      </c>
      <c r="B40" s="16">
        <f>IF(Produits!$A$38="","",Produits!$B$38)</f>
        <v/>
      </c>
      <c r="C40" s="17">
        <f>IF(Produits!$A$38="","",Produits!$C$38)</f>
        <v/>
      </c>
      <c r="D40" s="18">
        <f>IF(Produits!$A$38="","",Produits!$D$38)</f>
        <v/>
      </c>
      <c r="E40" s="10" t="n"/>
      <c r="F40" s="19">
        <f>IF(OR(E40="",Produits!$E$38=""),"",MAX(0,CEILING(Produits!$E$38-E40,1)))</f>
        <v/>
      </c>
      <c r="G40" s="10" t="n"/>
      <c r="H40" s="10" t="n"/>
      <c r="I40" s="10" t="n"/>
      <c r="J40" s="19">
        <f>IF(OR(I40="",Produits!$E$38=""),"",MAX(0,CEILING(Produits!$E$38-I40,1)))</f>
        <v/>
      </c>
      <c r="K40" s="10" t="n"/>
      <c r="L40" s="10" t="n"/>
      <c r="M40" s="10" t="n"/>
      <c r="N40" s="19">
        <f>IF(OR(M40="",Produits!$E$38=""),"",MAX(0,CEILING(Produits!$E$38-M40,1)))</f>
        <v/>
      </c>
      <c r="O40" s="10" t="n"/>
      <c r="P40" s="10" t="n"/>
      <c r="Q40" s="10" t="n"/>
      <c r="R40" s="19">
        <f>IF(OR(Q40="",Produits!$E$38=""),"",MAX(0,CEILING(Produits!$E$38-Q40,1)))</f>
        <v/>
      </c>
      <c r="S40" s="10" t="n"/>
      <c r="T40" s="10" t="n"/>
      <c r="U40" s="20">
        <f>IF(COUNT(G40,K40,O40,S40)=0,"",SUM(G40,K40,O40,S40))</f>
        <v/>
      </c>
      <c r="V40" s="20">
        <f>IF(COUNT(H40,L40,P40,T40)=0,"",SUM(H40,L40,P40,T40))</f>
        <v/>
      </c>
    </row>
    <row r="41">
      <c r="A41" s="15">
        <f>IF(Produits!$A$39="","",Produits!$A$39)</f>
        <v/>
      </c>
      <c r="B41" s="16">
        <f>IF(Produits!$A$39="","",Produits!$B$39)</f>
        <v/>
      </c>
      <c r="C41" s="17">
        <f>IF(Produits!$A$39="","",Produits!$C$39)</f>
        <v/>
      </c>
      <c r="D41" s="18">
        <f>IF(Produits!$A$39="","",Produits!$D$39)</f>
        <v/>
      </c>
      <c r="E41" s="10" t="n"/>
      <c r="F41" s="19">
        <f>IF(OR(E41="",Produits!$E$39=""),"",MAX(0,CEILING(Produits!$E$39-E41,1)))</f>
        <v/>
      </c>
      <c r="G41" s="10" t="n"/>
      <c r="H41" s="10" t="n"/>
      <c r="I41" s="10" t="n"/>
      <c r="J41" s="19">
        <f>IF(OR(I41="",Produits!$E$39=""),"",MAX(0,CEILING(Produits!$E$39-I41,1)))</f>
        <v/>
      </c>
      <c r="K41" s="10" t="n"/>
      <c r="L41" s="10" t="n"/>
      <c r="M41" s="10" t="n"/>
      <c r="N41" s="19">
        <f>IF(OR(M41="",Produits!$E$39=""),"",MAX(0,CEILING(Produits!$E$39-M41,1)))</f>
        <v/>
      </c>
      <c r="O41" s="10" t="n"/>
      <c r="P41" s="10" t="n"/>
      <c r="Q41" s="10" t="n"/>
      <c r="R41" s="19">
        <f>IF(OR(Q41="",Produits!$E$39=""),"",MAX(0,CEILING(Produits!$E$39-Q41,1)))</f>
        <v/>
      </c>
      <c r="S41" s="10" t="n"/>
      <c r="T41" s="10" t="n"/>
      <c r="U41" s="20">
        <f>IF(COUNT(G41,K41,O41,S41)=0,"",SUM(G41,K41,O41,S41))</f>
        <v/>
      </c>
      <c r="V41" s="20">
        <f>IF(COUNT(H41,L41,P41,T41)=0,"",SUM(H41,L41,P41,T41))</f>
        <v/>
      </c>
    </row>
    <row r="42">
      <c r="A42" s="15">
        <f>IF(Produits!$A$40="","",Produits!$A$40)</f>
        <v/>
      </c>
      <c r="B42" s="16">
        <f>IF(Produits!$A$40="","",Produits!$B$40)</f>
        <v/>
      </c>
      <c r="C42" s="17">
        <f>IF(Produits!$A$40="","",Produits!$C$40)</f>
        <v/>
      </c>
      <c r="D42" s="18">
        <f>IF(Produits!$A$40="","",Produits!$D$40)</f>
        <v/>
      </c>
      <c r="E42" s="10" t="n"/>
      <c r="F42" s="19">
        <f>IF(OR(E42="",Produits!$E$40=""),"",MAX(0,CEILING(Produits!$E$40-E42,1)))</f>
        <v/>
      </c>
      <c r="G42" s="10" t="n"/>
      <c r="H42" s="10" t="n"/>
      <c r="I42" s="10" t="n"/>
      <c r="J42" s="19">
        <f>IF(OR(I42="",Produits!$E$40=""),"",MAX(0,CEILING(Produits!$E$40-I42,1)))</f>
        <v/>
      </c>
      <c r="K42" s="10" t="n"/>
      <c r="L42" s="10" t="n"/>
      <c r="M42" s="10" t="n"/>
      <c r="N42" s="19">
        <f>IF(OR(M42="",Produits!$E$40=""),"",MAX(0,CEILING(Produits!$E$40-M42,1)))</f>
        <v/>
      </c>
      <c r="O42" s="10" t="n"/>
      <c r="P42" s="10" t="n"/>
      <c r="Q42" s="10" t="n"/>
      <c r="R42" s="19">
        <f>IF(OR(Q42="",Produits!$E$40=""),"",MAX(0,CEILING(Produits!$E$40-Q42,1)))</f>
        <v/>
      </c>
      <c r="S42" s="10" t="n"/>
      <c r="T42" s="10" t="n"/>
      <c r="U42" s="20">
        <f>IF(COUNT(G42,K42,O42,S42)=0,"",SUM(G42,K42,O42,S42))</f>
        <v/>
      </c>
      <c r="V42" s="20">
        <f>IF(COUNT(H42,L42,P42,T42)=0,"",SUM(H42,L42,P42,T42))</f>
        <v/>
      </c>
    </row>
    <row r="43">
      <c r="A43" s="15">
        <f>IF(Produits!$A$41="","",Produits!$A$41)</f>
        <v/>
      </c>
      <c r="B43" s="16">
        <f>IF(Produits!$A$41="","",Produits!$B$41)</f>
        <v/>
      </c>
      <c r="C43" s="17">
        <f>IF(Produits!$A$41="","",Produits!$C$41)</f>
        <v/>
      </c>
      <c r="D43" s="18">
        <f>IF(Produits!$A$41="","",Produits!$D$41)</f>
        <v/>
      </c>
      <c r="E43" s="10" t="n"/>
      <c r="F43" s="19">
        <f>IF(OR(E43="",Produits!$E$41=""),"",MAX(0,CEILING(Produits!$E$41-E43,1)))</f>
        <v/>
      </c>
      <c r="G43" s="10" t="n"/>
      <c r="H43" s="10" t="n"/>
      <c r="I43" s="10" t="n"/>
      <c r="J43" s="19">
        <f>IF(OR(I43="",Produits!$E$41=""),"",MAX(0,CEILING(Produits!$E$41-I43,1)))</f>
        <v/>
      </c>
      <c r="K43" s="10" t="n"/>
      <c r="L43" s="10" t="n"/>
      <c r="M43" s="10" t="n"/>
      <c r="N43" s="19">
        <f>IF(OR(M43="",Produits!$E$41=""),"",MAX(0,CEILING(Produits!$E$41-M43,1)))</f>
        <v/>
      </c>
      <c r="O43" s="10" t="n"/>
      <c r="P43" s="10" t="n"/>
      <c r="Q43" s="10" t="n"/>
      <c r="R43" s="19">
        <f>IF(OR(Q43="",Produits!$E$41=""),"",MAX(0,CEILING(Produits!$E$41-Q43,1)))</f>
        <v/>
      </c>
      <c r="S43" s="10" t="n"/>
      <c r="T43" s="10" t="n"/>
      <c r="U43" s="20">
        <f>IF(COUNT(G43,K43,O43,S43)=0,"",SUM(G43,K43,O43,S43))</f>
        <v/>
      </c>
      <c r="V43" s="20">
        <f>IF(COUNT(H43,L43,P43,T43)=0,"",SUM(H43,L43,P43,T43))</f>
        <v/>
      </c>
    </row>
    <row r="44">
      <c r="A44" s="15">
        <f>IF(Produits!$A$42="","",Produits!$A$42)</f>
        <v/>
      </c>
      <c r="B44" s="16">
        <f>IF(Produits!$A$42="","",Produits!$B$42)</f>
        <v/>
      </c>
      <c r="C44" s="17">
        <f>IF(Produits!$A$42="","",Produits!$C$42)</f>
        <v/>
      </c>
      <c r="D44" s="18">
        <f>IF(Produits!$A$42="","",Produits!$D$42)</f>
        <v/>
      </c>
      <c r="E44" s="10" t="n"/>
      <c r="F44" s="19">
        <f>IF(OR(E44="",Produits!$E$42=""),"",MAX(0,CEILING(Produits!$E$42-E44,1)))</f>
        <v/>
      </c>
      <c r="G44" s="10" t="n"/>
      <c r="H44" s="10" t="n"/>
      <c r="I44" s="10" t="n"/>
      <c r="J44" s="19">
        <f>IF(OR(I44="",Produits!$E$42=""),"",MAX(0,CEILING(Produits!$E$42-I44,1)))</f>
        <v/>
      </c>
      <c r="K44" s="10" t="n"/>
      <c r="L44" s="10" t="n"/>
      <c r="M44" s="10" t="n"/>
      <c r="N44" s="19">
        <f>IF(OR(M44="",Produits!$E$42=""),"",MAX(0,CEILING(Produits!$E$42-M44,1)))</f>
        <v/>
      </c>
      <c r="O44" s="10" t="n"/>
      <c r="P44" s="10" t="n"/>
      <c r="Q44" s="10" t="n"/>
      <c r="R44" s="19">
        <f>IF(OR(Q44="",Produits!$E$42=""),"",MAX(0,CEILING(Produits!$E$42-Q44,1)))</f>
        <v/>
      </c>
      <c r="S44" s="10" t="n"/>
      <c r="T44" s="10" t="n"/>
      <c r="U44" s="20">
        <f>IF(COUNT(G44,K44,O44,S44)=0,"",SUM(G44,K44,O44,S44))</f>
        <v/>
      </c>
      <c r="V44" s="20">
        <f>IF(COUNT(H44,L44,P44,T44)=0,"",SUM(H44,L44,P44,T44))</f>
        <v/>
      </c>
    </row>
    <row r="45">
      <c r="A45" s="15">
        <f>IF(Produits!$A$43="","",Produits!$A$43)</f>
        <v/>
      </c>
      <c r="B45" s="16">
        <f>IF(Produits!$A$43="","",Produits!$B$43)</f>
        <v/>
      </c>
      <c r="C45" s="17">
        <f>IF(Produits!$A$43="","",Produits!$C$43)</f>
        <v/>
      </c>
      <c r="D45" s="18">
        <f>IF(Produits!$A$43="","",Produits!$D$43)</f>
        <v/>
      </c>
      <c r="E45" s="10" t="n"/>
      <c r="F45" s="19">
        <f>IF(OR(E45="",Produits!$E$43=""),"",MAX(0,CEILING(Produits!$E$43-E45,1)))</f>
        <v/>
      </c>
      <c r="G45" s="10" t="n"/>
      <c r="H45" s="10" t="n"/>
      <c r="I45" s="10" t="n"/>
      <c r="J45" s="19">
        <f>IF(OR(I45="",Produits!$E$43=""),"",MAX(0,CEILING(Produits!$E$43-I45,1)))</f>
        <v/>
      </c>
      <c r="K45" s="10" t="n"/>
      <c r="L45" s="10" t="n"/>
      <c r="M45" s="10" t="n"/>
      <c r="N45" s="19">
        <f>IF(OR(M45="",Produits!$E$43=""),"",MAX(0,CEILING(Produits!$E$43-M45,1)))</f>
        <v/>
      </c>
      <c r="O45" s="10" t="n"/>
      <c r="P45" s="10" t="n"/>
      <c r="Q45" s="10" t="n"/>
      <c r="R45" s="19">
        <f>IF(OR(Q45="",Produits!$E$43=""),"",MAX(0,CEILING(Produits!$E$43-Q45,1)))</f>
        <v/>
      </c>
      <c r="S45" s="10" t="n"/>
      <c r="T45" s="10" t="n"/>
      <c r="U45" s="20">
        <f>IF(COUNT(G45,K45,O45,S45)=0,"",SUM(G45,K45,O45,S45))</f>
        <v/>
      </c>
      <c r="V45" s="20">
        <f>IF(COUNT(H45,L45,P45,T45)=0,"",SUM(H45,L45,P45,T45))</f>
        <v/>
      </c>
    </row>
    <row r="46">
      <c r="A46" s="15">
        <f>IF(Produits!$A$44="","",Produits!$A$44)</f>
        <v/>
      </c>
      <c r="B46" s="16">
        <f>IF(Produits!$A$44="","",Produits!$B$44)</f>
        <v/>
      </c>
      <c r="C46" s="17">
        <f>IF(Produits!$A$44="","",Produits!$C$44)</f>
        <v/>
      </c>
      <c r="D46" s="18">
        <f>IF(Produits!$A$44="","",Produits!$D$44)</f>
        <v/>
      </c>
      <c r="E46" s="10" t="n"/>
      <c r="F46" s="19">
        <f>IF(OR(E46="",Produits!$E$44=""),"",MAX(0,CEILING(Produits!$E$44-E46,1)))</f>
        <v/>
      </c>
      <c r="G46" s="10" t="n"/>
      <c r="H46" s="10" t="n"/>
      <c r="I46" s="10" t="n"/>
      <c r="J46" s="19">
        <f>IF(OR(I46="",Produits!$E$44=""),"",MAX(0,CEILING(Produits!$E$44-I46,1)))</f>
        <v/>
      </c>
      <c r="K46" s="10" t="n"/>
      <c r="L46" s="10" t="n"/>
      <c r="M46" s="10" t="n"/>
      <c r="N46" s="19">
        <f>IF(OR(M46="",Produits!$E$44=""),"",MAX(0,CEILING(Produits!$E$44-M46,1)))</f>
        <v/>
      </c>
      <c r="O46" s="10" t="n"/>
      <c r="P46" s="10" t="n"/>
      <c r="Q46" s="10" t="n"/>
      <c r="R46" s="19">
        <f>IF(OR(Q46="",Produits!$E$44=""),"",MAX(0,CEILING(Produits!$E$44-Q46,1)))</f>
        <v/>
      </c>
      <c r="S46" s="10" t="n"/>
      <c r="T46" s="10" t="n"/>
      <c r="U46" s="20">
        <f>IF(COUNT(G46,K46,O46,S46)=0,"",SUM(G46,K46,O46,S46))</f>
        <v/>
      </c>
      <c r="V46" s="20">
        <f>IF(COUNT(H46,L46,P46,T46)=0,"",SUM(H46,L46,P46,T46))</f>
        <v/>
      </c>
    </row>
  </sheetData>
  <mergeCells count="13">
    <mergeCell ref="D4:D6"/>
    <mergeCell ref="M5:P5"/>
    <mergeCell ref="A4:A6"/>
    <mergeCell ref="M4:P4"/>
    <mergeCell ref="B4:B6"/>
    <mergeCell ref="Q4:T4"/>
    <mergeCell ref="U4:V5"/>
    <mergeCell ref="E4:H4"/>
    <mergeCell ref="I4:L4"/>
    <mergeCell ref="Q5:T5"/>
    <mergeCell ref="E5:H5"/>
    <mergeCell ref="C4:C6"/>
    <mergeCell ref="I5:L5"/>
  </mergeCells>
  <conditionalFormatting sqref="E7:E46">
    <cfRule type="expression" priority="1" dxfId="0">
      <formula>AND(ISNUMBER(E7),ISNUMBER($D7),E7&lt;=$D7)</formula>
    </cfRule>
  </conditionalFormatting>
  <conditionalFormatting sqref="H7:H46">
    <cfRule type="expression" priority="2" dxfId="1">
      <formula>AND(ISNUMBER(H7),ISNUMBER(G7),H7&lt;G7)</formula>
    </cfRule>
  </conditionalFormatting>
  <conditionalFormatting sqref="I7:I46">
    <cfRule type="expression" priority="3" dxfId="0">
      <formula>AND(ISNUMBER(I7),ISNUMBER($D7),I7&lt;=$D7)</formula>
    </cfRule>
  </conditionalFormatting>
  <conditionalFormatting sqref="L7:L46">
    <cfRule type="expression" priority="4" dxfId="1">
      <formula>AND(ISNUMBER(L7),ISNUMBER(K7),L7&lt;K7)</formula>
    </cfRule>
  </conditionalFormatting>
  <conditionalFormatting sqref="M7:M46">
    <cfRule type="expression" priority="5" dxfId="0">
      <formula>AND(ISNUMBER(M7),ISNUMBER($D7),M7&lt;=$D7)</formula>
    </cfRule>
  </conditionalFormatting>
  <conditionalFormatting sqref="P7:P46">
    <cfRule type="expression" priority="6" dxfId="1">
      <formula>AND(ISNUMBER(P7),ISNUMBER(O7),P7&lt;O7)</formula>
    </cfRule>
  </conditionalFormatting>
  <conditionalFormatting sqref="Q7:Q46">
    <cfRule type="expression" priority="7" dxfId="0">
      <formula>AND(ISNUMBER(Q7),ISNUMBER($D7),Q7&lt;=$D7)</formula>
    </cfRule>
  </conditionalFormatting>
  <conditionalFormatting sqref="T7:T46">
    <cfRule type="expression" priority="8" dxfId="1">
      <formula>AND(ISNUMBER(T7),ISNUMBER(S7),T7&lt;S7)</formula>
    </cfRule>
  </conditionalFormatting>
  <dataValidations count="12">
    <dataValidation sqref="E7:E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G7:G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H7:H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I7:I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K7:K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L7:L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M7:M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O7:O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P7:P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Q7:Q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S7:S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T7:T46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2026-09-24T19:35:40Z</dcterms:created>
  <dcterms:modified xmlns:dcterms="http://purl.org/dc/terms/" xmlns:xsi="http://www.w3.org/2001/XMLSchema-instance" xsi:type="dcterms:W3CDTF">2026-09-24T19:35:40Z</dcterms:modified>
</cp:coreProperties>
</file>