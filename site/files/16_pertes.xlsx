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Octobre 2026" sheetId="3" state="visible" r:id="rId3"/>
    <sheet xmlns:r="http://schemas.openxmlformats.org/officeDocument/2006/relationships" name="Pertes" sheetId="4" state="visible" r:id="rId4"/>
    <sheet xmlns:r="http://schemas.openxmlformats.org/officeDocument/2006/relationships" name="Bilan des per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7B4B94"/>
      <sz val="16"/>
    </font>
    <font>
      <name val="Arial"/>
      <i val="1"/>
      <color rgb="00666666"/>
      <sz val="9"/>
    </font>
    <font>
      <name val="Arial"/>
      <b val="1"/>
      <color rgb="007B4B94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7B4B94"/>
      </patternFill>
    </fill>
    <fill>
      <patternFill patternType="solid">
        <fgColor rgb="00FFF6D5"/>
      </patternFill>
    </fill>
    <fill>
      <patternFill patternType="solid">
        <fgColor rgb="00E4DB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8C9C4"/>
        </patternFill>
      </fill>
    </dxf>
    <dxf>
      <fill>
        <patternFill patternType="solid">
          <fgColor rgb="00FBDD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lele_auto</author>
  </authors>
  <commentList>
    <comment ref="D5" authorId="0" shapeId="0">
      <text>
        <t>Date du comptage (facultatif)</t>
      </text>
    </comment>
    <comment ref="G5" authorId="0" shapeId="0">
      <text>
        <t>Date du comptage (facultatif)</t>
      </text>
    </comment>
    <comment ref="J5" authorId="0" shapeId="0">
      <text>
        <t>Date du comptage (facultatif)</t>
      </text>
    </comment>
    <comment ref="M5" authorId="0" shapeId="0">
      <text>
        <t>Date du comptage (facultatif)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16 · Les pertes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Le suivi du stock habituel, plus un carnet des pertes : produit périmé, préparation ratée, pot renversé, dégustation. À la fin du mois, tu vois ce qui part à la poubelle et pourquoi — c'est souvent ce qui explique qu'il te manque de la marchandise.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Chaque semaine : Stock, Commandé, Reçu dans l'onglet du mois.</t>
        </is>
      </c>
    </row>
    <row r="8">
      <c r="A8" s="5" t="inlineStr"/>
      <c r="B8" s="4" t="inlineStr">
        <is>
          <t>3. Quand tu jettes ou perds quelque chose : une ligne dans « Pertes » (date, produit, quantité, raison).</t>
        </is>
      </c>
    </row>
    <row r="9">
      <c r="A9" s="5" t="inlineStr"/>
      <c r="B9" s="4" t="inlineStr">
        <is>
          <t>4. « Bilan des pertes » : tape le mois et l'année, le total par produit et par raison s'affiche.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Octobre 2026 — stock, commandé, reçu.</t>
        </is>
      </c>
    </row>
    <row r="13">
      <c r="A13" s="5" t="inlineStr"/>
      <c r="B13" s="4" t="inlineStr">
        <is>
          <t>Pertes — le carnet.</t>
        </is>
      </c>
    </row>
    <row r="14">
      <c r="A14" s="5" t="inlineStr"/>
      <c r="B14" s="4" t="inlineStr">
        <is>
          <t>Bilan des pertes — par produit et par raison.</t>
        </is>
      </c>
    </row>
    <row r="15">
      <c r="A15" s="5" t="inlineStr"/>
      <c r="B15" s="4" t="inlineStr"/>
    </row>
    <row r="16">
      <c r="A16" s="5" t="inlineStr">
        <is>
          <t>Couleurs</t>
        </is>
      </c>
      <c r="B16" s="4" t="inlineStr">
        <is>
          <t>Cases jaunes = à remplir. Cases blanches = calculées toutes seules, ne pas y toucher.</t>
        </is>
      </c>
    </row>
    <row r="17">
      <c r="A17" s="5" t="inlineStr"/>
      <c r="B17" s="4" t="inlineStr">
        <is>
          <t>Chiffres en bleu = exemple pour montrer le fonctionnement, à effacer.</t>
        </is>
      </c>
    </row>
    <row r="18">
      <c r="A18" s="5" t="inlineStr"/>
      <c r="B18" s="4" t="inlineStr">
        <is>
          <t>Rouge = il manque quelque chose (livraison incomplète, stock trop bas).</t>
        </is>
      </c>
    </row>
    <row r="19">
      <c r="A19" s="5" t="inlineStr"/>
      <c r="B19" s="4" t="inlineStr"/>
    </row>
    <row r="20">
      <c r="A20" s="5" t="inlineStr">
        <is>
          <t>Google Sheets</t>
        </is>
      </c>
      <c r="B20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6" customHeight="1">
      <c r="A1" s="1" t="inlineStr">
        <is>
          <t>Octobre 2026</t>
        </is>
      </c>
    </row>
    <row r="2">
      <c r="A2" s="2" t="inlineStr">
        <is>
          <t>Stock = ce qu'il reste · Commandé = ce que tu demandes · Reçu = ce qui est arrivé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Semaine 1</t>
        </is>
      </c>
      <c r="E4" s="11" t="n"/>
      <c r="F4" s="11" t="n"/>
      <c r="G4" s="6" t="inlineStr">
        <is>
          <t>Semaine 2</t>
        </is>
      </c>
      <c r="H4" s="11" t="n"/>
      <c r="I4" s="11" t="n"/>
      <c r="J4" s="6" t="inlineStr">
        <is>
          <t>Semaine 3</t>
        </is>
      </c>
      <c r="K4" s="11" t="n"/>
      <c r="L4" s="11" t="n"/>
      <c r="M4" s="6" t="inlineStr">
        <is>
          <t>Semaine 4</t>
        </is>
      </c>
      <c r="N4" s="11" t="n"/>
      <c r="O4" s="11" t="n"/>
      <c r="P4" s="6" t="inlineStr">
        <is>
          <t>Total du mois</t>
        </is>
      </c>
      <c r="Q4" s="11" t="n"/>
      <c r="R4" s="11" t="n"/>
      <c r="S4" s="11" t="n"/>
    </row>
    <row r="5">
      <c r="A5" s="11" t="n"/>
      <c r="B5" s="11" t="n"/>
      <c r="C5" s="11" t="n"/>
      <c r="D5" s="12" t="n"/>
      <c r="E5" s="13" t="n"/>
      <c r="F5" s="13" t="n"/>
      <c r="G5" s="12" t="n"/>
      <c r="H5" s="13" t="n"/>
      <c r="I5" s="13" t="n"/>
      <c r="J5" s="12" t="n"/>
      <c r="K5" s="13" t="n"/>
      <c r="L5" s="13" t="n"/>
      <c r="M5" s="12" t="n"/>
      <c r="N5" s="13" t="n"/>
      <c r="O5" s="13" t="n"/>
      <c r="P5" s="11" t="n"/>
      <c r="Q5" s="11" t="n"/>
      <c r="R5" s="11" t="n"/>
      <c r="S5" s="11" t="n"/>
    </row>
    <row r="6">
      <c r="A6" s="11" t="n"/>
      <c r="B6" s="11" t="n"/>
      <c r="C6" s="11" t="n"/>
      <c r="D6" s="14" t="inlineStr">
        <is>
          <t>Stock</t>
        </is>
      </c>
      <c r="E6" s="14" t="inlineStr">
        <is>
          <t>Commandé</t>
        </is>
      </c>
      <c r="F6" s="14" t="inlineStr">
        <is>
          <t>Reçu</t>
        </is>
      </c>
      <c r="G6" s="14" t="inlineStr">
        <is>
          <t>Stock</t>
        </is>
      </c>
      <c r="H6" s="14" t="inlineStr">
        <is>
          <t>Commandé</t>
        </is>
      </c>
      <c r="I6" s="14" t="inlineStr">
        <is>
          <t>Reçu</t>
        </is>
      </c>
      <c r="J6" s="14" t="inlineStr">
        <is>
          <t>Stock</t>
        </is>
      </c>
      <c r="K6" s="14" t="inlineStr">
        <is>
          <t>Commandé</t>
        </is>
      </c>
      <c r="L6" s="14" t="inlineStr">
        <is>
          <t>Reçu</t>
        </is>
      </c>
      <c r="M6" s="14" t="inlineStr">
        <is>
          <t>Stock</t>
        </is>
      </c>
      <c r="N6" s="14" t="inlineStr">
        <is>
          <t>Commandé</t>
        </is>
      </c>
      <c r="O6" s="14" t="inlineStr">
        <is>
          <t>Reçu</t>
        </is>
      </c>
      <c r="P6" s="14" t="inlineStr">
        <is>
          <t>Commandé</t>
        </is>
      </c>
      <c r="Q6" s="14" t="inlineStr">
        <is>
          <t>Reçu</t>
        </is>
      </c>
      <c r="R6" s="14" t="inlineStr">
        <is>
          <t>Écart</t>
        </is>
      </c>
      <c r="S6" s="14" t="inlineStr">
        <is>
          <t>Dernier stock</t>
        </is>
      </c>
    </row>
    <row r="7">
      <c r="A7" s="15">
        <f>IF(Produits!$A$5="","",Produits!$A$5)</f>
        <v/>
      </c>
      <c r="B7" s="16">
        <f>IF(Produits!$A$5="","",Produits!$B$5)</f>
        <v/>
      </c>
      <c r="C7" s="17">
        <f>IF(Produits!$A$5="","",Produits!$C$5)</f>
        <v/>
      </c>
      <c r="D7" s="8" t="n">
        <v>8</v>
      </c>
      <c r="E7" s="8" t="n">
        <v>10</v>
      </c>
      <c r="F7" s="8" t="n">
        <v>7</v>
      </c>
      <c r="G7" s="8" t="n">
        <v>5</v>
      </c>
      <c r="H7" s="8" t="n">
        <v>10</v>
      </c>
      <c r="I7" s="8" t="n">
        <v>10</v>
      </c>
      <c r="J7" s="10" t="n"/>
      <c r="K7" s="10" t="n"/>
      <c r="L7" s="10" t="n"/>
      <c r="M7" s="10" t="n"/>
      <c r="N7" s="10" t="n"/>
      <c r="O7" s="10" t="n"/>
      <c r="P7" s="18">
        <f>IF(COUNT(E7,H7,K7,N7)=0,"",SUM(E7,H7,K7,N7))</f>
        <v/>
      </c>
      <c r="Q7" s="18">
        <f>IF(COUNT(F7,I7,L7,O7)=0,"",SUM(F7,I7,L7,O7))</f>
        <v/>
      </c>
      <c r="R7" s="18">
        <f>IF(OR(P7="",Q7=""),"",Q7-P7)</f>
        <v/>
      </c>
      <c r="S7" s="18">
        <f>IF(M7&lt;&gt;"",M7,IF(J7&lt;&gt;"",J7,IF(G7&lt;&gt;"",G7,IF(D7&lt;&gt;"",D7,""))))</f>
        <v/>
      </c>
    </row>
    <row r="8">
      <c r="A8" s="15">
        <f>IF(Produits!$A$6="","",Produits!$A$6)</f>
        <v/>
      </c>
      <c r="B8" s="16">
        <f>IF(Produits!$A$6="","",Produits!$B$6)</f>
        <v/>
      </c>
      <c r="C8" s="17">
        <f>IF(Produits!$A$6="","",Produits!$C$6)</f>
        <v/>
      </c>
      <c r="D8" s="8" t="n">
        <v>2</v>
      </c>
      <c r="E8" s="8" t="n">
        <v>5</v>
      </c>
      <c r="F8" s="8" t="n">
        <v>5</v>
      </c>
      <c r="G8" s="8" t="n">
        <v>3</v>
      </c>
      <c r="H8" s="8" t="n">
        <v>3</v>
      </c>
      <c r="I8" s="8" t="n">
        <v>3</v>
      </c>
      <c r="J8" s="10" t="n"/>
      <c r="K8" s="10" t="n"/>
      <c r="L8" s="10" t="n"/>
      <c r="M8" s="10" t="n"/>
      <c r="N8" s="10" t="n"/>
      <c r="O8" s="10" t="n"/>
      <c r="P8" s="18">
        <f>IF(COUNT(E8,H8,K8,N8)=0,"",SUM(E8,H8,K8,N8))</f>
        <v/>
      </c>
      <c r="Q8" s="18">
        <f>IF(COUNT(F8,I8,L8,O8)=0,"",SUM(F8,I8,L8,O8))</f>
        <v/>
      </c>
      <c r="R8" s="18">
        <f>IF(OR(P8="",Q8=""),"",Q8-P8)</f>
        <v/>
      </c>
      <c r="S8" s="18">
        <f>IF(M8&lt;&gt;"",M8,IF(J8&lt;&gt;"",J8,IF(G8&lt;&gt;"",G8,IF(D8&lt;&gt;"",D8,""))))</f>
        <v/>
      </c>
    </row>
    <row r="9">
      <c r="A9" s="15">
        <f>IF(Produits!$A$7="","",Produits!$A$7)</f>
        <v/>
      </c>
      <c r="B9" s="16">
        <f>IF(Produits!$A$7="","",Produits!$B$7)</f>
        <v/>
      </c>
      <c r="C9" s="17">
        <f>IF(Produits!$A$7="","",Produits!$C$7)</f>
        <v/>
      </c>
      <c r="D9" s="8" t="n">
        <v>6</v>
      </c>
      <c r="E9" s="8" t="n">
        <v>10</v>
      </c>
      <c r="F9" s="8" t="n">
        <v>10</v>
      </c>
      <c r="G9" s="8" t="n">
        <v>7</v>
      </c>
      <c r="H9" s="8" t="n">
        <v>5</v>
      </c>
      <c r="I9" s="8" t="n">
        <v>5</v>
      </c>
      <c r="J9" s="10" t="n"/>
      <c r="K9" s="10" t="n"/>
      <c r="L9" s="10" t="n"/>
      <c r="M9" s="10" t="n"/>
      <c r="N9" s="10" t="n"/>
      <c r="O9" s="10" t="n"/>
      <c r="P9" s="18">
        <f>IF(COUNT(E9,H9,K9,N9)=0,"",SUM(E9,H9,K9,N9))</f>
        <v/>
      </c>
      <c r="Q9" s="18">
        <f>IF(COUNT(F9,I9,L9,O9)=0,"",SUM(F9,I9,L9,O9))</f>
        <v/>
      </c>
      <c r="R9" s="18">
        <f>IF(OR(P9="",Q9=""),"",Q9-P9)</f>
        <v/>
      </c>
      <c r="S9" s="18">
        <f>IF(M9&lt;&gt;"",M9,IF(J9&lt;&gt;"",J9,IF(G9&lt;&gt;"",G9,IF(D9&lt;&gt;"",D9,""))))</f>
        <v/>
      </c>
    </row>
    <row r="10">
      <c r="A10" s="15">
        <f>IF(Produits!$A$8="","",Produits!$A$8)</f>
        <v/>
      </c>
      <c r="B10" s="16">
        <f>IF(Produits!$A$8="","",Produits!$B$8)</f>
        <v/>
      </c>
      <c r="C10" s="17">
        <f>IF(Produits!$A$8="","",Produits!$C$8)</f>
        <v/>
      </c>
      <c r="D10" s="8" t="n">
        <v>1</v>
      </c>
      <c r="E10" s="8" t="n">
        <v>3</v>
      </c>
      <c r="F10" s="8" t="n">
        <v>3</v>
      </c>
      <c r="G10" s="8" t="n">
        <v>2</v>
      </c>
      <c r="H10" s="8" t="n">
        <v>0</v>
      </c>
      <c r="I10" s="8" t="n">
        <v>0</v>
      </c>
      <c r="J10" s="10" t="n"/>
      <c r="K10" s="10" t="n"/>
      <c r="L10" s="10" t="n"/>
      <c r="M10" s="10" t="n"/>
      <c r="N10" s="10" t="n"/>
      <c r="O10" s="10" t="n"/>
      <c r="P10" s="18">
        <f>IF(COUNT(E10,H10,K10,N10)=0,"",SUM(E10,H10,K10,N10))</f>
        <v/>
      </c>
      <c r="Q10" s="18">
        <f>IF(COUNT(F10,I10,L10,O10)=0,"",SUM(F10,I10,L10,O10))</f>
        <v/>
      </c>
      <c r="R10" s="18">
        <f>IF(OR(P10="",Q10=""),"",Q10-P10)</f>
        <v/>
      </c>
      <c r="S10" s="18">
        <f>IF(M10&lt;&gt;"",M10,IF(J10&lt;&gt;"",J10,IF(G10&lt;&gt;"",G10,IF(D10&lt;&gt;"",D10,""))))</f>
        <v/>
      </c>
    </row>
    <row r="11">
      <c r="A11" s="15">
        <f>IF(Produits!$A$9="","",Produits!$A$9)</f>
        <v/>
      </c>
      <c r="B11" s="16">
        <f>IF(Produits!$A$9="","",Produits!$B$9)</f>
        <v/>
      </c>
      <c r="C11" s="17">
        <f>IF(Produits!$A$9="","",Produits!$C$9)</f>
        <v/>
      </c>
      <c r="D11" s="8" t="n">
        <v>3</v>
      </c>
      <c r="E11" s="8" t="n">
        <v>5</v>
      </c>
      <c r="F11" s="8" t="n">
        <v>5</v>
      </c>
      <c r="G11" s="8" t="n">
        <v>4</v>
      </c>
      <c r="H11" s="8" t="n">
        <v>5</v>
      </c>
      <c r="I11" s="8" t="n">
        <v>5</v>
      </c>
      <c r="J11" s="10" t="n"/>
      <c r="K11" s="10" t="n"/>
      <c r="L11" s="10" t="n"/>
      <c r="M11" s="10" t="n"/>
      <c r="N11" s="10" t="n"/>
      <c r="O11" s="10" t="n"/>
      <c r="P11" s="18">
        <f>IF(COUNT(E11,H11,K11,N11)=0,"",SUM(E11,H11,K11,N11))</f>
        <v/>
      </c>
      <c r="Q11" s="18">
        <f>IF(COUNT(F11,I11,L11,O11)=0,"",SUM(F11,I11,L11,O11))</f>
        <v/>
      </c>
      <c r="R11" s="18">
        <f>IF(OR(P11="",Q11=""),"",Q11-P11)</f>
        <v/>
      </c>
      <c r="S11" s="18">
        <f>IF(M11&lt;&gt;"",M11,IF(J11&lt;&gt;"",J11,IF(G11&lt;&gt;"",G11,IF(D11&lt;&gt;"",D11,""))))</f>
        <v/>
      </c>
    </row>
    <row r="12">
      <c r="A12" s="15">
        <f>IF(Produits!$A$10="","",Produits!$A$10)</f>
        <v/>
      </c>
      <c r="B12" s="16">
        <f>IF(Produits!$A$10="","",Produits!$B$10)</f>
        <v/>
      </c>
      <c r="C12" s="17">
        <f>IF(Produits!$A$10="","",Produits!$C$10)</f>
        <v/>
      </c>
      <c r="D12" s="8" t="n">
        <v>4</v>
      </c>
      <c r="E12" s="8" t="n">
        <v>12</v>
      </c>
      <c r="F12" s="8" t="n">
        <v>12</v>
      </c>
      <c r="G12" s="8" t="n">
        <v>5</v>
      </c>
      <c r="H12" s="8" t="n">
        <v>10</v>
      </c>
      <c r="I12" s="8" t="n">
        <v>10</v>
      </c>
      <c r="J12" s="10" t="n"/>
      <c r="K12" s="10" t="n"/>
      <c r="L12" s="10" t="n"/>
      <c r="M12" s="10" t="n"/>
      <c r="N12" s="10" t="n"/>
      <c r="O12" s="10" t="n"/>
      <c r="P12" s="18">
        <f>IF(COUNT(E12,H12,K12,N12)=0,"",SUM(E12,H12,K12,N12))</f>
        <v/>
      </c>
      <c r="Q12" s="18">
        <f>IF(COUNT(F12,I12,L12,O12)=0,"",SUM(F12,I12,L12,O12))</f>
        <v/>
      </c>
      <c r="R12" s="18">
        <f>IF(OR(P12="",Q12=""),"",Q12-P12)</f>
        <v/>
      </c>
      <c r="S12" s="18">
        <f>IF(M12&lt;&gt;"",M12,IF(J12&lt;&gt;"",J12,IF(G12&lt;&gt;"",G12,IF(D12&lt;&gt;"",D12,""))))</f>
        <v/>
      </c>
    </row>
    <row r="13">
      <c r="A13" s="15">
        <f>IF(Produits!$A$11="","",Produits!$A$11)</f>
        <v/>
      </c>
      <c r="B13" s="16">
        <f>IF(Produits!$A$11="","",Produits!$B$11)</f>
        <v/>
      </c>
      <c r="C13" s="17">
        <f>IF(Produits!$A$11="","",Produits!$C$11)</f>
        <v/>
      </c>
      <c r="D13" s="8" t="n">
        <v>3</v>
      </c>
      <c r="E13" s="8" t="n">
        <v>6</v>
      </c>
      <c r="F13" s="8" t="n">
        <v>6</v>
      </c>
      <c r="G13" s="8" t="n">
        <v>4</v>
      </c>
      <c r="H13" s="8" t="n">
        <v>6</v>
      </c>
      <c r="I13" s="8" t="n">
        <v>6</v>
      </c>
      <c r="J13" s="10" t="n"/>
      <c r="K13" s="10" t="n"/>
      <c r="L13" s="10" t="n"/>
      <c r="M13" s="10" t="n"/>
      <c r="N13" s="10" t="n"/>
      <c r="O13" s="10" t="n"/>
      <c r="P13" s="18">
        <f>IF(COUNT(E13,H13,K13,N13)=0,"",SUM(E13,H13,K13,N13))</f>
        <v/>
      </c>
      <c r="Q13" s="18">
        <f>IF(COUNT(F13,I13,L13,O13)=0,"",SUM(F13,I13,L13,O13))</f>
        <v/>
      </c>
      <c r="R13" s="18">
        <f>IF(OR(P13="",Q13=""),"",Q13-P13)</f>
        <v/>
      </c>
      <c r="S13" s="18">
        <f>IF(M13&lt;&gt;"",M13,IF(J13&lt;&gt;"",J13,IF(G13&lt;&gt;"",G13,IF(D13&lt;&gt;"",D13,""))))</f>
        <v/>
      </c>
    </row>
    <row r="14">
      <c r="A14" s="15">
        <f>IF(Produits!$A$12="","",Produits!$A$12)</f>
        <v/>
      </c>
      <c r="B14" s="16">
        <f>IF(Produits!$A$12="","",Produits!$B$12)</f>
        <v/>
      </c>
      <c r="C14" s="17">
        <f>IF(Produits!$A$12="","",Produits!$C$12)</f>
        <v/>
      </c>
      <c r="D14" s="8" t="n">
        <v>40</v>
      </c>
      <c r="E14" s="8" t="n">
        <v>90</v>
      </c>
      <c r="F14" s="8" t="n">
        <v>90</v>
      </c>
      <c r="G14" s="8" t="n">
        <v>50</v>
      </c>
      <c r="H14" s="8" t="n">
        <v>60</v>
      </c>
      <c r="I14" s="8" t="n">
        <v>60</v>
      </c>
      <c r="J14" s="10" t="n"/>
      <c r="K14" s="10" t="n"/>
      <c r="L14" s="10" t="n"/>
      <c r="M14" s="10" t="n"/>
      <c r="N14" s="10" t="n"/>
      <c r="O14" s="10" t="n"/>
      <c r="P14" s="18">
        <f>IF(COUNT(E14,H14,K14,N14)=0,"",SUM(E14,H14,K14,N14))</f>
        <v/>
      </c>
      <c r="Q14" s="18">
        <f>IF(COUNT(F14,I14,L14,O14)=0,"",SUM(F14,I14,L14,O14))</f>
        <v/>
      </c>
      <c r="R14" s="18">
        <f>IF(OR(P14="",Q14=""),"",Q14-P14)</f>
        <v/>
      </c>
      <c r="S14" s="18">
        <f>IF(M14&lt;&gt;"",M14,IF(J14&lt;&gt;"",J14,IF(G14&lt;&gt;"",G14,IF(D14&lt;&gt;"",D14,""))))</f>
        <v/>
      </c>
    </row>
    <row r="15">
      <c r="A15" s="15">
        <f>IF(Produits!$A$13="","",Produits!$A$13)</f>
        <v/>
      </c>
      <c r="B15" s="16">
        <f>IF(Produits!$A$13="","",Produits!$B$13)</f>
        <v/>
      </c>
      <c r="C15" s="17">
        <f>IF(Produits!$A$13="","",Produits!$C$13)</f>
        <v/>
      </c>
      <c r="D15" s="8" t="n">
        <v>1.5</v>
      </c>
      <c r="E15" s="8" t="n">
        <v>3</v>
      </c>
      <c r="F15" s="8" t="n">
        <v>2</v>
      </c>
      <c r="G15" s="8" t="n">
        <v>2</v>
      </c>
      <c r="H15" s="8" t="n">
        <v>2</v>
      </c>
      <c r="I15" s="8" t="n">
        <v>2</v>
      </c>
      <c r="J15" s="10" t="n"/>
      <c r="K15" s="10" t="n"/>
      <c r="L15" s="10" t="n"/>
      <c r="M15" s="10" t="n"/>
      <c r="N15" s="10" t="n"/>
      <c r="O15" s="10" t="n"/>
      <c r="P15" s="18">
        <f>IF(COUNT(E15,H15,K15,N15)=0,"",SUM(E15,H15,K15,N15))</f>
        <v/>
      </c>
      <c r="Q15" s="18">
        <f>IF(COUNT(F15,I15,L15,O15)=0,"",SUM(F15,I15,L15,O15))</f>
        <v/>
      </c>
      <c r="R15" s="18">
        <f>IF(OR(P15="",Q15=""),"",Q15-P15)</f>
        <v/>
      </c>
      <c r="S15" s="18">
        <f>IF(M15&lt;&gt;"",M15,IF(J15&lt;&gt;"",J15,IF(G15&lt;&gt;"",G15,IF(D15&lt;&gt;"",D15,""))))</f>
        <v/>
      </c>
    </row>
    <row r="16">
      <c r="A16" s="15">
        <f>IF(Produits!$A$14="","",Produits!$A$14)</f>
        <v/>
      </c>
      <c r="B16" s="16">
        <f>IF(Produits!$A$14="","",Produits!$B$14)</f>
        <v/>
      </c>
      <c r="C16" s="17">
        <f>IF(Produits!$A$14="","",Produits!$C$14)</f>
        <v/>
      </c>
      <c r="D16" s="8" t="n">
        <v>2</v>
      </c>
      <c r="E16" s="8" t="n">
        <v>2</v>
      </c>
      <c r="F16" s="8" t="n">
        <v>2</v>
      </c>
      <c r="G16" s="8" t="n">
        <v>2</v>
      </c>
      <c r="H16" s="8" t="n">
        <v>2</v>
      </c>
      <c r="I16" s="8" t="n">
        <v>2</v>
      </c>
      <c r="J16" s="10" t="n"/>
      <c r="K16" s="10" t="n"/>
      <c r="L16" s="10" t="n"/>
      <c r="M16" s="10" t="n"/>
      <c r="N16" s="10" t="n"/>
      <c r="O16" s="10" t="n"/>
      <c r="P16" s="18">
        <f>IF(COUNT(E16,H16,K16,N16)=0,"",SUM(E16,H16,K16,N16))</f>
        <v/>
      </c>
      <c r="Q16" s="18">
        <f>IF(COUNT(F16,I16,L16,O16)=0,"",SUM(F16,I16,L16,O16))</f>
        <v/>
      </c>
      <c r="R16" s="18">
        <f>IF(OR(P16="",Q16=""),"",Q16-P16)</f>
        <v/>
      </c>
      <c r="S16" s="18">
        <f>IF(M16&lt;&gt;"",M16,IF(J16&lt;&gt;"",J16,IF(G16&lt;&gt;"",G16,IF(D16&lt;&gt;"",D16,""))))</f>
        <v/>
      </c>
    </row>
    <row r="17">
      <c r="A17" s="15">
        <f>IF(Produits!$A$15="","",Produits!$A$15)</f>
        <v/>
      </c>
      <c r="B17" s="16">
        <f>IF(Produits!$A$15="","",Produits!$B$15)</f>
        <v/>
      </c>
      <c r="C17" s="17">
        <f>IF(Produits!$A$15="","",Produits!$C$15)</f>
        <v/>
      </c>
      <c r="D17" s="8" t="n">
        <v>0.4</v>
      </c>
      <c r="E17" s="8" t="n">
        <v>1</v>
      </c>
      <c r="F17" s="8" t="n">
        <v>1</v>
      </c>
      <c r="G17" s="8" t="n">
        <v>0.6</v>
      </c>
      <c r="H17" s="8" t="n">
        <v>0</v>
      </c>
      <c r="I17" s="8" t="n">
        <v>0</v>
      </c>
      <c r="J17" s="10" t="n"/>
      <c r="K17" s="10" t="n"/>
      <c r="L17" s="10" t="n"/>
      <c r="M17" s="10" t="n"/>
      <c r="N17" s="10" t="n"/>
      <c r="O17" s="10" t="n"/>
      <c r="P17" s="18">
        <f>IF(COUNT(E17,H17,K17,N17)=0,"",SUM(E17,H17,K17,N17))</f>
        <v/>
      </c>
      <c r="Q17" s="18">
        <f>IF(COUNT(F17,I17,L17,O17)=0,"",SUM(F17,I17,L17,O17))</f>
        <v/>
      </c>
      <c r="R17" s="18">
        <f>IF(OR(P17="",Q17=""),"",Q17-P17)</f>
        <v/>
      </c>
      <c r="S17" s="18">
        <f>IF(M17&lt;&gt;"",M17,IF(J17&lt;&gt;"",J17,IF(G17&lt;&gt;"",G17,IF(D17&lt;&gt;"",D17,""))))</f>
        <v/>
      </c>
    </row>
    <row r="18">
      <c r="A18" s="15">
        <f>IF(Produits!$A$16="","",Produits!$A$16)</f>
        <v/>
      </c>
      <c r="B18" s="16">
        <f>IF(Produits!$A$16="","",Produits!$B$16)</f>
        <v/>
      </c>
      <c r="C18" s="17">
        <f>IF(Produits!$A$16="","",Produits!$C$16)</f>
        <v/>
      </c>
      <c r="D18" s="8" t="n">
        <v>6</v>
      </c>
      <c r="E18" s="8" t="n">
        <v>0</v>
      </c>
      <c r="F18" s="8" t="n">
        <v>0</v>
      </c>
      <c r="G18" s="8" t="n">
        <v>6</v>
      </c>
      <c r="H18" s="8" t="n">
        <v>0</v>
      </c>
      <c r="I18" s="8" t="n">
        <v>0</v>
      </c>
      <c r="J18" s="10" t="n"/>
      <c r="K18" s="10" t="n"/>
      <c r="L18" s="10" t="n"/>
      <c r="M18" s="10" t="n"/>
      <c r="N18" s="10" t="n"/>
      <c r="O18" s="10" t="n"/>
      <c r="P18" s="18">
        <f>IF(COUNT(E18,H18,K18,N18)=0,"",SUM(E18,H18,K18,N18))</f>
        <v/>
      </c>
      <c r="Q18" s="18">
        <f>IF(COUNT(F18,I18,L18,O18)=0,"",SUM(F18,I18,L18,O18))</f>
        <v/>
      </c>
      <c r="R18" s="18">
        <f>IF(OR(P18="",Q18=""),"",Q18-P18)</f>
        <v/>
      </c>
      <c r="S18" s="18">
        <f>IF(M18&lt;&gt;"",M18,IF(J18&lt;&gt;"",J18,IF(G18&lt;&gt;"",G18,IF(D18&lt;&gt;"",D18,""))))</f>
        <v/>
      </c>
    </row>
    <row r="19">
      <c r="A19" s="15">
        <f>IF(Produits!$A$17="","",Produits!$A$17)</f>
        <v/>
      </c>
      <c r="B19" s="16">
        <f>IF(Produits!$A$17="","",Produits!$B$17)</f>
        <v/>
      </c>
      <c r="C19" s="17">
        <f>IF(Produits!$A$17="","",Produits!$C$17)</f>
        <v/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8">
        <f>IF(COUNT(E19,H19,K19,N19)=0,"",SUM(E19,H19,K19,N19))</f>
        <v/>
      </c>
      <c r="Q19" s="18">
        <f>IF(COUNT(F19,I19,L19,O19)=0,"",SUM(F19,I19,L19,O19))</f>
        <v/>
      </c>
      <c r="R19" s="18">
        <f>IF(OR(P19="",Q19=""),"",Q19-P19)</f>
        <v/>
      </c>
      <c r="S19" s="18">
        <f>IF(M19&lt;&gt;"",M19,IF(J19&lt;&gt;"",J19,IF(G19&lt;&gt;"",G19,IF(D19&lt;&gt;"",D19,""))))</f>
        <v/>
      </c>
    </row>
    <row r="20">
      <c r="A20" s="15">
        <f>IF(Produits!$A$18="","",Produits!$A$18)</f>
        <v/>
      </c>
      <c r="B20" s="16">
        <f>IF(Produits!$A$18="","",Produits!$B$18)</f>
        <v/>
      </c>
      <c r="C20" s="17">
        <f>IF(Produits!$A$18="","",Produits!$C$18)</f>
        <v/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8">
        <f>IF(COUNT(E20,H20,K20,N20)=0,"",SUM(E20,H20,K20,N20))</f>
        <v/>
      </c>
      <c r="Q20" s="18">
        <f>IF(COUNT(F20,I20,L20,O20)=0,"",SUM(F20,I20,L20,O20))</f>
        <v/>
      </c>
      <c r="R20" s="18">
        <f>IF(OR(P20="",Q20=""),"",Q20-P20)</f>
        <v/>
      </c>
      <c r="S20" s="18">
        <f>IF(M20&lt;&gt;"",M20,IF(J20&lt;&gt;"",J20,IF(G20&lt;&gt;"",G20,IF(D20&lt;&gt;"",D20,""))))</f>
        <v/>
      </c>
    </row>
    <row r="21">
      <c r="A21" s="15">
        <f>IF(Produits!$A$19="","",Produits!$A$19)</f>
        <v/>
      </c>
      <c r="B21" s="16">
        <f>IF(Produits!$A$19="","",Produits!$B$19)</f>
        <v/>
      </c>
      <c r="C21" s="17">
        <f>IF(Produits!$A$19="","",Produits!$C$19)</f>
        <v/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8">
        <f>IF(COUNT(E21,H21,K21,N21)=0,"",SUM(E21,H21,K21,N21))</f>
        <v/>
      </c>
      <c r="Q21" s="18">
        <f>IF(COUNT(F21,I21,L21,O21)=0,"",SUM(F21,I21,L21,O21))</f>
        <v/>
      </c>
      <c r="R21" s="18">
        <f>IF(OR(P21="",Q21=""),"",Q21-P21)</f>
        <v/>
      </c>
      <c r="S21" s="18">
        <f>IF(M21&lt;&gt;"",M21,IF(J21&lt;&gt;"",J21,IF(G21&lt;&gt;"",G21,IF(D21&lt;&gt;"",D21,""))))</f>
        <v/>
      </c>
    </row>
    <row r="22">
      <c r="A22" s="15">
        <f>IF(Produits!$A$20="","",Produits!$A$20)</f>
        <v/>
      </c>
      <c r="B22" s="16">
        <f>IF(Produits!$A$20="","",Produits!$B$20)</f>
        <v/>
      </c>
      <c r="C22" s="17">
        <f>IF(Produits!$A$20="","",Produits!$C$20)</f>
        <v/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8">
        <f>IF(COUNT(E22,H22,K22,N22)=0,"",SUM(E22,H22,K22,N22))</f>
        <v/>
      </c>
      <c r="Q22" s="18">
        <f>IF(COUNT(F22,I22,L22,O22)=0,"",SUM(F22,I22,L22,O22))</f>
        <v/>
      </c>
      <c r="R22" s="18">
        <f>IF(OR(P22="",Q22=""),"",Q22-P22)</f>
        <v/>
      </c>
      <c r="S22" s="18">
        <f>IF(M22&lt;&gt;"",M22,IF(J22&lt;&gt;"",J22,IF(G22&lt;&gt;"",G22,IF(D22&lt;&gt;"",D22,""))))</f>
        <v/>
      </c>
    </row>
    <row r="23">
      <c r="A23" s="15">
        <f>IF(Produits!$A$21="","",Produits!$A$21)</f>
        <v/>
      </c>
      <c r="B23" s="16">
        <f>IF(Produits!$A$21="","",Produits!$B$21)</f>
        <v/>
      </c>
      <c r="C23" s="17">
        <f>IF(Produits!$A$21="","",Produits!$C$21)</f>
        <v/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8">
        <f>IF(COUNT(E23,H23,K23,N23)=0,"",SUM(E23,H23,K23,N23))</f>
        <v/>
      </c>
      <c r="Q23" s="18">
        <f>IF(COUNT(F23,I23,L23,O23)=0,"",SUM(F23,I23,L23,O23))</f>
        <v/>
      </c>
      <c r="R23" s="18">
        <f>IF(OR(P23="",Q23=""),"",Q23-P23)</f>
        <v/>
      </c>
      <c r="S23" s="18">
        <f>IF(M23&lt;&gt;"",M23,IF(J23&lt;&gt;"",J23,IF(G23&lt;&gt;"",G23,IF(D23&lt;&gt;"",D23,""))))</f>
        <v/>
      </c>
    </row>
    <row r="24">
      <c r="A24" s="15">
        <f>IF(Produits!$A$22="","",Produits!$A$22)</f>
        <v/>
      </c>
      <c r="B24" s="16">
        <f>IF(Produits!$A$22="","",Produits!$B$22)</f>
        <v/>
      </c>
      <c r="C24" s="17">
        <f>IF(Produits!$A$22="","",Produits!$C$22)</f>
        <v/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8">
        <f>IF(COUNT(E24,H24,K24,N24)=0,"",SUM(E24,H24,K24,N24))</f>
        <v/>
      </c>
      <c r="Q24" s="18">
        <f>IF(COUNT(F24,I24,L24,O24)=0,"",SUM(F24,I24,L24,O24))</f>
        <v/>
      </c>
      <c r="R24" s="18">
        <f>IF(OR(P24="",Q24=""),"",Q24-P24)</f>
        <v/>
      </c>
      <c r="S24" s="18">
        <f>IF(M24&lt;&gt;"",M24,IF(J24&lt;&gt;"",J24,IF(G24&lt;&gt;"",G24,IF(D24&lt;&gt;"",D24,""))))</f>
        <v/>
      </c>
    </row>
    <row r="25">
      <c r="A25" s="15">
        <f>IF(Produits!$A$23="","",Produits!$A$23)</f>
        <v/>
      </c>
      <c r="B25" s="16">
        <f>IF(Produits!$A$23="","",Produits!$B$23)</f>
        <v/>
      </c>
      <c r="C25" s="17">
        <f>IF(Produits!$A$23="","",Produits!$C$23)</f>
        <v/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8">
        <f>IF(COUNT(E25,H25,K25,N25)=0,"",SUM(E25,H25,K25,N25))</f>
        <v/>
      </c>
      <c r="Q25" s="18">
        <f>IF(COUNT(F25,I25,L25,O25)=0,"",SUM(F25,I25,L25,O25))</f>
        <v/>
      </c>
      <c r="R25" s="18">
        <f>IF(OR(P25="",Q25=""),"",Q25-P25)</f>
        <v/>
      </c>
      <c r="S25" s="18">
        <f>IF(M25&lt;&gt;"",M25,IF(J25&lt;&gt;"",J25,IF(G25&lt;&gt;"",G25,IF(D25&lt;&gt;"",D25,""))))</f>
        <v/>
      </c>
    </row>
    <row r="26">
      <c r="A26" s="15">
        <f>IF(Produits!$A$24="","",Produits!$A$24)</f>
        <v/>
      </c>
      <c r="B26" s="16">
        <f>IF(Produits!$A$24="","",Produits!$B$24)</f>
        <v/>
      </c>
      <c r="C26" s="17">
        <f>IF(Produits!$A$24="","",Produits!$C$24)</f>
        <v/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8">
        <f>IF(COUNT(E26,H26,K26,N26)=0,"",SUM(E26,H26,K26,N26))</f>
        <v/>
      </c>
      <c r="Q26" s="18">
        <f>IF(COUNT(F26,I26,L26,O26)=0,"",SUM(F26,I26,L26,O26))</f>
        <v/>
      </c>
      <c r="R26" s="18">
        <f>IF(OR(P26="",Q26=""),"",Q26-P26)</f>
        <v/>
      </c>
      <c r="S26" s="18">
        <f>IF(M26&lt;&gt;"",M26,IF(J26&lt;&gt;"",J26,IF(G26&lt;&gt;"",G26,IF(D26&lt;&gt;"",D26,""))))</f>
        <v/>
      </c>
    </row>
    <row r="27">
      <c r="A27" s="15">
        <f>IF(Produits!$A$25="","",Produits!$A$25)</f>
        <v/>
      </c>
      <c r="B27" s="16">
        <f>IF(Produits!$A$25="","",Produits!$B$25)</f>
        <v/>
      </c>
      <c r="C27" s="17">
        <f>IF(Produits!$A$25="","",Produits!$C$25)</f>
        <v/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8">
        <f>IF(COUNT(E27,H27,K27,N27)=0,"",SUM(E27,H27,K27,N27))</f>
        <v/>
      </c>
      <c r="Q27" s="18">
        <f>IF(COUNT(F27,I27,L27,O27)=0,"",SUM(F27,I27,L27,O27))</f>
        <v/>
      </c>
      <c r="R27" s="18">
        <f>IF(OR(P27="",Q27=""),"",Q27-P27)</f>
        <v/>
      </c>
      <c r="S27" s="18">
        <f>IF(M27&lt;&gt;"",M27,IF(J27&lt;&gt;"",J27,IF(G27&lt;&gt;"",G27,IF(D27&lt;&gt;"",D27,""))))</f>
        <v/>
      </c>
    </row>
    <row r="28">
      <c r="A28" s="15">
        <f>IF(Produits!$A$26="","",Produits!$A$26)</f>
        <v/>
      </c>
      <c r="B28" s="16">
        <f>IF(Produits!$A$26="","",Produits!$B$26)</f>
        <v/>
      </c>
      <c r="C28" s="17">
        <f>IF(Produits!$A$26="","",Produits!$C$26)</f>
        <v/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8">
        <f>IF(COUNT(E28,H28,K28,N28)=0,"",SUM(E28,H28,K28,N28))</f>
        <v/>
      </c>
      <c r="Q28" s="18">
        <f>IF(COUNT(F28,I28,L28,O28)=0,"",SUM(F28,I28,L28,O28))</f>
        <v/>
      </c>
      <c r="R28" s="18">
        <f>IF(OR(P28="",Q28=""),"",Q28-P28)</f>
        <v/>
      </c>
      <c r="S28" s="18">
        <f>IF(M28&lt;&gt;"",M28,IF(J28&lt;&gt;"",J28,IF(G28&lt;&gt;"",G28,IF(D28&lt;&gt;"",D28,""))))</f>
        <v/>
      </c>
    </row>
    <row r="29">
      <c r="A29" s="15">
        <f>IF(Produits!$A$27="","",Produits!$A$27)</f>
        <v/>
      </c>
      <c r="B29" s="16">
        <f>IF(Produits!$A$27="","",Produits!$B$27)</f>
        <v/>
      </c>
      <c r="C29" s="17">
        <f>IF(Produits!$A$27="","",Produits!$C$27)</f>
        <v/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8">
        <f>IF(COUNT(E29,H29,K29,N29)=0,"",SUM(E29,H29,K29,N29))</f>
        <v/>
      </c>
      <c r="Q29" s="18">
        <f>IF(COUNT(F29,I29,L29,O29)=0,"",SUM(F29,I29,L29,O29))</f>
        <v/>
      </c>
      <c r="R29" s="18">
        <f>IF(OR(P29="",Q29=""),"",Q29-P29)</f>
        <v/>
      </c>
      <c r="S29" s="18">
        <f>IF(M29&lt;&gt;"",M29,IF(J29&lt;&gt;"",J29,IF(G29&lt;&gt;"",G29,IF(D29&lt;&gt;"",D29,""))))</f>
        <v/>
      </c>
    </row>
    <row r="30">
      <c r="A30" s="15">
        <f>IF(Produits!$A$28="","",Produits!$A$28)</f>
        <v/>
      </c>
      <c r="B30" s="16">
        <f>IF(Produits!$A$28="","",Produits!$B$28)</f>
        <v/>
      </c>
      <c r="C30" s="17">
        <f>IF(Produits!$A$28="","",Produits!$C$28)</f>
        <v/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8">
        <f>IF(COUNT(E30,H30,K30,N30)=0,"",SUM(E30,H30,K30,N30))</f>
        <v/>
      </c>
      <c r="Q30" s="18">
        <f>IF(COUNT(F30,I30,L30,O30)=0,"",SUM(F30,I30,L30,O30))</f>
        <v/>
      </c>
      <c r="R30" s="18">
        <f>IF(OR(P30="",Q30=""),"",Q30-P30)</f>
        <v/>
      </c>
      <c r="S30" s="18">
        <f>IF(M30&lt;&gt;"",M30,IF(J30&lt;&gt;"",J30,IF(G30&lt;&gt;"",G30,IF(D30&lt;&gt;"",D30,""))))</f>
        <v/>
      </c>
    </row>
    <row r="31">
      <c r="A31" s="15">
        <f>IF(Produits!$A$29="","",Produits!$A$29)</f>
        <v/>
      </c>
      <c r="B31" s="16">
        <f>IF(Produits!$A$29="","",Produits!$B$29)</f>
        <v/>
      </c>
      <c r="C31" s="17">
        <f>IF(Produits!$A$29="","",Produits!$C$29)</f>
        <v/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8">
        <f>IF(COUNT(E31,H31,K31,N31)=0,"",SUM(E31,H31,K31,N31))</f>
        <v/>
      </c>
      <c r="Q31" s="18">
        <f>IF(COUNT(F31,I31,L31,O31)=0,"",SUM(F31,I31,L31,O31))</f>
        <v/>
      </c>
      <c r="R31" s="18">
        <f>IF(OR(P31="",Q31=""),"",Q31-P31)</f>
        <v/>
      </c>
      <c r="S31" s="18">
        <f>IF(M31&lt;&gt;"",M31,IF(J31&lt;&gt;"",J31,IF(G31&lt;&gt;"",G31,IF(D31&lt;&gt;"",D31,""))))</f>
        <v/>
      </c>
    </row>
    <row r="32">
      <c r="A32" s="15">
        <f>IF(Produits!$A$30="","",Produits!$A$30)</f>
        <v/>
      </c>
      <c r="B32" s="16">
        <f>IF(Produits!$A$30="","",Produits!$B$30)</f>
        <v/>
      </c>
      <c r="C32" s="17">
        <f>IF(Produits!$A$30="","",Produits!$C$30)</f>
        <v/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8">
        <f>IF(COUNT(E32,H32,K32,N32)=0,"",SUM(E32,H32,K32,N32))</f>
        <v/>
      </c>
      <c r="Q32" s="18">
        <f>IF(COUNT(F32,I32,L32,O32)=0,"",SUM(F32,I32,L32,O32))</f>
        <v/>
      </c>
      <c r="R32" s="18">
        <f>IF(OR(P32="",Q32=""),"",Q32-P32)</f>
        <v/>
      </c>
      <c r="S32" s="18">
        <f>IF(M32&lt;&gt;"",M32,IF(J32&lt;&gt;"",J32,IF(G32&lt;&gt;"",G32,IF(D32&lt;&gt;"",D32,""))))</f>
        <v/>
      </c>
    </row>
    <row r="33">
      <c r="A33" s="15">
        <f>IF(Produits!$A$31="","",Produits!$A$31)</f>
        <v/>
      </c>
      <c r="B33" s="16">
        <f>IF(Produits!$A$31="","",Produits!$B$31)</f>
        <v/>
      </c>
      <c r="C33" s="17">
        <f>IF(Produits!$A$31="","",Produits!$C$31)</f>
        <v/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8">
        <f>IF(COUNT(E33,H33,K33,N33)=0,"",SUM(E33,H33,K33,N33))</f>
        <v/>
      </c>
      <c r="Q33" s="18">
        <f>IF(COUNT(F33,I33,L33,O33)=0,"",SUM(F33,I33,L33,O33))</f>
        <v/>
      </c>
      <c r="R33" s="18">
        <f>IF(OR(P33="",Q33=""),"",Q33-P33)</f>
        <v/>
      </c>
      <c r="S33" s="18">
        <f>IF(M33&lt;&gt;"",M33,IF(J33&lt;&gt;"",J33,IF(G33&lt;&gt;"",G33,IF(D33&lt;&gt;"",D33,""))))</f>
        <v/>
      </c>
    </row>
    <row r="34">
      <c r="A34" s="15">
        <f>IF(Produits!$A$32="","",Produits!$A$32)</f>
        <v/>
      </c>
      <c r="B34" s="16">
        <f>IF(Produits!$A$32="","",Produits!$B$32)</f>
        <v/>
      </c>
      <c r="C34" s="17">
        <f>IF(Produits!$A$32="","",Produits!$C$32)</f>
        <v/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8">
        <f>IF(COUNT(E34,H34,K34,N34)=0,"",SUM(E34,H34,K34,N34))</f>
        <v/>
      </c>
      <c r="Q34" s="18">
        <f>IF(COUNT(F34,I34,L34,O34)=0,"",SUM(F34,I34,L34,O34))</f>
        <v/>
      </c>
      <c r="R34" s="18">
        <f>IF(OR(P34="",Q34=""),"",Q34-P34)</f>
        <v/>
      </c>
      <c r="S34" s="18">
        <f>IF(M34&lt;&gt;"",M34,IF(J34&lt;&gt;"",J34,IF(G34&lt;&gt;"",G34,IF(D34&lt;&gt;"",D34,""))))</f>
        <v/>
      </c>
    </row>
    <row r="35">
      <c r="A35" s="15">
        <f>IF(Produits!$A$33="","",Produits!$A$33)</f>
        <v/>
      </c>
      <c r="B35" s="16">
        <f>IF(Produits!$A$33="","",Produits!$B$33)</f>
        <v/>
      </c>
      <c r="C35" s="17">
        <f>IF(Produits!$A$33="","",Produits!$C$33)</f>
        <v/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8">
        <f>IF(COUNT(E35,H35,K35,N35)=0,"",SUM(E35,H35,K35,N35))</f>
        <v/>
      </c>
      <c r="Q35" s="18">
        <f>IF(COUNT(F35,I35,L35,O35)=0,"",SUM(F35,I35,L35,O35))</f>
        <v/>
      </c>
      <c r="R35" s="18">
        <f>IF(OR(P35="",Q35=""),"",Q35-P35)</f>
        <v/>
      </c>
      <c r="S35" s="18">
        <f>IF(M35&lt;&gt;"",M35,IF(J35&lt;&gt;"",J35,IF(G35&lt;&gt;"",G35,IF(D35&lt;&gt;"",D35,""))))</f>
        <v/>
      </c>
    </row>
    <row r="36">
      <c r="A36" s="15">
        <f>IF(Produits!$A$34="","",Produits!$A$34)</f>
        <v/>
      </c>
      <c r="B36" s="16">
        <f>IF(Produits!$A$34="","",Produits!$B$34)</f>
        <v/>
      </c>
      <c r="C36" s="17">
        <f>IF(Produits!$A$34="","",Produits!$C$34)</f>
        <v/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8">
        <f>IF(COUNT(E36,H36,K36,N36)=0,"",SUM(E36,H36,K36,N36))</f>
        <v/>
      </c>
      <c r="Q36" s="18">
        <f>IF(COUNT(F36,I36,L36,O36)=0,"",SUM(F36,I36,L36,O36))</f>
        <v/>
      </c>
      <c r="R36" s="18">
        <f>IF(OR(P36="",Q36=""),"",Q36-P36)</f>
        <v/>
      </c>
      <c r="S36" s="18">
        <f>IF(M36&lt;&gt;"",M36,IF(J36&lt;&gt;"",J36,IF(G36&lt;&gt;"",G36,IF(D36&lt;&gt;"",D36,""))))</f>
        <v/>
      </c>
    </row>
    <row r="37">
      <c r="A37" s="15">
        <f>IF(Produits!$A$35="","",Produits!$A$35)</f>
        <v/>
      </c>
      <c r="B37" s="16">
        <f>IF(Produits!$A$35="","",Produits!$B$35)</f>
        <v/>
      </c>
      <c r="C37" s="17">
        <f>IF(Produits!$A$35="","",Produits!$C$35)</f>
        <v/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8">
        <f>IF(COUNT(E37,H37,K37,N37)=0,"",SUM(E37,H37,K37,N37))</f>
        <v/>
      </c>
      <c r="Q37" s="18">
        <f>IF(COUNT(F37,I37,L37,O37)=0,"",SUM(F37,I37,L37,O37))</f>
        <v/>
      </c>
      <c r="R37" s="18">
        <f>IF(OR(P37="",Q37=""),"",Q37-P37)</f>
        <v/>
      </c>
      <c r="S37" s="18">
        <f>IF(M37&lt;&gt;"",M37,IF(J37&lt;&gt;"",J37,IF(G37&lt;&gt;"",G37,IF(D37&lt;&gt;"",D37,""))))</f>
        <v/>
      </c>
    </row>
    <row r="38">
      <c r="A38" s="15">
        <f>IF(Produits!$A$36="","",Produits!$A$36)</f>
        <v/>
      </c>
      <c r="B38" s="16">
        <f>IF(Produits!$A$36="","",Produits!$B$36)</f>
        <v/>
      </c>
      <c r="C38" s="17">
        <f>IF(Produits!$A$36="","",Produits!$C$36)</f>
        <v/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8">
        <f>IF(COUNT(E38,H38,K38,N38)=0,"",SUM(E38,H38,K38,N38))</f>
        <v/>
      </c>
      <c r="Q38" s="18">
        <f>IF(COUNT(F38,I38,L38,O38)=0,"",SUM(F38,I38,L38,O38))</f>
        <v/>
      </c>
      <c r="R38" s="18">
        <f>IF(OR(P38="",Q38=""),"",Q38-P38)</f>
        <v/>
      </c>
      <c r="S38" s="18">
        <f>IF(M38&lt;&gt;"",M38,IF(J38&lt;&gt;"",J38,IF(G38&lt;&gt;"",G38,IF(D38&lt;&gt;"",D38,""))))</f>
        <v/>
      </c>
    </row>
    <row r="39">
      <c r="A39" s="15">
        <f>IF(Produits!$A$37="","",Produits!$A$37)</f>
        <v/>
      </c>
      <c r="B39" s="16">
        <f>IF(Produits!$A$37="","",Produits!$B$37)</f>
        <v/>
      </c>
      <c r="C39" s="17">
        <f>IF(Produits!$A$37="","",Produits!$C$37)</f>
        <v/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8">
        <f>IF(COUNT(E39,H39,K39,N39)=0,"",SUM(E39,H39,K39,N39))</f>
        <v/>
      </c>
      <c r="Q39" s="18">
        <f>IF(COUNT(F39,I39,L39,O39)=0,"",SUM(F39,I39,L39,O39))</f>
        <v/>
      </c>
      <c r="R39" s="18">
        <f>IF(OR(P39="",Q39=""),"",Q39-P39)</f>
        <v/>
      </c>
      <c r="S39" s="18">
        <f>IF(M39&lt;&gt;"",M39,IF(J39&lt;&gt;"",J39,IF(G39&lt;&gt;"",G39,IF(D39&lt;&gt;"",D39,""))))</f>
        <v/>
      </c>
    </row>
    <row r="40">
      <c r="A40" s="15">
        <f>IF(Produits!$A$38="","",Produits!$A$38)</f>
        <v/>
      </c>
      <c r="B40" s="16">
        <f>IF(Produits!$A$38="","",Produits!$B$38)</f>
        <v/>
      </c>
      <c r="C40" s="17">
        <f>IF(Produits!$A$38="","",Produits!$C$38)</f>
        <v/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8">
        <f>IF(COUNT(E40,H40,K40,N40)=0,"",SUM(E40,H40,K40,N40))</f>
        <v/>
      </c>
      <c r="Q40" s="18">
        <f>IF(COUNT(F40,I40,L40,O40)=0,"",SUM(F40,I40,L40,O40))</f>
        <v/>
      </c>
      <c r="R40" s="18">
        <f>IF(OR(P40="",Q40=""),"",Q40-P40)</f>
        <v/>
      </c>
      <c r="S40" s="18">
        <f>IF(M40&lt;&gt;"",M40,IF(J40&lt;&gt;"",J40,IF(G40&lt;&gt;"",G40,IF(D40&lt;&gt;"",D40,""))))</f>
        <v/>
      </c>
    </row>
    <row r="41">
      <c r="A41" s="15">
        <f>IF(Produits!$A$39="","",Produits!$A$39)</f>
        <v/>
      </c>
      <c r="B41" s="16">
        <f>IF(Produits!$A$39="","",Produits!$B$39)</f>
        <v/>
      </c>
      <c r="C41" s="17">
        <f>IF(Produits!$A$39="","",Produits!$C$39)</f>
        <v/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8">
        <f>IF(COUNT(E41,H41,K41,N41)=0,"",SUM(E41,H41,K41,N41))</f>
        <v/>
      </c>
      <c r="Q41" s="18">
        <f>IF(COUNT(F41,I41,L41,O41)=0,"",SUM(F41,I41,L41,O41))</f>
        <v/>
      </c>
      <c r="R41" s="18">
        <f>IF(OR(P41="",Q41=""),"",Q41-P41)</f>
        <v/>
      </c>
      <c r="S41" s="18">
        <f>IF(M41&lt;&gt;"",M41,IF(J41&lt;&gt;"",J41,IF(G41&lt;&gt;"",G41,IF(D41&lt;&gt;"",D41,""))))</f>
        <v/>
      </c>
    </row>
    <row r="42">
      <c r="A42" s="15">
        <f>IF(Produits!$A$40="","",Produits!$A$40)</f>
        <v/>
      </c>
      <c r="B42" s="16">
        <f>IF(Produits!$A$40="","",Produits!$B$40)</f>
        <v/>
      </c>
      <c r="C42" s="17">
        <f>IF(Produits!$A$40="","",Produits!$C$40)</f>
        <v/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8">
        <f>IF(COUNT(E42,H42,K42,N42)=0,"",SUM(E42,H42,K42,N42))</f>
        <v/>
      </c>
      <c r="Q42" s="18">
        <f>IF(COUNT(F42,I42,L42,O42)=0,"",SUM(F42,I42,L42,O42))</f>
        <v/>
      </c>
      <c r="R42" s="18">
        <f>IF(OR(P42="",Q42=""),"",Q42-P42)</f>
        <v/>
      </c>
      <c r="S42" s="18">
        <f>IF(M42&lt;&gt;"",M42,IF(J42&lt;&gt;"",J42,IF(G42&lt;&gt;"",G42,IF(D42&lt;&gt;"",D42,""))))</f>
        <v/>
      </c>
    </row>
    <row r="43">
      <c r="A43" s="15">
        <f>IF(Produits!$A$41="","",Produits!$A$41)</f>
        <v/>
      </c>
      <c r="B43" s="16">
        <f>IF(Produits!$A$41="","",Produits!$B$41)</f>
        <v/>
      </c>
      <c r="C43" s="17">
        <f>IF(Produits!$A$41="","",Produits!$C$41)</f>
        <v/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8">
        <f>IF(COUNT(E43,H43,K43,N43)=0,"",SUM(E43,H43,K43,N43))</f>
        <v/>
      </c>
      <c r="Q43" s="18">
        <f>IF(COUNT(F43,I43,L43,O43)=0,"",SUM(F43,I43,L43,O43))</f>
        <v/>
      </c>
      <c r="R43" s="18">
        <f>IF(OR(P43="",Q43=""),"",Q43-P43)</f>
        <v/>
      </c>
      <c r="S43" s="18">
        <f>IF(M43&lt;&gt;"",M43,IF(J43&lt;&gt;"",J43,IF(G43&lt;&gt;"",G43,IF(D43&lt;&gt;"",D43,""))))</f>
        <v/>
      </c>
    </row>
    <row r="44">
      <c r="A44" s="15">
        <f>IF(Produits!$A$42="","",Produits!$A$42)</f>
        <v/>
      </c>
      <c r="B44" s="16">
        <f>IF(Produits!$A$42="","",Produits!$B$42)</f>
        <v/>
      </c>
      <c r="C44" s="17">
        <f>IF(Produits!$A$42="","",Produits!$C$42)</f>
        <v/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8">
        <f>IF(COUNT(E44,H44,K44,N44)=0,"",SUM(E44,H44,K44,N44))</f>
        <v/>
      </c>
      <c r="Q44" s="18">
        <f>IF(COUNT(F44,I44,L44,O44)=0,"",SUM(F44,I44,L44,O44))</f>
        <v/>
      </c>
      <c r="R44" s="18">
        <f>IF(OR(P44="",Q44=""),"",Q44-P44)</f>
        <v/>
      </c>
      <c r="S44" s="18">
        <f>IF(M44&lt;&gt;"",M44,IF(J44&lt;&gt;"",J44,IF(G44&lt;&gt;"",G44,IF(D44&lt;&gt;"",D44,""))))</f>
        <v/>
      </c>
    </row>
    <row r="45">
      <c r="A45" s="15">
        <f>IF(Produits!$A$43="","",Produits!$A$43)</f>
        <v/>
      </c>
      <c r="B45" s="16">
        <f>IF(Produits!$A$43="","",Produits!$B$43)</f>
        <v/>
      </c>
      <c r="C45" s="17">
        <f>IF(Produits!$A$43="","",Produits!$C$43)</f>
        <v/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8">
        <f>IF(COUNT(E45,H45,K45,N45)=0,"",SUM(E45,H45,K45,N45))</f>
        <v/>
      </c>
      <c r="Q45" s="18">
        <f>IF(COUNT(F45,I45,L45,O45)=0,"",SUM(F45,I45,L45,O45))</f>
        <v/>
      </c>
      <c r="R45" s="18">
        <f>IF(OR(P45="",Q45=""),"",Q45-P45)</f>
        <v/>
      </c>
      <c r="S45" s="18">
        <f>IF(M45&lt;&gt;"",M45,IF(J45&lt;&gt;"",J45,IF(G45&lt;&gt;"",G45,IF(D45&lt;&gt;"",D45,""))))</f>
        <v/>
      </c>
    </row>
    <row r="46">
      <c r="A46" s="15">
        <f>IF(Produits!$A$44="","",Produits!$A$44)</f>
        <v/>
      </c>
      <c r="B46" s="16">
        <f>IF(Produits!$A$44="","",Produits!$B$44)</f>
        <v/>
      </c>
      <c r="C46" s="17">
        <f>IF(Produits!$A$44="","",Produits!$C$44)</f>
        <v/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8">
        <f>IF(COUNT(E46,H46,K46,N46)=0,"",SUM(E46,H46,K46,N46))</f>
        <v/>
      </c>
      <c r="Q46" s="18">
        <f>IF(COUNT(F46,I46,L46,O46)=0,"",SUM(F46,I46,L46,O46))</f>
        <v/>
      </c>
      <c r="R46" s="18">
        <f>IF(OR(P46="",Q46=""),"",Q46-P46)</f>
        <v/>
      </c>
      <c r="S46" s="18">
        <f>IF(M46&lt;&gt;"",M46,IF(J46&lt;&gt;"",J46,IF(G46&lt;&gt;"",G46,IF(D46&lt;&gt;"",D46,""))))</f>
        <v/>
      </c>
    </row>
  </sheetData>
  <mergeCells count="12">
    <mergeCell ref="J5:L5"/>
    <mergeCell ref="A4:A6"/>
    <mergeCell ref="D5:F5"/>
    <mergeCell ref="B4:B6"/>
    <mergeCell ref="G5:I5"/>
    <mergeCell ref="D4:F4"/>
    <mergeCell ref="M4:O4"/>
    <mergeCell ref="M5:O5"/>
    <mergeCell ref="G4:I4"/>
    <mergeCell ref="J4:L4"/>
    <mergeCell ref="P4:S5"/>
    <mergeCell ref="C4:C6"/>
  </mergeCells>
  <conditionalFormatting sqref="R7:R46">
    <cfRule type="expression" priority="1" dxfId="0">
      <formula>AND(ISNUMBER(R7),R7&lt;0)</formula>
    </cfRule>
  </conditionalFormatting>
  <dataValidations count="12">
    <dataValidation sqref="D7:D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E7:E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F7:F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7:G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H7:H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I7:I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J7:J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K7:K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L7:L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M7:M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N7:N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O7:O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8" customWidth="1" min="4" max="4"/>
    <col width="18" customWidth="1" min="5" max="5"/>
    <col width="30" customWidth="1" min="6" max="6"/>
    <col width="7" customWidth="1" min="7" max="7"/>
    <col width="7" customWidth="1" min="8" max="8"/>
  </cols>
  <sheetData>
    <row r="1" ht="26" customHeight="1">
      <c r="A1" s="1" t="inlineStr">
        <is>
          <t>Carnet des pertes</t>
        </is>
      </c>
    </row>
    <row r="2">
      <c r="A2" s="2" t="inlineStr">
        <is>
          <t>Une ligne par perte</t>
        </is>
      </c>
    </row>
    <row r="4">
      <c r="A4" s="6" t="inlineStr">
        <is>
          <t>Date</t>
        </is>
      </c>
      <c r="B4" s="6" t="inlineStr">
        <is>
          <t>Produit</t>
        </is>
      </c>
      <c r="C4" s="6" t="inlineStr">
        <is>
          <t>Quantité</t>
        </is>
      </c>
      <c r="D4" s="6" t="inlineStr">
        <is>
          <t>Unité</t>
        </is>
      </c>
      <c r="E4" s="6" t="inlineStr">
        <is>
          <t>Raison</t>
        </is>
      </c>
      <c r="F4" s="6" t="inlineStr">
        <is>
          <t>Note</t>
        </is>
      </c>
      <c r="G4" s="6" t="inlineStr">
        <is>
          <t>Mois</t>
        </is>
      </c>
      <c r="H4" s="6" t="inlineStr">
        <is>
          <t>Année</t>
        </is>
      </c>
    </row>
    <row r="5">
      <c r="A5" s="19">
        <f>DATE(2026,10,3)</f>
        <v/>
      </c>
      <c r="B5" s="7" t="inlineStr">
        <is>
          <t>Crème liquide 35%</t>
        </is>
      </c>
      <c r="C5" s="8" t="n">
        <v>1</v>
      </c>
      <c r="D5" s="20">
        <f>IF(B5="","",IFERROR(INDEX(Produits!$C$5:$C$44,MATCH(B5,Produits!$A$5:$A$44,0)),""))</f>
        <v/>
      </c>
      <c r="E5" s="7" t="inlineStr">
        <is>
          <t>Périmé</t>
        </is>
      </c>
      <c r="F5" s="7" t="inlineStr">
        <is>
          <t>Bouteille ouverte oubliée</t>
        </is>
      </c>
      <c r="G5" s="20">
        <f>IF(A5="","",MONTH(A5))</f>
        <v/>
      </c>
      <c r="H5" s="20">
        <f>IF(A5="","",YEAR(A5))</f>
        <v/>
      </c>
    </row>
    <row r="6">
      <c r="A6" s="19">
        <f>DATE(2026,10,6)</f>
        <v/>
      </c>
      <c r="B6" s="7" t="inlineStr">
        <is>
          <t>Chocolat blanc</t>
        </is>
      </c>
      <c r="C6" s="8" t="n">
        <v>0.3</v>
      </c>
      <c r="D6" s="20">
        <f>IF(B6="","",IFERROR(INDEX(Produits!$C$5:$C$44,MATCH(B6,Produits!$A$5:$A$44,0)),""))</f>
        <v/>
      </c>
      <c r="E6" s="7" t="inlineStr">
        <is>
          <t>Raté</t>
        </is>
      </c>
      <c r="F6" s="7" t="inlineStr">
        <is>
          <t>Ganache tranchée</t>
        </is>
      </c>
      <c r="G6" s="20">
        <f>IF(A6="","",MONTH(A6))</f>
        <v/>
      </c>
      <c r="H6" s="20">
        <f>IF(A6="","",YEAR(A6))</f>
        <v/>
      </c>
    </row>
    <row r="7">
      <c r="A7" s="19">
        <f>DATE(2026,10,8)</f>
        <v/>
      </c>
      <c r="B7" s="7" t="inlineStr">
        <is>
          <t>Oeufs</t>
        </is>
      </c>
      <c r="C7" s="8" t="n">
        <v>6</v>
      </c>
      <c r="D7" s="20">
        <f>IF(B7="","",IFERROR(INDEX(Produits!$C$5:$C$44,MATCH(B7,Produits!$A$5:$A$44,0)),""))</f>
        <v/>
      </c>
      <c r="E7" s="7" t="inlineStr">
        <is>
          <t>Cassé / renversé</t>
        </is>
      </c>
      <c r="F7" s="7" t="inlineStr">
        <is>
          <t>Plateau tombé</t>
        </is>
      </c>
      <c r="G7" s="20">
        <f>IF(A7="","",MONTH(A7))</f>
        <v/>
      </c>
      <c r="H7" s="20">
        <f>IF(A7="","",YEAR(A7))</f>
        <v/>
      </c>
    </row>
    <row r="8">
      <c r="A8" s="19">
        <f>DATE(2026,10,9)</f>
        <v/>
      </c>
      <c r="B8" s="7" t="inlineStr">
        <is>
          <t>Beurre doux</t>
        </is>
      </c>
      <c r="C8" s="8" t="n">
        <v>0.2</v>
      </c>
      <c r="D8" s="20">
        <f>IF(B8="","",IFERROR(INDEX(Produits!$C$5:$C$44,MATCH(B8,Produits!$A$5:$A$44,0)),""))</f>
        <v/>
      </c>
      <c r="E8" s="7" t="inlineStr">
        <is>
          <t>Dégustation</t>
        </is>
      </c>
      <c r="F8" s="7" t="inlineStr">
        <is>
          <t>Essai nouvelle recette</t>
        </is>
      </c>
      <c r="G8" s="20">
        <f>IF(A8="","",MONTH(A8))</f>
        <v/>
      </c>
      <c r="H8" s="20">
        <f>IF(A8="","",YEAR(A8))</f>
        <v/>
      </c>
    </row>
    <row r="9">
      <c r="A9" s="12" t="n"/>
      <c r="B9" s="9" t="n"/>
      <c r="C9" s="10" t="n"/>
      <c r="D9" s="20">
        <f>IF(B9="","",IFERROR(INDEX(Produits!$C$5:$C$44,MATCH(B9,Produits!$A$5:$A$44,0)),""))</f>
        <v/>
      </c>
      <c r="E9" s="9" t="n"/>
      <c r="F9" s="9" t="n"/>
      <c r="G9" s="20">
        <f>IF(A9="","",MONTH(A9))</f>
        <v/>
      </c>
      <c r="H9" s="20">
        <f>IF(A9="","",YEAR(A9))</f>
        <v/>
      </c>
    </row>
    <row r="10">
      <c r="A10" s="12" t="n"/>
      <c r="B10" s="9" t="n"/>
      <c r="C10" s="10" t="n"/>
      <c r="D10" s="20">
        <f>IF(B10="","",IFERROR(INDEX(Produits!$C$5:$C$44,MATCH(B10,Produits!$A$5:$A$44,0)),""))</f>
        <v/>
      </c>
      <c r="E10" s="9" t="n"/>
      <c r="F10" s="9" t="n"/>
      <c r="G10" s="20">
        <f>IF(A10="","",MONTH(A10))</f>
        <v/>
      </c>
      <c r="H10" s="20">
        <f>IF(A10="","",YEAR(A10))</f>
        <v/>
      </c>
    </row>
    <row r="11">
      <c r="A11" s="12" t="n"/>
      <c r="B11" s="9" t="n"/>
      <c r="C11" s="10" t="n"/>
      <c r="D11" s="20">
        <f>IF(B11="","",IFERROR(INDEX(Produits!$C$5:$C$44,MATCH(B11,Produits!$A$5:$A$44,0)),""))</f>
        <v/>
      </c>
      <c r="E11" s="9" t="n"/>
      <c r="F11" s="9" t="n"/>
      <c r="G11" s="20">
        <f>IF(A11="","",MONTH(A11))</f>
        <v/>
      </c>
      <c r="H11" s="20">
        <f>IF(A11="","",YEAR(A11))</f>
        <v/>
      </c>
    </row>
    <row r="12">
      <c r="A12" s="12" t="n"/>
      <c r="B12" s="9" t="n"/>
      <c r="C12" s="10" t="n"/>
      <c r="D12" s="20">
        <f>IF(B12="","",IFERROR(INDEX(Produits!$C$5:$C$44,MATCH(B12,Produits!$A$5:$A$44,0)),""))</f>
        <v/>
      </c>
      <c r="E12" s="9" t="n"/>
      <c r="F12" s="9" t="n"/>
      <c r="G12" s="20">
        <f>IF(A12="","",MONTH(A12))</f>
        <v/>
      </c>
      <c r="H12" s="20">
        <f>IF(A12="","",YEAR(A12))</f>
        <v/>
      </c>
    </row>
    <row r="13">
      <c r="A13" s="12" t="n"/>
      <c r="B13" s="9" t="n"/>
      <c r="C13" s="10" t="n"/>
      <c r="D13" s="20">
        <f>IF(B13="","",IFERROR(INDEX(Produits!$C$5:$C$44,MATCH(B13,Produits!$A$5:$A$44,0)),""))</f>
        <v/>
      </c>
      <c r="E13" s="9" t="n"/>
      <c r="F13" s="9" t="n"/>
      <c r="G13" s="20">
        <f>IF(A13="","",MONTH(A13))</f>
        <v/>
      </c>
      <c r="H13" s="20">
        <f>IF(A13="","",YEAR(A13))</f>
        <v/>
      </c>
    </row>
    <row r="14">
      <c r="A14" s="12" t="n"/>
      <c r="B14" s="9" t="n"/>
      <c r="C14" s="10" t="n"/>
      <c r="D14" s="20">
        <f>IF(B14="","",IFERROR(INDEX(Produits!$C$5:$C$44,MATCH(B14,Produits!$A$5:$A$44,0)),""))</f>
        <v/>
      </c>
      <c r="E14" s="9" t="n"/>
      <c r="F14" s="9" t="n"/>
      <c r="G14" s="20">
        <f>IF(A14="","",MONTH(A14))</f>
        <v/>
      </c>
      <c r="H14" s="20">
        <f>IF(A14="","",YEAR(A14))</f>
        <v/>
      </c>
    </row>
    <row r="15">
      <c r="A15" s="12" t="n"/>
      <c r="B15" s="9" t="n"/>
      <c r="C15" s="10" t="n"/>
      <c r="D15" s="20">
        <f>IF(B15="","",IFERROR(INDEX(Produits!$C$5:$C$44,MATCH(B15,Produits!$A$5:$A$44,0)),""))</f>
        <v/>
      </c>
      <c r="E15" s="9" t="n"/>
      <c r="F15" s="9" t="n"/>
      <c r="G15" s="20">
        <f>IF(A15="","",MONTH(A15))</f>
        <v/>
      </c>
      <c r="H15" s="20">
        <f>IF(A15="","",YEAR(A15))</f>
        <v/>
      </c>
    </row>
    <row r="16">
      <c r="A16" s="12" t="n"/>
      <c r="B16" s="9" t="n"/>
      <c r="C16" s="10" t="n"/>
      <c r="D16" s="20">
        <f>IF(B16="","",IFERROR(INDEX(Produits!$C$5:$C$44,MATCH(B16,Produits!$A$5:$A$44,0)),""))</f>
        <v/>
      </c>
      <c r="E16" s="9" t="n"/>
      <c r="F16" s="9" t="n"/>
      <c r="G16" s="20">
        <f>IF(A16="","",MONTH(A16))</f>
        <v/>
      </c>
      <c r="H16" s="20">
        <f>IF(A16="","",YEAR(A16))</f>
        <v/>
      </c>
    </row>
    <row r="17">
      <c r="A17" s="12" t="n"/>
      <c r="B17" s="9" t="n"/>
      <c r="C17" s="10" t="n"/>
      <c r="D17" s="20">
        <f>IF(B17="","",IFERROR(INDEX(Produits!$C$5:$C$44,MATCH(B17,Produits!$A$5:$A$44,0)),""))</f>
        <v/>
      </c>
      <c r="E17" s="9" t="n"/>
      <c r="F17" s="9" t="n"/>
      <c r="G17" s="20">
        <f>IF(A17="","",MONTH(A17))</f>
        <v/>
      </c>
      <c r="H17" s="20">
        <f>IF(A17="","",YEAR(A17))</f>
        <v/>
      </c>
    </row>
    <row r="18">
      <c r="A18" s="12" t="n"/>
      <c r="B18" s="9" t="n"/>
      <c r="C18" s="10" t="n"/>
      <c r="D18" s="20">
        <f>IF(B18="","",IFERROR(INDEX(Produits!$C$5:$C$44,MATCH(B18,Produits!$A$5:$A$44,0)),""))</f>
        <v/>
      </c>
      <c r="E18" s="9" t="n"/>
      <c r="F18" s="9" t="n"/>
      <c r="G18" s="20">
        <f>IF(A18="","",MONTH(A18))</f>
        <v/>
      </c>
      <c r="H18" s="20">
        <f>IF(A18="","",YEAR(A18))</f>
        <v/>
      </c>
    </row>
    <row r="19">
      <c r="A19" s="12" t="n"/>
      <c r="B19" s="9" t="n"/>
      <c r="C19" s="10" t="n"/>
      <c r="D19" s="20">
        <f>IF(B19="","",IFERROR(INDEX(Produits!$C$5:$C$44,MATCH(B19,Produits!$A$5:$A$44,0)),""))</f>
        <v/>
      </c>
      <c r="E19" s="9" t="n"/>
      <c r="F19" s="9" t="n"/>
      <c r="G19" s="20">
        <f>IF(A19="","",MONTH(A19))</f>
        <v/>
      </c>
      <c r="H19" s="20">
        <f>IF(A19="","",YEAR(A19))</f>
        <v/>
      </c>
    </row>
    <row r="20">
      <c r="A20" s="12" t="n"/>
      <c r="B20" s="9" t="n"/>
      <c r="C20" s="10" t="n"/>
      <c r="D20" s="20">
        <f>IF(B20="","",IFERROR(INDEX(Produits!$C$5:$C$44,MATCH(B20,Produits!$A$5:$A$44,0)),""))</f>
        <v/>
      </c>
      <c r="E20" s="9" t="n"/>
      <c r="F20" s="9" t="n"/>
      <c r="G20" s="20">
        <f>IF(A20="","",MONTH(A20))</f>
        <v/>
      </c>
      <c r="H20" s="20">
        <f>IF(A20="","",YEAR(A20))</f>
        <v/>
      </c>
    </row>
    <row r="21">
      <c r="A21" s="12" t="n"/>
      <c r="B21" s="9" t="n"/>
      <c r="C21" s="10" t="n"/>
      <c r="D21" s="20">
        <f>IF(B21="","",IFERROR(INDEX(Produits!$C$5:$C$44,MATCH(B21,Produits!$A$5:$A$44,0)),""))</f>
        <v/>
      </c>
      <c r="E21" s="9" t="n"/>
      <c r="F21" s="9" t="n"/>
      <c r="G21" s="20">
        <f>IF(A21="","",MONTH(A21))</f>
        <v/>
      </c>
      <c r="H21" s="20">
        <f>IF(A21="","",YEAR(A21))</f>
        <v/>
      </c>
    </row>
    <row r="22">
      <c r="A22" s="12" t="n"/>
      <c r="B22" s="9" t="n"/>
      <c r="C22" s="10" t="n"/>
      <c r="D22" s="20">
        <f>IF(B22="","",IFERROR(INDEX(Produits!$C$5:$C$44,MATCH(B22,Produits!$A$5:$A$44,0)),""))</f>
        <v/>
      </c>
      <c r="E22" s="9" t="n"/>
      <c r="F22" s="9" t="n"/>
      <c r="G22" s="20">
        <f>IF(A22="","",MONTH(A22))</f>
        <v/>
      </c>
      <c r="H22" s="20">
        <f>IF(A22="","",YEAR(A22))</f>
        <v/>
      </c>
    </row>
    <row r="23">
      <c r="A23" s="12" t="n"/>
      <c r="B23" s="9" t="n"/>
      <c r="C23" s="10" t="n"/>
      <c r="D23" s="20">
        <f>IF(B23="","",IFERROR(INDEX(Produits!$C$5:$C$44,MATCH(B23,Produits!$A$5:$A$44,0)),""))</f>
        <v/>
      </c>
      <c r="E23" s="9" t="n"/>
      <c r="F23" s="9" t="n"/>
      <c r="G23" s="20">
        <f>IF(A23="","",MONTH(A23))</f>
        <v/>
      </c>
      <c r="H23" s="20">
        <f>IF(A23="","",YEAR(A23))</f>
        <v/>
      </c>
    </row>
    <row r="24">
      <c r="A24" s="12" t="n"/>
      <c r="B24" s="9" t="n"/>
      <c r="C24" s="10" t="n"/>
      <c r="D24" s="20">
        <f>IF(B24="","",IFERROR(INDEX(Produits!$C$5:$C$44,MATCH(B24,Produits!$A$5:$A$44,0)),""))</f>
        <v/>
      </c>
      <c r="E24" s="9" t="n"/>
      <c r="F24" s="9" t="n"/>
      <c r="G24" s="20">
        <f>IF(A24="","",MONTH(A24))</f>
        <v/>
      </c>
      <c r="H24" s="20">
        <f>IF(A24="","",YEAR(A24))</f>
        <v/>
      </c>
    </row>
    <row r="25">
      <c r="A25" s="12" t="n"/>
      <c r="B25" s="9" t="n"/>
      <c r="C25" s="10" t="n"/>
      <c r="D25" s="20">
        <f>IF(B25="","",IFERROR(INDEX(Produits!$C$5:$C$44,MATCH(B25,Produits!$A$5:$A$44,0)),""))</f>
        <v/>
      </c>
      <c r="E25" s="9" t="n"/>
      <c r="F25" s="9" t="n"/>
      <c r="G25" s="20">
        <f>IF(A25="","",MONTH(A25))</f>
        <v/>
      </c>
      <c r="H25" s="20">
        <f>IF(A25="","",YEAR(A25))</f>
        <v/>
      </c>
    </row>
    <row r="26">
      <c r="A26" s="12" t="n"/>
      <c r="B26" s="9" t="n"/>
      <c r="C26" s="10" t="n"/>
      <c r="D26" s="20">
        <f>IF(B26="","",IFERROR(INDEX(Produits!$C$5:$C$44,MATCH(B26,Produits!$A$5:$A$44,0)),""))</f>
        <v/>
      </c>
      <c r="E26" s="9" t="n"/>
      <c r="F26" s="9" t="n"/>
      <c r="G26" s="20">
        <f>IF(A26="","",MONTH(A26))</f>
        <v/>
      </c>
      <c r="H26" s="20">
        <f>IF(A26="","",YEAR(A26))</f>
        <v/>
      </c>
    </row>
    <row r="27">
      <c r="A27" s="12" t="n"/>
      <c r="B27" s="9" t="n"/>
      <c r="C27" s="10" t="n"/>
      <c r="D27" s="20">
        <f>IF(B27="","",IFERROR(INDEX(Produits!$C$5:$C$44,MATCH(B27,Produits!$A$5:$A$44,0)),""))</f>
        <v/>
      </c>
      <c r="E27" s="9" t="n"/>
      <c r="F27" s="9" t="n"/>
      <c r="G27" s="20">
        <f>IF(A27="","",MONTH(A27))</f>
        <v/>
      </c>
      <c r="H27" s="20">
        <f>IF(A27="","",YEAR(A27))</f>
        <v/>
      </c>
    </row>
    <row r="28">
      <c r="A28" s="12" t="n"/>
      <c r="B28" s="9" t="n"/>
      <c r="C28" s="10" t="n"/>
      <c r="D28" s="20">
        <f>IF(B28="","",IFERROR(INDEX(Produits!$C$5:$C$44,MATCH(B28,Produits!$A$5:$A$44,0)),""))</f>
        <v/>
      </c>
      <c r="E28" s="9" t="n"/>
      <c r="F28" s="9" t="n"/>
      <c r="G28" s="20">
        <f>IF(A28="","",MONTH(A28))</f>
        <v/>
      </c>
      <c r="H28" s="20">
        <f>IF(A28="","",YEAR(A28))</f>
        <v/>
      </c>
    </row>
    <row r="29">
      <c r="A29" s="12" t="n"/>
      <c r="B29" s="9" t="n"/>
      <c r="C29" s="10" t="n"/>
      <c r="D29" s="20">
        <f>IF(B29="","",IFERROR(INDEX(Produits!$C$5:$C$44,MATCH(B29,Produits!$A$5:$A$44,0)),""))</f>
        <v/>
      </c>
      <c r="E29" s="9" t="n"/>
      <c r="F29" s="9" t="n"/>
      <c r="G29" s="20">
        <f>IF(A29="","",MONTH(A29))</f>
        <v/>
      </c>
      <c r="H29" s="20">
        <f>IF(A29="","",YEAR(A29))</f>
        <v/>
      </c>
    </row>
    <row r="30">
      <c r="A30" s="12" t="n"/>
      <c r="B30" s="9" t="n"/>
      <c r="C30" s="10" t="n"/>
      <c r="D30" s="20">
        <f>IF(B30="","",IFERROR(INDEX(Produits!$C$5:$C$44,MATCH(B30,Produits!$A$5:$A$44,0)),""))</f>
        <v/>
      </c>
      <c r="E30" s="9" t="n"/>
      <c r="F30" s="9" t="n"/>
      <c r="G30" s="20">
        <f>IF(A30="","",MONTH(A30))</f>
        <v/>
      </c>
      <c r="H30" s="20">
        <f>IF(A30="","",YEAR(A30))</f>
        <v/>
      </c>
    </row>
    <row r="31">
      <c r="A31" s="12" t="n"/>
      <c r="B31" s="9" t="n"/>
      <c r="C31" s="10" t="n"/>
      <c r="D31" s="20">
        <f>IF(B31="","",IFERROR(INDEX(Produits!$C$5:$C$44,MATCH(B31,Produits!$A$5:$A$44,0)),""))</f>
        <v/>
      </c>
      <c r="E31" s="9" t="n"/>
      <c r="F31" s="9" t="n"/>
      <c r="G31" s="20">
        <f>IF(A31="","",MONTH(A31))</f>
        <v/>
      </c>
      <c r="H31" s="20">
        <f>IF(A31="","",YEAR(A31))</f>
        <v/>
      </c>
    </row>
    <row r="32">
      <c r="A32" s="12" t="n"/>
      <c r="B32" s="9" t="n"/>
      <c r="C32" s="10" t="n"/>
      <c r="D32" s="20">
        <f>IF(B32="","",IFERROR(INDEX(Produits!$C$5:$C$44,MATCH(B32,Produits!$A$5:$A$44,0)),""))</f>
        <v/>
      </c>
      <c r="E32" s="9" t="n"/>
      <c r="F32" s="9" t="n"/>
      <c r="G32" s="20">
        <f>IF(A32="","",MONTH(A32))</f>
        <v/>
      </c>
      <c r="H32" s="20">
        <f>IF(A32="","",YEAR(A32))</f>
        <v/>
      </c>
    </row>
    <row r="33">
      <c r="A33" s="12" t="n"/>
      <c r="B33" s="9" t="n"/>
      <c r="C33" s="10" t="n"/>
      <c r="D33" s="20">
        <f>IF(B33="","",IFERROR(INDEX(Produits!$C$5:$C$44,MATCH(B33,Produits!$A$5:$A$44,0)),""))</f>
        <v/>
      </c>
      <c r="E33" s="9" t="n"/>
      <c r="F33" s="9" t="n"/>
      <c r="G33" s="20">
        <f>IF(A33="","",MONTH(A33))</f>
        <v/>
      </c>
      <c r="H33" s="20">
        <f>IF(A33="","",YEAR(A33))</f>
        <v/>
      </c>
    </row>
    <row r="34">
      <c r="A34" s="12" t="n"/>
      <c r="B34" s="9" t="n"/>
      <c r="C34" s="10" t="n"/>
      <c r="D34" s="20">
        <f>IF(B34="","",IFERROR(INDEX(Produits!$C$5:$C$44,MATCH(B34,Produits!$A$5:$A$44,0)),""))</f>
        <v/>
      </c>
      <c r="E34" s="9" t="n"/>
      <c r="F34" s="9" t="n"/>
      <c r="G34" s="20">
        <f>IF(A34="","",MONTH(A34))</f>
        <v/>
      </c>
      <c r="H34" s="20">
        <f>IF(A34="","",YEAR(A34))</f>
        <v/>
      </c>
    </row>
    <row r="35">
      <c r="A35" s="12" t="n"/>
      <c r="B35" s="9" t="n"/>
      <c r="C35" s="10" t="n"/>
      <c r="D35" s="20">
        <f>IF(B35="","",IFERROR(INDEX(Produits!$C$5:$C$44,MATCH(B35,Produits!$A$5:$A$44,0)),""))</f>
        <v/>
      </c>
      <c r="E35" s="9" t="n"/>
      <c r="F35" s="9" t="n"/>
      <c r="G35" s="20">
        <f>IF(A35="","",MONTH(A35))</f>
        <v/>
      </c>
      <c r="H35" s="20">
        <f>IF(A35="","",YEAR(A35))</f>
        <v/>
      </c>
    </row>
    <row r="36">
      <c r="A36" s="12" t="n"/>
      <c r="B36" s="9" t="n"/>
      <c r="C36" s="10" t="n"/>
      <c r="D36" s="20">
        <f>IF(B36="","",IFERROR(INDEX(Produits!$C$5:$C$44,MATCH(B36,Produits!$A$5:$A$44,0)),""))</f>
        <v/>
      </c>
      <c r="E36" s="9" t="n"/>
      <c r="F36" s="9" t="n"/>
      <c r="G36" s="20">
        <f>IF(A36="","",MONTH(A36))</f>
        <v/>
      </c>
      <c r="H36" s="20">
        <f>IF(A36="","",YEAR(A36))</f>
        <v/>
      </c>
    </row>
    <row r="37">
      <c r="A37" s="12" t="n"/>
      <c r="B37" s="9" t="n"/>
      <c r="C37" s="10" t="n"/>
      <c r="D37" s="20">
        <f>IF(B37="","",IFERROR(INDEX(Produits!$C$5:$C$44,MATCH(B37,Produits!$A$5:$A$44,0)),""))</f>
        <v/>
      </c>
      <c r="E37" s="9" t="n"/>
      <c r="F37" s="9" t="n"/>
      <c r="G37" s="20">
        <f>IF(A37="","",MONTH(A37))</f>
        <v/>
      </c>
      <c r="H37" s="20">
        <f>IF(A37="","",YEAR(A37))</f>
        <v/>
      </c>
    </row>
    <row r="38">
      <c r="A38" s="12" t="n"/>
      <c r="B38" s="9" t="n"/>
      <c r="C38" s="10" t="n"/>
      <c r="D38" s="20">
        <f>IF(B38="","",IFERROR(INDEX(Produits!$C$5:$C$44,MATCH(B38,Produits!$A$5:$A$44,0)),""))</f>
        <v/>
      </c>
      <c r="E38" s="9" t="n"/>
      <c r="F38" s="9" t="n"/>
      <c r="G38" s="20">
        <f>IF(A38="","",MONTH(A38))</f>
        <v/>
      </c>
      <c r="H38" s="20">
        <f>IF(A38="","",YEAR(A38))</f>
        <v/>
      </c>
    </row>
    <row r="39">
      <c r="A39" s="12" t="n"/>
      <c r="B39" s="9" t="n"/>
      <c r="C39" s="10" t="n"/>
      <c r="D39" s="20">
        <f>IF(B39="","",IFERROR(INDEX(Produits!$C$5:$C$44,MATCH(B39,Produits!$A$5:$A$44,0)),""))</f>
        <v/>
      </c>
      <c r="E39" s="9" t="n"/>
      <c r="F39" s="9" t="n"/>
      <c r="G39" s="20">
        <f>IF(A39="","",MONTH(A39))</f>
        <v/>
      </c>
      <c r="H39" s="20">
        <f>IF(A39="","",YEAR(A39))</f>
        <v/>
      </c>
    </row>
    <row r="40">
      <c r="A40" s="12" t="n"/>
      <c r="B40" s="9" t="n"/>
      <c r="C40" s="10" t="n"/>
      <c r="D40" s="20">
        <f>IF(B40="","",IFERROR(INDEX(Produits!$C$5:$C$44,MATCH(B40,Produits!$A$5:$A$44,0)),""))</f>
        <v/>
      </c>
      <c r="E40" s="9" t="n"/>
      <c r="F40" s="9" t="n"/>
      <c r="G40" s="20">
        <f>IF(A40="","",MONTH(A40))</f>
        <v/>
      </c>
      <c r="H40" s="20">
        <f>IF(A40="","",YEAR(A40))</f>
        <v/>
      </c>
    </row>
    <row r="41">
      <c r="A41" s="12" t="n"/>
      <c r="B41" s="9" t="n"/>
      <c r="C41" s="10" t="n"/>
      <c r="D41" s="20">
        <f>IF(B41="","",IFERROR(INDEX(Produits!$C$5:$C$44,MATCH(B41,Produits!$A$5:$A$44,0)),""))</f>
        <v/>
      </c>
      <c r="E41" s="9" t="n"/>
      <c r="F41" s="9" t="n"/>
      <c r="G41" s="20">
        <f>IF(A41="","",MONTH(A41))</f>
        <v/>
      </c>
      <c r="H41" s="20">
        <f>IF(A41="","",YEAR(A41))</f>
        <v/>
      </c>
    </row>
    <row r="42">
      <c r="A42" s="12" t="n"/>
      <c r="B42" s="9" t="n"/>
      <c r="C42" s="10" t="n"/>
      <c r="D42" s="20">
        <f>IF(B42="","",IFERROR(INDEX(Produits!$C$5:$C$44,MATCH(B42,Produits!$A$5:$A$44,0)),""))</f>
        <v/>
      </c>
      <c r="E42" s="9" t="n"/>
      <c r="F42" s="9" t="n"/>
      <c r="G42" s="20">
        <f>IF(A42="","",MONTH(A42))</f>
        <v/>
      </c>
      <c r="H42" s="20">
        <f>IF(A42="","",YEAR(A42))</f>
        <v/>
      </c>
    </row>
    <row r="43">
      <c r="A43" s="12" t="n"/>
      <c r="B43" s="9" t="n"/>
      <c r="C43" s="10" t="n"/>
      <c r="D43" s="20">
        <f>IF(B43="","",IFERROR(INDEX(Produits!$C$5:$C$44,MATCH(B43,Produits!$A$5:$A$44,0)),""))</f>
        <v/>
      </c>
      <c r="E43" s="9" t="n"/>
      <c r="F43" s="9" t="n"/>
      <c r="G43" s="20">
        <f>IF(A43="","",MONTH(A43))</f>
        <v/>
      </c>
      <c r="H43" s="20">
        <f>IF(A43="","",YEAR(A43))</f>
        <v/>
      </c>
    </row>
    <row r="44">
      <c r="A44" s="12" t="n"/>
      <c r="B44" s="9" t="n"/>
      <c r="C44" s="10" t="n"/>
      <c r="D44" s="20">
        <f>IF(B44="","",IFERROR(INDEX(Produits!$C$5:$C$44,MATCH(B44,Produits!$A$5:$A$44,0)),""))</f>
        <v/>
      </c>
      <c r="E44" s="9" t="n"/>
      <c r="F44" s="9" t="n"/>
      <c r="G44" s="20">
        <f>IF(A44="","",MONTH(A44))</f>
        <v/>
      </c>
      <c r="H44" s="20">
        <f>IF(A44="","",YEAR(A44))</f>
        <v/>
      </c>
    </row>
    <row r="45">
      <c r="A45" s="12" t="n"/>
      <c r="B45" s="9" t="n"/>
      <c r="C45" s="10" t="n"/>
      <c r="D45" s="20">
        <f>IF(B45="","",IFERROR(INDEX(Produits!$C$5:$C$44,MATCH(B45,Produits!$A$5:$A$44,0)),""))</f>
        <v/>
      </c>
      <c r="E45" s="9" t="n"/>
      <c r="F45" s="9" t="n"/>
      <c r="G45" s="20">
        <f>IF(A45="","",MONTH(A45))</f>
        <v/>
      </c>
      <c r="H45" s="20">
        <f>IF(A45="","",YEAR(A45))</f>
        <v/>
      </c>
    </row>
    <row r="46">
      <c r="A46" s="12" t="n"/>
      <c r="B46" s="9" t="n"/>
      <c r="C46" s="10" t="n"/>
      <c r="D46" s="20">
        <f>IF(B46="","",IFERROR(INDEX(Produits!$C$5:$C$44,MATCH(B46,Produits!$A$5:$A$44,0)),""))</f>
        <v/>
      </c>
      <c r="E46" s="9" t="n"/>
      <c r="F46" s="9" t="n"/>
      <c r="G46" s="20">
        <f>IF(A46="","",MONTH(A46))</f>
        <v/>
      </c>
      <c r="H46" s="20">
        <f>IF(A46="","",YEAR(A46))</f>
        <v/>
      </c>
    </row>
    <row r="47">
      <c r="A47" s="12" t="n"/>
      <c r="B47" s="9" t="n"/>
      <c r="C47" s="10" t="n"/>
      <c r="D47" s="20">
        <f>IF(B47="","",IFERROR(INDEX(Produits!$C$5:$C$44,MATCH(B47,Produits!$A$5:$A$44,0)),""))</f>
        <v/>
      </c>
      <c r="E47" s="9" t="n"/>
      <c r="F47" s="9" t="n"/>
      <c r="G47" s="20">
        <f>IF(A47="","",MONTH(A47))</f>
        <v/>
      </c>
      <c r="H47" s="20">
        <f>IF(A47="","",YEAR(A47))</f>
        <v/>
      </c>
    </row>
    <row r="48">
      <c r="A48" s="12" t="n"/>
      <c r="B48" s="9" t="n"/>
      <c r="C48" s="10" t="n"/>
      <c r="D48" s="20">
        <f>IF(B48="","",IFERROR(INDEX(Produits!$C$5:$C$44,MATCH(B48,Produits!$A$5:$A$44,0)),""))</f>
        <v/>
      </c>
      <c r="E48" s="9" t="n"/>
      <c r="F48" s="9" t="n"/>
      <c r="G48" s="20">
        <f>IF(A48="","",MONTH(A48))</f>
        <v/>
      </c>
      <c r="H48" s="20">
        <f>IF(A48="","",YEAR(A48))</f>
        <v/>
      </c>
    </row>
    <row r="49">
      <c r="A49" s="12" t="n"/>
      <c r="B49" s="9" t="n"/>
      <c r="C49" s="10" t="n"/>
      <c r="D49" s="20">
        <f>IF(B49="","",IFERROR(INDEX(Produits!$C$5:$C$44,MATCH(B49,Produits!$A$5:$A$44,0)),""))</f>
        <v/>
      </c>
      <c r="E49" s="9" t="n"/>
      <c r="F49" s="9" t="n"/>
      <c r="G49" s="20">
        <f>IF(A49="","",MONTH(A49))</f>
        <v/>
      </c>
      <c r="H49" s="20">
        <f>IF(A49="","",YEAR(A49))</f>
        <v/>
      </c>
    </row>
    <row r="50">
      <c r="A50" s="12" t="n"/>
      <c r="B50" s="9" t="n"/>
      <c r="C50" s="10" t="n"/>
      <c r="D50" s="20">
        <f>IF(B50="","",IFERROR(INDEX(Produits!$C$5:$C$44,MATCH(B50,Produits!$A$5:$A$44,0)),""))</f>
        <v/>
      </c>
      <c r="E50" s="9" t="n"/>
      <c r="F50" s="9" t="n"/>
      <c r="G50" s="20">
        <f>IF(A50="","",MONTH(A50))</f>
        <v/>
      </c>
      <c r="H50" s="20">
        <f>IF(A50="","",YEAR(A50))</f>
        <v/>
      </c>
    </row>
    <row r="51">
      <c r="A51" s="12" t="n"/>
      <c r="B51" s="9" t="n"/>
      <c r="C51" s="10" t="n"/>
      <c r="D51" s="20">
        <f>IF(B51="","",IFERROR(INDEX(Produits!$C$5:$C$44,MATCH(B51,Produits!$A$5:$A$44,0)),""))</f>
        <v/>
      </c>
      <c r="E51" s="9" t="n"/>
      <c r="F51" s="9" t="n"/>
      <c r="G51" s="20">
        <f>IF(A51="","",MONTH(A51))</f>
        <v/>
      </c>
      <c r="H51" s="20">
        <f>IF(A51="","",YEAR(A51))</f>
        <v/>
      </c>
    </row>
    <row r="52">
      <c r="A52" s="12" t="n"/>
      <c r="B52" s="9" t="n"/>
      <c r="C52" s="10" t="n"/>
      <c r="D52" s="20">
        <f>IF(B52="","",IFERROR(INDEX(Produits!$C$5:$C$44,MATCH(B52,Produits!$A$5:$A$44,0)),""))</f>
        <v/>
      </c>
      <c r="E52" s="9" t="n"/>
      <c r="F52" s="9" t="n"/>
      <c r="G52" s="20">
        <f>IF(A52="","",MONTH(A52))</f>
        <v/>
      </c>
      <c r="H52" s="20">
        <f>IF(A52="","",YEAR(A52))</f>
        <v/>
      </c>
    </row>
    <row r="53">
      <c r="A53" s="12" t="n"/>
      <c r="B53" s="9" t="n"/>
      <c r="C53" s="10" t="n"/>
      <c r="D53" s="20">
        <f>IF(B53="","",IFERROR(INDEX(Produits!$C$5:$C$44,MATCH(B53,Produits!$A$5:$A$44,0)),""))</f>
        <v/>
      </c>
      <c r="E53" s="9" t="n"/>
      <c r="F53" s="9" t="n"/>
      <c r="G53" s="20">
        <f>IF(A53="","",MONTH(A53))</f>
        <v/>
      </c>
      <c r="H53" s="20">
        <f>IF(A53="","",YEAR(A53))</f>
        <v/>
      </c>
    </row>
    <row r="54">
      <c r="A54" s="12" t="n"/>
      <c r="B54" s="9" t="n"/>
      <c r="C54" s="10" t="n"/>
      <c r="D54" s="20">
        <f>IF(B54="","",IFERROR(INDEX(Produits!$C$5:$C$44,MATCH(B54,Produits!$A$5:$A$44,0)),""))</f>
        <v/>
      </c>
      <c r="E54" s="9" t="n"/>
      <c r="F54" s="9" t="n"/>
      <c r="G54" s="20">
        <f>IF(A54="","",MONTH(A54))</f>
        <v/>
      </c>
      <c r="H54" s="20">
        <f>IF(A54="","",YEAR(A54))</f>
        <v/>
      </c>
    </row>
    <row r="55">
      <c r="A55" s="12" t="n"/>
      <c r="B55" s="9" t="n"/>
      <c r="C55" s="10" t="n"/>
      <c r="D55" s="20">
        <f>IF(B55="","",IFERROR(INDEX(Produits!$C$5:$C$44,MATCH(B55,Produits!$A$5:$A$44,0)),""))</f>
        <v/>
      </c>
      <c r="E55" s="9" t="n"/>
      <c r="F55" s="9" t="n"/>
      <c r="G55" s="20">
        <f>IF(A55="","",MONTH(A55))</f>
        <v/>
      </c>
      <c r="H55" s="20">
        <f>IF(A55="","",YEAR(A55))</f>
        <v/>
      </c>
    </row>
    <row r="56">
      <c r="A56" s="12" t="n"/>
      <c r="B56" s="9" t="n"/>
      <c r="C56" s="10" t="n"/>
      <c r="D56" s="20">
        <f>IF(B56="","",IFERROR(INDEX(Produits!$C$5:$C$44,MATCH(B56,Produits!$A$5:$A$44,0)),""))</f>
        <v/>
      </c>
      <c r="E56" s="9" t="n"/>
      <c r="F56" s="9" t="n"/>
      <c r="G56" s="20">
        <f>IF(A56="","",MONTH(A56))</f>
        <v/>
      </c>
      <c r="H56" s="20">
        <f>IF(A56="","",YEAR(A56))</f>
        <v/>
      </c>
    </row>
    <row r="57">
      <c r="A57" s="12" t="n"/>
      <c r="B57" s="9" t="n"/>
      <c r="C57" s="10" t="n"/>
      <c r="D57" s="20">
        <f>IF(B57="","",IFERROR(INDEX(Produits!$C$5:$C$44,MATCH(B57,Produits!$A$5:$A$44,0)),""))</f>
        <v/>
      </c>
      <c r="E57" s="9" t="n"/>
      <c r="F57" s="9" t="n"/>
      <c r="G57" s="20">
        <f>IF(A57="","",MONTH(A57))</f>
        <v/>
      </c>
      <c r="H57" s="20">
        <f>IF(A57="","",YEAR(A57))</f>
        <v/>
      </c>
    </row>
    <row r="58">
      <c r="A58" s="12" t="n"/>
      <c r="B58" s="9" t="n"/>
      <c r="C58" s="10" t="n"/>
      <c r="D58" s="20">
        <f>IF(B58="","",IFERROR(INDEX(Produits!$C$5:$C$44,MATCH(B58,Produits!$A$5:$A$44,0)),""))</f>
        <v/>
      </c>
      <c r="E58" s="9" t="n"/>
      <c r="F58" s="9" t="n"/>
      <c r="G58" s="20">
        <f>IF(A58="","",MONTH(A58))</f>
        <v/>
      </c>
      <c r="H58" s="20">
        <f>IF(A58="","",YEAR(A58))</f>
        <v/>
      </c>
    </row>
    <row r="59">
      <c r="A59" s="12" t="n"/>
      <c r="B59" s="9" t="n"/>
      <c r="C59" s="10" t="n"/>
      <c r="D59" s="20">
        <f>IF(B59="","",IFERROR(INDEX(Produits!$C$5:$C$44,MATCH(B59,Produits!$A$5:$A$44,0)),""))</f>
        <v/>
      </c>
      <c r="E59" s="9" t="n"/>
      <c r="F59" s="9" t="n"/>
      <c r="G59" s="20">
        <f>IF(A59="","",MONTH(A59))</f>
        <v/>
      </c>
      <c r="H59" s="20">
        <f>IF(A59="","",YEAR(A59))</f>
        <v/>
      </c>
    </row>
    <row r="60">
      <c r="A60" s="12" t="n"/>
      <c r="B60" s="9" t="n"/>
      <c r="C60" s="10" t="n"/>
      <c r="D60" s="20">
        <f>IF(B60="","",IFERROR(INDEX(Produits!$C$5:$C$44,MATCH(B60,Produits!$A$5:$A$44,0)),""))</f>
        <v/>
      </c>
      <c r="E60" s="9" t="n"/>
      <c r="F60" s="9" t="n"/>
      <c r="G60" s="20">
        <f>IF(A60="","",MONTH(A60))</f>
        <v/>
      </c>
      <c r="H60" s="20">
        <f>IF(A60="","",YEAR(A60))</f>
        <v/>
      </c>
    </row>
    <row r="61">
      <c r="A61" s="12" t="n"/>
      <c r="B61" s="9" t="n"/>
      <c r="C61" s="10" t="n"/>
      <c r="D61" s="20">
        <f>IF(B61="","",IFERROR(INDEX(Produits!$C$5:$C$44,MATCH(B61,Produits!$A$5:$A$44,0)),""))</f>
        <v/>
      </c>
      <c r="E61" s="9" t="n"/>
      <c r="F61" s="9" t="n"/>
      <c r="G61" s="20">
        <f>IF(A61="","",MONTH(A61))</f>
        <v/>
      </c>
      <c r="H61" s="20">
        <f>IF(A61="","",YEAR(A61))</f>
        <v/>
      </c>
    </row>
    <row r="62">
      <c r="A62" s="12" t="n"/>
      <c r="B62" s="9" t="n"/>
      <c r="C62" s="10" t="n"/>
      <c r="D62" s="20">
        <f>IF(B62="","",IFERROR(INDEX(Produits!$C$5:$C$44,MATCH(B62,Produits!$A$5:$A$44,0)),""))</f>
        <v/>
      </c>
      <c r="E62" s="9" t="n"/>
      <c r="F62" s="9" t="n"/>
      <c r="G62" s="20">
        <f>IF(A62="","",MONTH(A62))</f>
        <v/>
      </c>
      <c r="H62" s="20">
        <f>IF(A62="","",YEAR(A62))</f>
        <v/>
      </c>
    </row>
    <row r="63">
      <c r="A63" s="12" t="n"/>
      <c r="B63" s="9" t="n"/>
      <c r="C63" s="10" t="n"/>
      <c r="D63" s="20">
        <f>IF(B63="","",IFERROR(INDEX(Produits!$C$5:$C$44,MATCH(B63,Produits!$A$5:$A$44,0)),""))</f>
        <v/>
      </c>
      <c r="E63" s="9" t="n"/>
      <c r="F63" s="9" t="n"/>
      <c r="G63" s="20">
        <f>IF(A63="","",MONTH(A63))</f>
        <v/>
      </c>
      <c r="H63" s="20">
        <f>IF(A63="","",YEAR(A63))</f>
        <v/>
      </c>
    </row>
    <row r="64">
      <c r="A64" s="12" t="n"/>
      <c r="B64" s="9" t="n"/>
      <c r="C64" s="10" t="n"/>
      <c r="D64" s="20">
        <f>IF(B64="","",IFERROR(INDEX(Produits!$C$5:$C$44,MATCH(B64,Produits!$A$5:$A$44,0)),""))</f>
        <v/>
      </c>
      <c r="E64" s="9" t="n"/>
      <c r="F64" s="9" t="n"/>
      <c r="G64" s="20">
        <f>IF(A64="","",MONTH(A64))</f>
        <v/>
      </c>
      <c r="H64" s="20">
        <f>IF(A64="","",YEAR(A64))</f>
        <v/>
      </c>
    </row>
    <row r="65">
      <c r="A65" s="12" t="n"/>
      <c r="B65" s="9" t="n"/>
      <c r="C65" s="10" t="n"/>
      <c r="D65" s="20">
        <f>IF(B65="","",IFERROR(INDEX(Produits!$C$5:$C$44,MATCH(B65,Produits!$A$5:$A$44,0)),""))</f>
        <v/>
      </c>
      <c r="E65" s="9" t="n"/>
      <c r="F65" s="9" t="n"/>
      <c r="G65" s="20">
        <f>IF(A65="","",MONTH(A65))</f>
        <v/>
      </c>
      <c r="H65" s="20">
        <f>IF(A65="","",YEAR(A65))</f>
        <v/>
      </c>
    </row>
    <row r="66">
      <c r="A66" s="12" t="n"/>
      <c r="B66" s="9" t="n"/>
      <c r="C66" s="10" t="n"/>
      <c r="D66" s="20">
        <f>IF(B66="","",IFERROR(INDEX(Produits!$C$5:$C$44,MATCH(B66,Produits!$A$5:$A$44,0)),""))</f>
        <v/>
      </c>
      <c r="E66" s="9" t="n"/>
      <c r="F66" s="9" t="n"/>
      <c r="G66" s="20">
        <f>IF(A66="","",MONTH(A66))</f>
        <v/>
      </c>
      <c r="H66" s="20">
        <f>IF(A66="","",YEAR(A66))</f>
        <v/>
      </c>
    </row>
    <row r="67">
      <c r="A67" s="12" t="n"/>
      <c r="B67" s="9" t="n"/>
      <c r="C67" s="10" t="n"/>
      <c r="D67" s="20">
        <f>IF(B67="","",IFERROR(INDEX(Produits!$C$5:$C$44,MATCH(B67,Produits!$A$5:$A$44,0)),""))</f>
        <v/>
      </c>
      <c r="E67" s="9" t="n"/>
      <c r="F67" s="9" t="n"/>
      <c r="G67" s="20">
        <f>IF(A67="","",MONTH(A67))</f>
        <v/>
      </c>
      <c r="H67" s="20">
        <f>IF(A67="","",YEAR(A67))</f>
        <v/>
      </c>
    </row>
    <row r="68">
      <c r="A68" s="12" t="n"/>
      <c r="B68" s="9" t="n"/>
      <c r="C68" s="10" t="n"/>
      <c r="D68" s="20">
        <f>IF(B68="","",IFERROR(INDEX(Produits!$C$5:$C$44,MATCH(B68,Produits!$A$5:$A$44,0)),""))</f>
        <v/>
      </c>
      <c r="E68" s="9" t="n"/>
      <c r="F68" s="9" t="n"/>
      <c r="G68" s="20">
        <f>IF(A68="","",MONTH(A68))</f>
        <v/>
      </c>
      <c r="H68" s="20">
        <f>IF(A68="","",YEAR(A68))</f>
        <v/>
      </c>
    </row>
    <row r="69">
      <c r="A69" s="12" t="n"/>
      <c r="B69" s="9" t="n"/>
      <c r="C69" s="10" t="n"/>
      <c r="D69" s="20">
        <f>IF(B69="","",IFERROR(INDEX(Produits!$C$5:$C$44,MATCH(B69,Produits!$A$5:$A$44,0)),""))</f>
        <v/>
      </c>
      <c r="E69" s="9" t="n"/>
      <c r="F69" s="9" t="n"/>
      <c r="G69" s="20">
        <f>IF(A69="","",MONTH(A69))</f>
        <v/>
      </c>
      <c r="H69" s="20">
        <f>IF(A69="","",YEAR(A69))</f>
        <v/>
      </c>
    </row>
    <row r="70">
      <c r="A70" s="12" t="n"/>
      <c r="B70" s="9" t="n"/>
      <c r="C70" s="10" t="n"/>
      <c r="D70" s="20">
        <f>IF(B70="","",IFERROR(INDEX(Produits!$C$5:$C$44,MATCH(B70,Produits!$A$5:$A$44,0)),""))</f>
        <v/>
      </c>
      <c r="E70" s="9" t="n"/>
      <c r="F70" s="9" t="n"/>
      <c r="G70" s="20">
        <f>IF(A70="","",MONTH(A70))</f>
        <v/>
      </c>
      <c r="H70" s="20">
        <f>IF(A70="","",YEAR(A70))</f>
        <v/>
      </c>
    </row>
    <row r="71">
      <c r="A71" s="12" t="n"/>
      <c r="B71" s="9" t="n"/>
      <c r="C71" s="10" t="n"/>
      <c r="D71" s="20">
        <f>IF(B71="","",IFERROR(INDEX(Produits!$C$5:$C$44,MATCH(B71,Produits!$A$5:$A$44,0)),""))</f>
        <v/>
      </c>
      <c r="E71" s="9" t="n"/>
      <c r="F71" s="9" t="n"/>
      <c r="G71" s="20">
        <f>IF(A71="","",MONTH(A71))</f>
        <v/>
      </c>
      <c r="H71" s="20">
        <f>IF(A71="","",YEAR(A71))</f>
        <v/>
      </c>
    </row>
    <row r="72">
      <c r="A72" s="12" t="n"/>
      <c r="B72" s="9" t="n"/>
      <c r="C72" s="10" t="n"/>
      <c r="D72" s="20">
        <f>IF(B72="","",IFERROR(INDEX(Produits!$C$5:$C$44,MATCH(B72,Produits!$A$5:$A$44,0)),""))</f>
        <v/>
      </c>
      <c r="E72" s="9" t="n"/>
      <c r="F72" s="9" t="n"/>
      <c r="G72" s="20">
        <f>IF(A72="","",MONTH(A72))</f>
        <v/>
      </c>
      <c r="H72" s="20">
        <f>IF(A72="","",YEAR(A72))</f>
        <v/>
      </c>
    </row>
    <row r="73">
      <c r="A73" s="12" t="n"/>
      <c r="B73" s="9" t="n"/>
      <c r="C73" s="10" t="n"/>
      <c r="D73" s="20">
        <f>IF(B73="","",IFERROR(INDEX(Produits!$C$5:$C$44,MATCH(B73,Produits!$A$5:$A$44,0)),""))</f>
        <v/>
      </c>
      <c r="E73" s="9" t="n"/>
      <c r="F73" s="9" t="n"/>
      <c r="G73" s="20">
        <f>IF(A73="","",MONTH(A73))</f>
        <v/>
      </c>
      <c r="H73" s="20">
        <f>IF(A73="","",YEAR(A73))</f>
        <v/>
      </c>
    </row>
    <row r="74">
      <c r="A74" s="12" t="n"/>
      <c r="B74" s="9" t="n"/>
      <c r="C74" s="10" t="n"/>
      <c r="D74" s="20">
        <f>IF(B74="","",IFERROR(INDEX(Produits!$C$5:$C$44,MATCH(B74,Produits!$A$5:$A$44,0)),""))</f>
        <v/>
      </c>
      <c r="E74" s="9" t="n"/>
      <c r="F74" s="9" t="n"/>
      <c r="G74" s="20">
        <f>IF(A74="","",MONTH(A74))</f>
        <v/>
      </c>
      <c r="H74" s="20">
        <f>IF(A74="","",YEAR(A74))</f>
        <v/>
      </c>
    </row>
    <row r="75">
      <c r="A75" s="12" t="n"/>
      <c r="B75" s="9" t="n"/>
      <c r="C75" s="10" t="n"/>
      <c r="D75" s="20">
        <f>IF(B75="","",IFERROR(INDEX(Produits!$C$5:$C$44,MATCH(B75,Produits!$A$5:$A$44,0)),""))</f>
        <v/>
      </c>
      <c r="E75" s="9" t="n"/>
      <c r="F75" s="9" t="n"/>
      <c r="G75" s="20">
        <f>IF(A75="","",MONTH(A75))</f>
        <v/>
      </c>
      <c r="H75" s="20">
        <f>IF(A75="","",YEAR(A75))</f>
        <v/>
      </c>
    </row>
    <row r="76">
      <c r="A76" s="12" t="n"/>
      <c r="B76" s="9" t="n"/>
      <c r="C76" s="10" t="n"/>
      <c r="D76" s="20">
        <f>IF(B76="","",IFERROR(INDEX(Produits!$C$5:$C$44,MATCH(B76,Produits!$A$5:$A$44,0)),""))</f>
        <v/>
      </c>
      <c r="E76" s="9" t="n"/>
      <c r="F76" s="9" t="n"/>
      <c r="G76" s="20">
        <f>IF(A76="","",MONTH(A76))</f>
        <v/>
      </c>
      <c r="H76" s="20">
        <f>IF(A76="","",YEAR(A76))</f>
        <v/>
      </c>
    </row>
    <row r="77">
      <c r="A77" s="12" t="n"/>
      <c r="B77" s="9" t="n"/>
      <c r="C77" s="10" t="n"/>
      <c r="D77" s="20">
        <f>IF(B77="","",IFERROR(INDEX(Produits!$C$5:$C$44,MATCH(B77,Produits!$A$5:$A$44,0)),""))</f>
        <v/>
      </c>
      <c r="E77" s="9" t="n"/>
      <c r="F77" s="9" t="n"/>
      <c r="G77" s="20">
        <f>IF(A77="","",MONTH(A77))</f>
        <v/>
      </c>
      <c r="H77" s="20">
        <f>IF(A77="","",YEAR(A77))</f>
        <v/>
      </c>
    </row>
    <row r="78">
      <c r="A78" s="12" t="n"/>
      <c r="B78" s="9" t="n"/>
      <c r="C78" s="10" t="n"/>
      <c r="D78" s="20">
        <f>IF(B78="","",IFERROR(INDEX(Produits!$C$5:$C$44,MATCH(B78,Produits!$A$5:$A$44,0)),""))</f>
        <v/>
      </c>
      <c r="E78" s="9" t="n"/>
      <c r="F78" s="9" t="n"/>
      <c r="G78" s="20">
        <f>IF(A78="","",MONTH(A78))</f>
        <v/>
      </c>
      <c r="H78" s="20">
        <f>IF(A78="","",YEAR(A78))</f>
        <v/>
      </c>
    </row>
    <row r="79">
      <c r="A79" s="12" t="n"/>
      <c r="B79" s="9" t="n"/>
      <c r="C79" s="10" t="n"/>
      <c r="D79" s="20">
        <f>IF(B79="","",IFERROR(INDEX(Produits!$C$5:$C$44,MATCH(B79,Produits!$A$5:$A$44,0)),""))</f>
        <v/>
      </c>
      <c r="E79" s="9" t="n"/>
      <c r="F79" s="9" t="n"/>
      <c r="G79" s="20">
        <f>IF(A79="","",MONTH(A79))</f>
        <v/>
      </c>
      <c r="H79" s="20">
        <f>IF(A79="","",YEAR(A79))</f>
        <v/>
      </c>
    </row>
    <row r="80">
      <c r="A80" s="12" t="n"/>
      <c r="B80" s="9" t="n"/>
      <c r="C80" s="10" t="n"/>
      <c r="D80" s="20">
        <f>IF(B80="","",IFERROR(INDEX(Produits!$C$5:$C$44,MATCH(B80,Produits!$A$5:$A$44,0)),""))</f>
        <v/>
      </c>
      <c r="E80" s="9" t="n"/>
      <c r="F80" s="9" t="n"/>
      <c r="G80" s="20">
        <f>IF(A80="","",MONTH(A80))</f>
        <v/>
      </c>
      <c r="H80" s="20">
        <f>IF(A80="","",YEAR(A80))</f>
        <v/>
      </c>
    </row>
    <row r="81">
      <c r="A81" s="12" t="n"/>
      <c r="B81" s="9" t="n"/>
      <c r="C81" s="10" t="n"/>
      <c r="D81" s="20">
        <f>IF(B81="","",IFERROR(INDEX(Produits!$C$5:$C$44,MATCH(B81,Produits!$A$5:$A$44,0)),""))</f>
        <v/>
      </c>
      <c r="E81" s="9" t="n"/>
      <c r="F81" s="9" t="n"/>
      <c r="G81" s="20">
        <f>IF(A81="","",MONTH(A81))</f>
        <v/>
      </c>
      <c r="H81" s="20">
        <f>IF(A81="","",YEAR(A81))</f>
        <v/>
      </c>
    </row>
    <row r="82">
      <c r="A82" s="12" t="n"/>
      <c r="B82" s="9" t="n"/>
      <c r="C82" s="10" t="n"/>
      <c r="D82" s="20">
        <f>IF(B82="","",IFERROR(INDEX(Produits!$C$5:$C$44,MATCH(B82,Produits!$A$5:$A$44,0)),""))</f>
        <v/>
      </c>
      <c r="E82" s="9" t="n"/>
      <c r="F82" s="9" t="n"/>
      <c r="G82" s="20">
        <f>IF(A82="","",MONTH(A82))</f>
        <v/>
      </c>
      <c r="H82" s="20">
        <f>IF(A82="","",YEAR(A82))</f>
        <v/>
      </c>
    </row>
    <row r="83">
      <c r="A83" s="12" t="n"/>
      <c r="B83" s="9" t="n"/>
      <c r="C83" s="10" t="n"/>
      <c r="D83" s="20">
        <f>IF(B83="","",IFERROR(INDEX(Produits!$C$5:$C$44,MATCH(B83,Produits!$A$5:$A$44,0)),""))</f>
        <v/>
      </c>
      <c r="E83" s="9" t="n"/>
      <c r="F83" s="9" t="n"/>
      <c r="G83" s="20">
        <f>IF(A83="","",MONTH(A83))</f>
        <v/>
      </c>
      <c r="H83" s="20">
        <f>IF(A83="","",YEAR(A83))</f>
        <v/>
      </c>
    </row>
    <row r="84">
      <c r="A84" s="12" t="n"/>
      <c r="B84" s="9" t="n"/>
      <c r="C84" s="10" t="n"/>
      <c r="D84" s="20">
        <f>IF(B84="","",IFERROR(INDEX(Produits!$C$5:$C$44,MATCH(B84,Produits!$A$5:$A$44,0)),""))</f>
        <v/>
      </c>
      <c r="E84" s="9" t="n"/>
      <c r="F84" s="9" t="n"/>
      <c r="G84" s="20">
        <f>IF(A84="","",MONTH(A84))</f>
        <v/>
      </c>
      <c r="H84" s="20">
        <f>IF(A84="","",YEAR(A84))</f>
        <v/>
      </c>
    </row>
    <row r="85">
      <c r="A85" s="12" t="n"/>
      <c r="B85" s="9" t="n"/>
      <c r="C85" s="10" t="n"/>
      <c r="D85" s="20">
        <f>IF(B85="","",IFERROR(INDEX(Produits!$C$5:$C$44,MATCH(B85,Produits!$A$5:$A$44,0)),""))</f>
        <v/>
      </c>
      <c r="E85" s="9" t="n"/>
      <c r="F85" s="9" t="n"/>
      <c r="G85" s="20">
        <f>IF(A85="","",MONTH(A85))</f>
        <v/>
      </c>
      <c r="H85" s="20">
        <f>IF(A85="","",YEAR(A85))</f>
        <v/>
      </c>
    </row>
    <row r="86">
      <c r="A86" s="12" t="n"/>
      <c r="B86" s="9" t="n"/>
      <c r="C86" s="10" t="n"/>
      <c r="D86" s="20">
        <f>IF(B86="","",IFERROR(INDEX(Produits!$C$5:$C$44,MATCH(B86,Produits!$A$5:$A$44,0)),""))</f>
        <v/>
      </c>
      <c r="E86" s="9" t="n"/>
      <c r="F86" s="9" t="n"/>
      <c r="G86" s="20">
        <f>IF(A86="","",MONTH(A86))</f>
        <v/>
      </c>
      <c r="H86" s="20">
        <f>IF(A86="","",YEAR(A86))</f>
        <v/>
      </c>
    </row>
    <row r="87">
      <c r="A87" s="12" t="n"/>
      <c r="B87" s="9" t="n"/>
      <c r="C87" s="10" t="n"/>
      <c r="D87" s="20">
        <f>IF(B87="","",IFERROR(INDEX(Produits!$C$5:$C$44,MATCH(B87,Produits!$A$5:$A$44,0)),""))</f>
        <v/>
      </c>
      <c r="E87" s="9" t="n"/>
      <c r="F87" s="9" t="n"/>
      <c r="G87" s="20">
        <f>IF(A87="","",MONTH(A87))</f>
        <v/>
      </c>
      <c r="H87" s="20">
        <f>IF(A87="","",YEAR(A87))</f>
        <v/>
      </c>
    </row>
    <row r="88">
      <c r="A88" s="12" t="n"/>
      <c r="B88" s="9" t="n"/>
      <c r="C88" s="10" t="n"/>
      <c r="D88" s="20">
        <f>IF(B88="","",IFERROR(INDEX(Produits!$C$5:$C$44,MATCH(B88,Produits!$A$5:$A$44,0)),""))</f>
        <v/>
      </c>
      <c r="E88" s="9" t="n"/>
      <c r="F88" s="9" t="n"/>
      <c r="G88" s="20">
        <f>IF(A88="","",MONTH(A88))</f>
        <v/>
      </c>
      <c r="H88" s="20">
        <f>IF(A88="","",YEAR(A88))</f>
        <v/>
      </c>
    </row>
    <row r="89">
      <c r="A89" s="12" t="n"/>
      <c r="B89" s="9" t="n"/>
      <c r="C89" s="10" t="n"/>
      <c r="D89" s="20">
        <f>IF(B89="","",IFERROR(INDEX(Produits!$C$5:$C$44,MATCH(B89,Produits!$A$5:$A$44,0)),""))</f>
        <v/>
      </c>
      <c r="E89" s="9" t="n"/>
      <c r="F89" s="9" t="n"/>
      <c r="G89" s="20">
        <f>IF(A89="","",MONTH(A89))</f>
        <v/>
      </c>
      <c r="H89" s="20">
        <f>IF(A89="","",YEAR(A89))</f>
        <v/>
      </c>
    </row>
    <row r="90">
      <c r="A90" s="12" t="n"/>
      <c r="B90" s="9" t="n"/>
      <c r="C90" s="10" t="n"/>
      <c r="D90" s="20">
        <f>IF(B90="","",IFERROR(INDEX(Produits!$C$5:$C$44,MATCH(B90,Produits!$A$5:$A$44,0)),""))</f>
        <v/>
      </c>
      <c r="E90" s="9" t="n"/>
      <c r="F90" s="9" t="n"/>
      <c r="G90" s="20">
        <f>IF(A90="","",MONTH(A90))</f>
        <v/>
      </c>
      <c r="H90" s="20">
        <f>IF(A90="","",YEAR(A90))</f>
        <v/>
      </c>
    </row>
    <row r="91">
      <c r="A91" s="12" t="n"/>
      <c r="B91" s="9" t="n"/>
      <c r="C91" s="10" t="n"/>
      <c r="D91" s="20">
        <f>IF(B91="","",IFERROR(INDEX(Produits!$C$5:$C$44,MATCH(B91,Produits!$A$5:$A$44,0)),""))</f>
        <v/>
      </c>
      <c r="E91" s="9" t="n"/>
      <c r="F91" s="9" t="n"/>
      <c r="G91" s="20">
        <f>IF(A91="","",MONTH(A91))</f>
        <v/>
      </c>
      <c r="H91" s="20">
        <f>IF(A91="","",YEAR(A91))</f>
        <v/>
      </c>
    </row>
    <row r="92">
      <c r="A92" s="12" t="n"/>
      <c r="B92" s="9" t="n"/>
      <c r="C92" s="10" t="n"/>
      <c r="D92" s="20">
        <f>IF(B92="","",IFERROR(INDEX(Produits!$C$5:$C$44,MATCH(B92,Produits!$A$5:$A$44,0)),""))</f>
        <v/>
      </c>
      <c r="E92" s="9" t="n"/>
      <c r="F92" s="9" t="n"/>
      <c r="G92" s="20">
        <f>IF(A92="","",MONTH(A92))</f>
        <v/>
      </c>
      <c r="H92" s="20">
        <f>IF(A92="","",YEAR(A92))</f>
        <v/>
      </c>
    </row>
    <row r="93">
      <c r="A93" s="12" t="n"/>
      <c r="B93" s="9" t="n"/>
      <c r="C93" s="10" t="n"/>
      <c r="D93" s="20">
        <f>IF(B93="","",IFERROR(INDEX(Produits!$C$5:$C$44,MATCH(B93,Produits!$A$5:$A$44,0)),""))</f>
        <v/>
      </c>
      <c r="E93" s="9" t="n"/>
      <c r="F93" s="9" t="n"/>
      <c r="G93" s="20">
        <f>IF(A93="","",MONTH(A93))</f>
        <v/>
      </c>
      <c r="H93" s="20">
        <f>IF(A93="","",YEAR(A93))</f>
        <v/>
      </c>
    </row>
    <row r="94">
      <c r="A94" s="12" t="n"/>
      <c r="B94" s="9" t="n"/>
      <c r="C94" s="10" t="n"/>
      <c r="D94" s="20">
        <f>IF(B94="","",IFERROR(INDEX(Produits!$C$5:$C$44,MATCH(B94,Produits!$A$5:$A$44,0)),""))</f>
        <v/>
      </c>
      <c r="E94" s="9" t="n"/>
      <c r="F94" s="9" t="n"/>
      <c r="G94" s="20">
        <f>IF(A94="","",MONTH(A94))</f>
        <v/>
      </c>
      <c r="H94" s="20">
        <f>IF(A94="","",YEAR(A94))</f>
        <v/>
      </c>
    </row>
    <row r="95">
      <c r="A95" s="12" t="n"/>
      <c r="B95" s="9" t="n"/>
      <c r="C95" s="10" t="n"/>
      <c r="D95" s="20">
        <f>IF(B95="","",IFERROR(INDEX(Produits!$C$5:$C$44,MATCH(B95,Produits!$A$5:$A$44,0)),""))</f>
        <v/>
      </c>
      <c r="E95" s="9" t="n"/>
      <c r="F95" s="9" t="n"/>
      <c r="G95" s="20">
        <f>IF(A95="","",MONTH(A95))</f>
        <v/>
      </c>
      <c r="H95" s="20">
        <f>IF(A95="","",YEAR(A95))</f>
        <v/>
      </c>
    </row>
    <row r="96">
      <c r="A96" s="12" t="n"/>
      <c r="B96" s="9" t="n"/>
      <c r="C96" s="10" t="n"/>
      <c r="D96" s="20">
        <f>IF(B96="","",IFERROR(INDEX(Produits!$C$5:$C$44,MATCH(B96,Produits!$A$5:$A$44,0)),""))</f>
        <v/>
      </c>
      <c r="E96" s="9" t="n"/>
      <c r="F96" s="9" t="n"/>
      <c r="G96" s="20">
        <f>IF(A96="","",MONTH(A96))</f>
        <v/>
      </c>
      <c r="H96" s="20">
        <f>IF(A96="","",YEAR(A96))</f>
        <v/>
      </c>
    </row>
    <row r="97">
      <c r="A97" s="12" t="n"/>
      <c r="B97" s="9" t="n"/>
      <c r="C97" s="10" t="n"/>
      <c r="D97" s="20">
        <f>IF(B97="","",IFERROR(INDEX(Produits!$C$5:$C$44,MATCH(B97,Produits!$A$5:$A$44,0)),""))</f>
        <v/>
      </c>
      <c r="E97" s="9" t="n"/>
      <c r="F97" s="9" t="n"/>
      <c r="G97" s="20">
        <f>IF(A97="","",MONTH(A97))</f>
        <v/>
      </c>
      <c r="H97" s="20">
        <f>IF(A97="","",YEAR(A97))</f>
        <v/>
      </c>
    </row>
    <row r="98">
      <c r="A98" s="12" t="n"/>
      <c r="B98" s="9" t="n"/>
      <c r="C98" s="10" t="n"/>
      <c r="D98" s="20">
        <f>IF(B98="","",IFERROR(INDEX(Produits!$C$5:$C$44,MATCH(B98,Produits!$A$5:$A$44,0)),""))</f>
        <v/>
      </c>
      <c r="E98" s="9" t="n"/>
      <c r="F98" s="9" t="n"/>
      <c r="G98" s="20">
        <f>IF(A98="","",MONTH(A98))</f>
        <v/>
      </c>
      <c r="H98" s="20">
        <f>IF(A98="","",YEAR(A98))</f>
        <v/>
      </c>
    </row>
    <row r="99">
      <c r="A99" s="12" t="n"/>
      <c r="B99" s="9" t="n"/>
      <c r="C99" s="10" t="n"/>
      <c r="D99" s="20">
        <f>IF(B99="","",IFERROR(INDEX(Produits!$C$5:$C$44,MATCH(B99,Produits!$A$5:$A$44,0)),""))</f>
        <v/>
      </c>
      <c r="E99" s="9" t="n"/>
      <c r="F99" s="9" t="n"/>
      <c r="G99" s="20">
        <f>IF(A99="","",MONTH(A99))</f>
        <v/>
      </c>
      <c r="H99" s="20">
        <f>IF(A99="","",YEAR(A99))</f>
        <v/>
      </c>
    </row>
    <row r="100">
      <c r="A100" s="12" t="n"/>
      <c r="B100" s="9" t="n"/>
      <c r="C100" s="10" t="n"/>
      <c r="D100" s="20">
        <f>IF(B100="","",IFERROR(INDEX(Produits!$C$5:$C$44,MATCH(B100,Produits!$A$5:$A$44,0)),""))</f>
        <v/>
      </c>
      <c r="E100" s="9" t="n"/>
      <c r="F100" s="9" t="n"/>
      <c r="G100" s="20">
        <f>IF(A100="","",MONTH(A100))</f>
        <v/>
      </c>
      <c r="H100" s="20">
        <f>IF(A100="","",YEAR(A100))</f>
        <v/>
      </c>
    </row>
    <row r="101">
      <c r="A101" s="12" t="n"/>
      <c r="B101" s="9" t="n"/>
      <c r="C101" s="10" t="n"/>
      <c r="D101" s="20">
        <f>IF(B101="","",IFERROR(INDEX(Produits!$C$5:$C$44,MATCH(B101,Produits!$A$5:$A$44,0)),""))</f>
        <v/>
      </c>
      <c r="E101" s="9" t="n"/>
      <c r="F101" s="9" t="n"/>
      <c r="G101" s="20">
        <f>IF(A101="","",MONTH(A101))</f>
        <v/>
      </c>
      <c r="H101" s="20">
        <f>IF(A101="","",YEAR(A101))</f>
        <v/>
      </c>
    </row>
    <row r="102">
      <c r="A102" s="12" t="n"/>
      <c r="B102" s="9" t="n"/>
      <c r="C102" s="10" t="n"/>
      <c r="D102" s="20">
        <f>IF(B102="","",IFERROR(INDEX(Produits!$C$5:$C$44,MATCH(B102,Produits!$A$5:$A$44,0)),""))</f>
        <v/>
      </c>
      <c r="E102" s="9" t="n"/>
      <c r="F102" s="9" t="n"/>
      <c r="G102" s="20">
        <f>IF(A102="","",MONTH(A102))</f>
        <v/>
      </c>
      <c r="H102" s="20">
        <f>IF(A102="","",YEAR(A102))</f>
        <v/>
      </c>
    </row>
    <row r="103">
      <c r="A103" s="12" t="n"/>
      <c r="B103" s="9" t="n"/>
      <c r="C103" s="10" t="n"/>
      <c r="D103" s="20">
        <f>IF(B103="","",IFERROR(INDEX(Produits!$C$5:$C$44,MATCH(B103,Produits!$A$5:$A$44,0)),""))</f>
        <v/>
      </c>
      <c r="E103" s="9" t="n"/>
      <c r="F103" s="9" t="n"/>
      <c r="G103" s="20">
        <f>IF(A103="","",MONTH(A103))</f>
        <v/>
      </c>
      <c r="H103" s="20">
        <f>IF(A103="","",YEAR(A103))</f>
        <v/>
      </c>
    </row>
    <row r="104">
      <c r="A104" s="12" t="n"/>
      <c r="B104" s="9" t="n"/>
      <c r="C104" s="10" t="n"/>
      <c r="D104" s="20">
        <f>IF(B104="","",IFERROR(INDEX(Produits!$C$5:$C$44,MATCH(B104,Produits!$A$5:$A$44,0)),""))</f>
        <v/>
      </c>
      <c r="E104" s="9" t="n"/>
      <c r="F104" s="9" t="n"/>
      <c r="G104" s="20">
        <f>IF(A104="","",MONTH(A104))</f>
        <v/>
      </c>
      <c r="H104" s="20">
        <f>IF(A104="","",YEAR(A104))</f>
        <v/>
      </c>
    </row>
    <row r="105">
      <c r="A105" s="12" t="n"/>
      <c r="B105" s="9" t="n"/>
      <c r="C105" s="10" t="n"/>
      <c r="D105" s="20">
        <f>IF(B105="","",IFERROR(INDEX(Produits!$C$5:$C$44,MATCH(B105,Produits!$A$5:$A$44,0)),""))</f>
        <v/>
      </c>
      <c r="E105" s="9" t="n"/>
      <c r="F105" s="9" t="n"/>
      <c r="G105" s="20">
        <f>IF(A105="","",MONTH(A105))</f>
        <v/>
      </c>
      <c r="H105" s="20">
        <f>IF(A105="","",YEAR(A105))</f>
        <v/>
      </c>
    </row>
    <row r="106">
      <c r="A106" s="12" t="n"/>
      <c r="B106" s="9" t="n"/>
      <c r="C106" s="10" t="n"/>
      <c r="D106" s="20">
        <f>IF(B106="","",IFERROR(INDEX(Produits!$C$5:$C$44,MATCH(B106,Produits!$A$5:$A$44,0)),""))</f>
        <v/>
      </c>
      <c r="E106" s="9" t="n"/>
      <c r="F106" s="9" t="n"/>
      <c r="G106" s="20">
        <f>IF(A106="","",MONTH(A106))</f>
        <v/>
      </c>
      <c r="H106" s="20">
        <f>IF(A106="","",YEAR(A106))</f>
        <v/>
      </c>
    </row>
    <row r="107">
      <c r="A107" s="12" t="n"/>
      <c r="B107" s="9" t="n"/>
      <c r="C107" s="10" t="n"/>
      <c r="D107" s="20">
        <f>IF(B107="","",IFERROR(INDEX(Produits!$C$5:$C$44,MATCH(B107,Produits!$A$5:$A$44,0)),""))</f>
        <v/>
      </c>
      <c r="E107" s="9" t="n"/>
      <c r="F107" s="9" t="n"/>
      <c r="G107" s="20">
        <f>IF(A107="","",MONTH(A107))</f>
        <v/>
      </c>
      <c r="H107" s="20">
        <f>IF(A107="","",YEAR(A107))</f>
        <v/>
      </c>
    </row>
    <row r="108">
      <c r="A108" s="12" t="n"/>
      <c r="B108" s="9" t="n"/>
      <c r="C108" s="10" t="n"/>
      <c r="D108" s="20">
        <f>IF(B108="","",IFERROR(INDEX(Produits!$C$5:$C$44,MATCH(B108,Produits!$A$5:$A$44,0)),""))</f>
        <v/>
      </c>
      <c r="E108" s="9" t="n"/>
      <c r="F108" s="9" t="n"/>
      <c r="G108" s="20">
        <f>IF(A108="","",MONTH(A108))</f>
        <v/>
      </c>
      <c r="H108" s="20">
        <f>IF(A108="","",YEAR(A108))</f>
        <v/>
      </c>
    </row>
    <row r="109">
      <c r="A109" s="12" t="n"/>
      <c r="B109" s="9" t="n"/>
      <c r="C109" s="10" t="n"/>
      <c r="D109" s="20">
        <f>IF(B109="","",IFERROR(INDEX(Produits!$C$5:$C$44,MATCH(B109,Produits!$A$5:$A$44,0)),""))</f>
        <v/>
      </c>
      <c r="E109" s="9" t="n"/>
      <c r="F109" s="9" t="n"/>
      <c r="G109" s="20">
        <f>IF(A109="","",MONTH(A109))</f>
        <v/>
      </c>
      <c r="H109" s="20">
        <f>IF(A109="","",YEAR(A109))</f>
        <v/>
      </c>
    </row>
    <row r="110">
      <c r="A110" s="12" t="n"/>
      <c r="B110" s="9" t="n"/>
      <c r="C110" s="10" t="n"/>
      <c r="D110" s="20">
        <f>IF(B110="","",IFERROR(INDEX(Produits!$C$5:$C$44,MATCH(B110,Produits!$A$5:$A$44,0)),""))</f>
        <v/>
      </c>
      <c r="E110" s="9" t="n"/>
      <c r="F110" s="9" t="n"/>
      <c r="G110" s="20">
        <f>IF(A110="","",MONTH(A110))</f>
        <v/>
      </c>
      <c r="H110" s="20">
        <f>IF(A110="","",YEAR(A110))</f>
        <v/>
      </c>
    </row>
    <row r="111">
      <c r="A111" s="12" t="n"/>
      <c r="B111" s="9" t="n"/>
      <c r="C111" s="10" t="n"/>
      <c r="D111" s="20">
        <f>IF(B111="","",IFERROR(INDEX(Produits!$C$5:$C$44,MATCH(B111,Produits!$A$5:$A$44,0)),""))</f>
        <v/>
      </c>
      <c r="E111" s="9" t="n"/>
      <c r="F111" s="9" t="n"/>
      <c r="G111" s="20">
        <f>IF(A111="","",MONTH(A111))</f>
        <v/>
      </c>
      <c r="H111" s="20">
        <f>IF(A111="","",YEAR(A111))</f>
        <v/>
      </c>
    </row>
    <row r="112">
      <c r="A112" s="12" t="n"/>
      <c r="B112" s="9" t="n"/>
      <c r="C112" s="10" t="n"/>
      <c r="D112" s="20">
        <f>IF(B112="","",IFERROR(INDEX(Produits!$C$5:$C$44,MATCH(B112,Produits!$A$5:$A$44,0)),""))</f>
        <v/>
      </c>
      <c r="E112" s="9" t="n"/>
      <c r="F112" s="9" t="n"/>
      <c r="G112" s="20">
        <f>IF(A112="","",MONTH(A112))</f>
        <v/>
      </c>
      <c r="H112" s="20">
        <f>IF(A112="","",YEAR(A112))</f>
        <v/>
      </c>
    </row>
    <row r="113">
      <c r="A113" s="12" t="n"/>
      <c r="B113" s="9" t="n"/>
      <c r="C113" s="10" t="n"/>
      <c r="D113" s="20">
        <f>IF(B113="","",IFERROR(INDEX(Produits!$C$5:$C$44,MATCH(B113,Produits!$A$5:$A$44,0)),""))</f>
        <v/>
      </c>
      <c r="E113" s="9" t="n"/>
      <c r="F113" s="9" t="n"/>
      <c r="G113" s="20">
        <f>IF(A113="","",MONTH(A113))</f>
        <v/>
      </c>
      <c r="H113" s="20">
        <f>IF(A113="","",YEAR(A113))</f>
        <v/>
      </c>
    </row>
    <row r="114">
      <c r="A114" s="12" t="n"/>
      <c r="B114" s="9" t="n"/>
      <c r="C114" s="10" t="n"/>
      <c r="D114" s="20">
        <f>IF(B114="","",IFERROR(INDEX(Produits!$C$5:$C$44,MATCH(B114,Produits!$A$5:$A$44,0)),""))</f>
        <v/>
      </c>
      <c r="E114" s="9" t="n"/>
      <c r="F114" s="9" t="n"/>
      <c r="G114" s="20">
        <f>IF(A114="","",MONTH(A114))</f>
        <v/>
      </c>
      <c r="H114" s="20">
        <f>IF(A114="","",YEAR(A114))</f>
        <v/>
      </c>
    </row>
    <row r="115">
      <c r="A115" s="12" t="n"/>
      <c r="B115" s="9" t="n"/>
      <c r="C115" s="10" t="n"/>
      <c r="D115" s="20">
        <f>IF(B115="","",IFERROR(INDEX(Produits!$C$5:$C$44,MATCH(B115,Produits!$A$5:$A$44,0)),""))</f>
        <v/>
      </c>
      <c r="E115" s="9" t="n"/>
      <c r="F115" s="9" t="n"/>
      <c r="G115" s="20">
        <f>IF(A115="","",MONTH(A115))</f>
        <v/>
      </c>
      <c r="H115" s="20">
        <f>IF(A115="","",YEAR(A115))</f>
        <v/>
      </c>
    </row>
    <row r="116">
      <c r="A116" s="12" t="n"/>
      <c r="B116" s="9" t="n"/>
      <c r="C116" s="10" t="n"/>
      <c r="D116" s="20">
        <f>IF(B116="","",IFERROR(INDEX(Produits!$C$5:$C$44,MATCH(B116,Produits!$A$5:$A$44,0)),""))</f>
        <v/>
      </c>
      <c r="E116" s="9" t="n"/>
      <c r="F116" s="9" t="n"/>
      <c r="G116" s="20">
        <f>IF(A116="","",MONTH(A116))</f>
        <v/>
      </c>
      <c r="H116" s="20">
        <f>IF(A116="","",YEAR(A116))</f>
        <v/>
      </c>
    </row>
    <row r="117">
      <c r="A117" s="12" t="n"/>
      <c r="B117" s="9" t="n"/>
      <c r="C117" s="10" t="n"/>
      <c r="D117" s="20">
        <f>IF(B117="","",IFERROR(INDEX(Produits!$C$5:$C$44,MATCH(B117,Produits!$A$5:$A$44,0)),""))</f>
        <v/>
      </c>
      <c r="E117" s="9" t="n"/>
      <c r="F117" s="9" t="n"/>
      <c r="G117" s="20">
        <f>IF(A117="","",MONTH(A117))</f>
        <v/>
      </c>
      <c r="H117" s="20">
        <f>IF(A117="","",YEAR(A117))</f>
        <v/>
      </c>
    </row>
    <row r="118">
      <c r="A118" s="12" t="n"/>
      <c r="B118" s="9" t="n"/>
      <c r="C118" s="10" t="n"/>
      <c r="D118" s="20">
        <f>IF(B118="","",IFERROR(INDEX(Produits!$C$5:$C$44,MATCH(B118,Produits!$A$5:$A$44,0)),""))</f>
        <v/>
      </c>
      <c r="E118" s="9" t="n"/>
      <c r="F118" s="9" t="n"/>
      <c r="G118" s="20">
        <f>IF(A118="","",MONTH(A118))</f>
        <v/>
      </c>
      <c r="H118" s="20">
        <f>IF(A118="","",YEAR(A118))</f>
        <v/>
      </c>
    </row>
    <row r="119">
      <c r="A119" s="12" t="n"/>
      <c r="B119" s="9" t="n"/>
      <c r="C119" s="10" t="n"/>
      <c r="D119" s="20">
        <f>IF(B119="","",IFERROR(INDEX(Produits!$C$5:$C$44,MATCH(B119,Produits!$A$5:$A$44,0)),""))</f>
        <v/>
      </c>
      <c r="E119" s="9" t="n"/>
      <c r="F119" s="9" t="n"/>
      <c r="G119" s="20">
        <f>IF(A119="","",MONTH(A119))</f>
        <v/>
      </c>
      <c r="H119" s="20">
        <f>IF(A119="","",YEAR(A119))</f>
        <v/>
      </c>
    </row>
    <row r="120">
      <c r="A120" s="12" t="n"/>
      <c r="B120" s="9" t="n"/>
      <c r="C120" s="10" t="n"/>
      <c r="D120" s="20">
        <f>IF(B120="","",IFERROR(INDEX(Produits!$C$5:$C$44,MATCH(B120,Produits!$A$5:$A$44,0)),""))</f>
        <v/>
      </c>
      <c r="E120" s="9" t="n"/>
      <c r="F120" s="9" t="n"/>
      <c r="G120" s="20">
        <f>IF(A120="","",MONTH(A120))</f>
        <v/>
      </c>
      <c r="H120" s="20">
        <f>IF(A120="","",YEAR(A120))</f>
        <v/>
      </c>
    </row>
    <row r="121">
      <c r="A121" s="12" t="n"/>
      <c r="B121" s="9" t="n"/>
      <c r="C121" s="10" t="n"/>
      <c r="D121" s="20">
        <f>IF(B121="","",IFERROR(INDEX(Produits!$C$5:$C$44,MATCH(B121,Produits!$A$5:$A$44,0)),""))</f>
        <v/>
      </c>
      <c r="E121" s="9" t="n"/>
      <c r="F121" s="9" t="n"/>
      <c r="G121" s="20">
        <f>IF(A121="","",MONTH(A121))</f>
        <v/>
      </c>
      <c r="H121" s="20">
        <f>IF(A121="","",YEAR(A121))</f>
        <v/>
      </c>
    </row>
    <row r="122">
      <c r="A122" s="12" t="n"/>
      <c r="B122" s="9" t="n"/>
      <c r="C122" s="10" t="n"/>
      <c r="D122" s="20">
        <f>IF(B122="","",IFERROR(INDEX(Produits!$C$5:$C$44,MATCH(B122,Produits!$A$5:$A$44,0)),""))</f>
        <v/>
      </c>
      <c r="E122" s="9" t="n"/>
      <c r="F122" s="9" t="n"/>
      <c r="G122" s="20">
        <f>IF(A122="","",MONTH(A122))</f>
        <v/>
      </c>
      <c r="H122" s="20">
        <f>IF(A122="","",YEAR(A122))</f>
        <v/>
      </c>
    </row>
    <row r="123">
      <c r="A123" s="12" t="n"/>
      <c r="B123" s="9" t="n"/>
      <c r="C123" s="10" t="n"/>
      <c r="D123" s="20">
        <f>IF(B123="","",IFERROR(INDEX(Produits!$C$5:$C$44,MATCH(B123,Produits!$A$5:$A$44,0)),""))</f>
        <v/>
      </c>
      <c r="E123" s="9" t="n"/>
      <c r="F123" s="9" t="n"/>
      <c r="G123" s="20">
        <f>IF(A123="","",MONTH(A123))</f>
        <v/>
      </c>
      <c r="H123" s="20">
        <f>IF(A123="","",YEAR(A123))</f>
        <v/>
      </c>
    </row>
    <row r="124">
      <c r="A124" s="12" t="n"/>
      <c r="B124" s="9" t="n"/>
      <c r="C124" s="10" t="n"/>
      <c r="D124" s="20">
        <f>IF(B124="","",IFERROR(INDEX(Produits!$C$5:$C$44,MATCH(B124,Produits!$A$5:$A$44,0)),""))</f>
        <v/>
      </c>
      <c r="E124" s="9" t="n"/>
      <c r="F124" s="9" t="n"/>
      <c r="G124" s="20">
        <f>IF(A124="","",MONTH(A124))</f>
        <v/>
      </c>
      <c r="H124" s="20">
        <f>IF(A124="","",YEAR(A124))</f>
        <v/>
      </c>
    </row>
    <row r="125">
      <c r="A125" s="12" t="n"/>
      <c r="B125" s="9" t="n"/>
      <c r="C125" s="10" t="n"/>
      <c r="D125" s="20">
        <f>IF(B125="","",IFERROR(INDEX(Produits!$C$5:$C$44,MATCH(B125,Produits!$A$5:$A$44,0)),""))</f>
        <v/>
      </c>
      <c r="E125" s="9" t="n"/>
      <c r="F125" s="9" t="n"/>
      <c r="G125" s="20">
        <f>IF(A125="","",MONTH(A125))</f>
        <v/>
      </c>
      <c r="H125" s="20">
        <f>IF(A125="","",YEAR(A125))</f>
        <v/>
      </c>
    </row>
    <row r="126">
      <c r="A126" s="12" t="n"/>
      <c r="B126" s="9" t="n"/>
      <c r="C126" s="10" t="n"/>
      <c r="D126" s="20">
        <f>IF(B126="","",IFERROR(INDEX(Produits!$C$5:$C$44,MATCH(B126,Produits!$A$5:$A$44,0)),""))</f>
        <v/>
      </c>
      <c r="E126" s="9" t="n"/>
      <c r="F126" s="9" t="n"/>
      <c r="G126" s="20">
        <f>IF(A126="","",MONTH(A126))</f>
        <v/>
      </c>
      <c r="H126" s="20">
        <f>IF(A126="","",YEAR(A126))</f>
        <v/>
      </c>
    </row>
    <row r="127">
      <c r="A127" s="12" t="n"/>
      <c r="B127" s="9" t="n"/>
      <c r="C127" s="10" t="n"/>
      <c r="D127" s="20">
        <f>IF(B127="","",IFERROR(INDEX(Produits!$C$5:$C$44,MATCH(B127,Produits!$A$5:$A$44,0)),""))</f>
        <v/>
      </c>
      <c r="E127" s="9" t="n"/>
      <c r="F127" s="9" t="n"/>
      <c r="G127" s="20">
        <f>IF(A127="","",MONTH(A127))</f>
        <v/>
      </c>
      <c r="H127" s="20">
        <f>IF(A127="","",YEAR(A127))</f>
        <v/>
      </c>
    </row>
    <row r="128">
      <c r="A128" s="12" t="n"/>
      <c r="B128" s="9" t="n"/>
      <c r="C128" s="10" t="n"/>
      <c r="D128" s="20">
        <f>IF(B128="","",IFERROR(INDEX(Produits!$C$5:$C$44,MATCH(B128,Produits!$A$5:$A$44,0)),""))</f>
        <v/>
      </c>
      <c r="E128" s="9" t="n"/>
      <c r="F128" s="9" t="n"/>
      <c r="G128" s="20">
        <f>IF(A128="","",MONTH(A128))</f>
        <v/>
      </c>
      <c r="H128" s="20">
        <f>IF(A128="","",YEAR(A128))</f>
        <v/>
      </c>
    </row>
    <row r="129">
      <c r="A129" s="12" t="n"/>
      <c r="B129" s="9" t="n"/>
      <c r="C129" s="10" t="n"/>
      <c r="D129" s="20">
        <f>IF(B129="","",IFERROR(INDEX(Produits!$C$5:$C$44,MATCH(B129,Produits!$A$5:$A$44,0)),""))</f>
        <v/>
      </c>
      <c r="E129" s="9" t="n"/>
      <c r="F129" s="9" t="n"/>
      <c r="G129" s="20">
        <f>IF(A129="","",MONTH(A129))</f>
        <v/>
      </c>
      <c r="H129" s="20">
        <f>IF(A129="","",YEAR(A129))</f>
        <v/>
      </c>
    </row>
    <row r="130">
      <c r="A130" s="12" t="n"/>
      <c r="B130" s="9" t="n"/>
      <c r="C130" s="10" t="n"/>
      <c r="D130" s="20">
        <f>IF(B130="","",IFERROR(INDEX(Produits!$C$5:$C$44,MATCH(B130,Produits!$A$5:$A$44,0)),""))</f>
        <v/>
      </c>
      <c r="E130" s="9" t="n"/>
      <c r="F130" s="9" t="n"/>
      <c r="G130" s="20">
        <f>IF(A130="","",MONTH(A130))</f>
        <v/>
      </c>
      <c r="H130" s="20">
        <f>IF(A130="","",YEAR(A130))</f>
        <v/>
      </c>
    </row>
    <row r="131">
      <c r="A131" s="12" t="n"/>
      <c r="B131" s="9" t="n"/>
      <c r="C131" s="10" t="n"/>
      <c r="D131" s="20">
        <f>IF(B131="","",IFERROR(INDEX(Produits!$C$5:$C$44,MATCH(B131,Produits!$A$5:$A$44,0)),""))</f>
        <v/>
      </c>
      <c r="E131" s="9" t="n"/>
      <c r="F131" s="9" t="n"/>
      <c r="G131" s="20">
        <f>IF(A131="","",MONTH(A131))</f>
        <v/>
      </c>
      <c r="H131" s="20">
        <f>IF(A131="","",YEAR(A131))</f>
        <v/>
      </c>
    </row>
    <row r="132">
      <c r="A132" s="12" t="n"/>
      <c r="B132" s="9" t="n"/>
      <c r="C132" s="10" t="n"/>
      <c r="D132" s="20">
        <f>IF(B132="","",IFERROR(INDEX(Produits!$C$5:$C$44,MATCH(B132,Produits!$A$5:$A$44,0)),""))</f>
        <v/>
      </c>
      <c r="E132" s="9" t="n"/>
      <c r="F132" s="9" t="n"/>
      <c r="G132" s="20">
        <f>IF(A132="","",MONTH(A132))</f>
        <v/>
      </c>
      <c r="H132" s="20">
        <f>IF(A132="","",YEAR(A132))</f>
        <v/>
      </c>
    </row>
    <row r="133">
      <c r="A133" s="12" t="n"/>
      <c r="B133" s="9" t="n"/>
      <c r="C133" s="10" t="n"/>
      <c r="D133" s="20">
        <f>IF(B133="","",IFERROR(INDEX(Produits!$C$5:$C$44,MATCH(B133,Produits!$A$5:$A$44,0)),""))</f>
        <v/>
      </c>
      <c r="E133" s="9" t="n"/>
      <c r="F133" s="9" t="n"/>
      <c r="G133" s="20">
        <f>IF(A133="","",MONTH(A133))</f>
        <v/>
      </c>
      <c r="H133" s="20">
        <f>IF(A133="","",YEAR(A133))</f>
        <v/>
      </c>
    </row>
    <row r="134">
      <c r="A134" s="12" t="n"/>
      <c r="B134" s="9" t="n"/>
      <c r="C134" s="10" t="n"/>
      <c r="D134" s="20">
        <f>IF(B134="","",IFERROR(INDEX(Produits!$C$5:$C$44,MATCH(B134,Produits!$A$5:$A$44,0)),""))</f>
        <v/>
      </c>
      <c r="E134" s="9" t="n"/>
      <c r="F134" s="9" t="n"/>
      <c r="G134" s="20">
        <f>IF(A134="","",MONTH(A134))</f>
        <v/>
      </c>
      <c r="H134" s="20">
        <f>IF(A134="","",YEAR(A134))</f>
        <v/>
      </c>
    </row>
    <row r="135">
      <c r="A135" s="12" t="n"/>
      <c r="B135" s="9" t="n"/>
      <c r="C135" s="10" t="n"/>
      <c r="D135" s="20">
        <f>IF(B135="","",IFERROR(INDEX(Produits!$C$5:$C$44,MATCH(B135,Produits!$A$5:$A$44,0)),""))</f>
        <v/>
      </c>
      <c r="E135" s="9" t="n"/>
      <c r="F135" s="9" t="n"/>
      <c r="G135" s="20">
        <f>IF(A135="","",MONTH(A135))</f>
        <v/>
      </c>
      <c r="H135" s="20">
        <f>IF(A135="","",YEAR(A135))</f>
        <v/>
      </c>
    </row>
    <row r="136">
      <c r="A136" s="12" t="n"/>
      <c r="B136" s="9" t="n"/>
      <c r="C136" s="10" t="n"/>
      <c r="D136" s="20">
        <f>IF(B136="","",IFERROR(INDEX(Produits!$C$5:$C$44,MATCH(B136,Produits!$A$5:$A$44,0)),""))</f>
        <v/>
      </c>
      <c r="E136" s="9" t="n"/>
      <c r="F136" s="9" t="n"/>
      <c r="G136" s="20">
        <f>IF(A136="","",MONTH(A136))</f>
        <v/>
      </c>
      <c r="H136" s="20">
        <f>IF(A136="","",YEAR(A136))</f>
        <v/>
      </c>
    </row>
    <row r="137">
      <c r="A137" s="12" t="n"/>
      <c r="B137" s="9" t="n"/>
      <c r="C137" s="10" t="n"/>
      <c r="D137" s="20">
        <f>IF(B137="","",IFERROR(INDEX(Produits!$C$5:$C$44,MATCH(B137,Produits!$A$5:$A$44,0)),""))</f>
        <v/>
      </c>
      <c r="E137" s="9" t="n"/>
      <c r="F137" s="9" t="n"/>
      <c r="G137" s="20">
        <f>IF(A137="","",MONTH(A137))</f>
        <v/>
      </c>
      <c r="H137" s="20">
        <f>IF(A137="","",YEAR(A137))</f>
        <v/>
      </c>
    </row>
    <row r="138">
      <c r="A138" s="12" t="n"/>
      <c r="B138" s="9" t="n"/>
      <c r="C138" s="10" t="n"/>
      <c r="D138" s="20">
        <f>IF(B138="","",IFERROR(INDEX(Produits!$C$5:$C$44,MATCH(B138,Produits!$A$5:$A$44,0)),""))</f>
        <v/>
      </c>
      <c r="E138" s="9" t="n"/>
      <c r="F138" s="9" t="n"/>
      <c r="G138" s="20">
        <f>IF(A138="","",MONTH(A138))</f>
        <v/>
      </c>
      <c r="H138" s="20">
        <f>IF(A138="","",YEAR(A138))</f>
        <v/>
      </c>
    </row>
    <row r="139">
      <c r="A139" s="12" t="n"/>
      <c r="B139" s="9" t="n"/>
      <c r="C139" s="10" t="n"/>
      <c r="D139" s="20">
        <f>IF(B139="","",IFERROR(INDEX(Produits!$C$5:$C$44,MATCH(B139,Produits!$A$5:$A$44,0)),""))</f>
        <v/>
      </c>
      <c r="E139" s="9" t="n"/>
      <c r="F139" s="9" t="n"/>
      <c r="G139" s="20">
        <f>IF(A139="","",MONTH(A139))</f>
        <v/>
      </c>
      <c r="H139" s="20">
        <f>IF(A139="","",YEAR(A139))</f>
        <v/>
      </c>
    </row>
    <row r="140">
      <c r="A140" s="12" t="n"/>
      <c r="B140" s="9" t="n"/>
      <c r="C140" s="10" t="n"/>
      <c r="D140" s="20">
        <f>IF(B140="","",IFERROR(INDEX(Produits!$C$5:$C$44,MATCH(B140,Produits!$A$5:$A$44,0)),""))</f>
        <v/>
      </c>
      <c r="E140" s="9" t="n"/>
      <c r="F140" s="9" t="n"/>
      <c r="G140" s="20">
        <f>IF(A140="","",MONTH(A140))</f>
        <v/>
      </c>
      <c r="H140" s="20">
        <f>IF(A140="","",YEAR(A140))</f>
        <v/>
      </c>
    </row>
    <row r="141">
      <c r="A141" s="12" t="n"/>
      <c r="B141" s="9" t="n"/>
      <c r="C141" s="10" t="n"/>
      <c r="D141" s="20">
        <f>IF(B141="","",IFERROR(INDEX(Produits!$C$5:$C$44,MATCH(B141,Produits!$A$5:$A$44,0)),""))</f>
        <v/>
      </c>
      <c r="E141" s="9" t="n"/>
      <c r="F141" s="9" t="n"/>
      <c r="G141" s="20">
        <f>IF(A141="","",MONTH(A141))</f>
        <v/>
      </c>
      <c r="H141" s="20">
        <f>IF(A141="","",YEAR(A141))</f>
        <v/>
      </c>
    </row>
    <row r="142">
      <c r="A142" s="12" t="n"/>
      <c r="B142" s="9" t="n"/>
      <c r="C142" s="10" t="n"/>
      <c r="D142" s="20">
        <f>IF(B142="","",IFERROR(INDEX(Produits!$C$5:$C$44,MATCH(B142,Produits!$A$5:$A$44,0)),""))</f>
        <v/>
      </c>
      <c r="E142" s="9" t="n"/>
      <c r="F142" s="9" t="n"/>
      <c r="G142" s="20">
        <f>IF(A142="","",MONTH(A142))</f>
        <v/>
      </c>
      <c r="H142" s="20">
        <f>IF(A142="","",YEAR(A142))</f>
        <v/>
      </c>
    </row>
    <row r="143">
      <c r="A143" s="12" t="n"/>
      <c r="B143" s="9" t="n"/>
      <c r="C143" s="10" t="n"/>
      <c r="D143" s="20">
        <f>IF(B143="","",IFERROR(INDEX(Produits!$C$5:$C$44,MATCH(B143,Produits!$A$5:$A$44,0)),""))</f>
        <v/>
      </c>
      <c r="E143" s="9" t="n"/>
      <c r="F143" s="9" t="n"/>
      <c r="G143" s="20">
        <f>IF(A143="","",MONTH(A143))</f>
        <v/>
      </c>
      <c r="H143" s="20">
        <f>IF(A143="","",YEAR(A143))</f>
        <v/>
      </c>
    </row>
    <row r="144">
      <c r="A144" s="12" t="n"/>
      <c r="B144" s="9" t="n"/>
      <c r="C144" s="10" t="n"/>
      <c r="D144" s="20">
        <f>IF(B144="","",IFERROR(INDEX(Produits!$C$5:$C$44,MATCH(B144,Produits!$A$5:$A$44,0)),""))</f>
        <v/>
      </c>
      <c r="E144" s="9" t="n"/>
      <c r="F144" s="9" t="n"/>
      <c r="G144" s="20">
        <f>IF(A144="","",MONTH(A144))</f>
        <v/>
      </c>
      <c r="H144" s="20">
        <f>IF(A144="","",YEAR(A144))</f>
        <v/>
      </c>
    </row>
    <row r="145">
      <c r="A145" s="12" t="n"/>
      <c r="B145" s="9" t="n"/>
      <c r="C145" s="10" t="n"/>
      <c r="D145" s="20">
        <f>IF(B145="","",IFERROR(INDEX(Produits!$C$5:$C$44,MATCH(B145,Produits!$A$5:$A$44,0)),""))</f>
        <v/>
      </c>
      <c r="E145" s="9" t="n"/>
      <c r="F145" s="9" t="n"/>
      <c r="G145" s="20">
        <f>IF(A145="","",MONTH(A145))</f>
        <v/>
      </c>
      <c r="H145" s="20">
        <f>IF(A145="","",YEAR(A145))</f>
        <v/>
      </c>
    </row>
    <row r="146">
      <c r="A146" s="12" t="n"/>
      <c r="B146" s="9" t="n"/>
      <c r="C146" s="10" t="n"/>
      <c r="D146" s="20">
        <f>IF(B146="","",IFERROR(INDEX(Produits!$C$5:$C$44,MATCH(B146,Produits!$A$5:$A$44,0)),""))</f>
        <v/>
      </c>
      <c r="E146" s="9" t="n"/>
      <c r="F146" s="9" t="n"/>
      <c r="G146" s="20">
        <f>IF(A146="","",MONTH(A146))</f>
        <v/>
      </c>
      <c r="H146" s="20">
        <f>IF(A146="","",YEAR(A146))</f>
        <v/>
      </c>
    </row>
    <row r="147">
      <c r="A147" s="12" t="n"/>
      <c r="B147" s="9" t="n"/>
      <c r="C147" s="10" t="n"/>
      <c r="D147" s="20">
        <f>IF(B147="","",IFERROR(INDEX(Produits!$C$5:$C$44,MATCH(B147,Produits!$A$5:$A$44,0)),""))</f>
        <v/>
      </c>
      <c r="E147" s="9" t="n"/>
      <c r="F147" s="9" t="n"/>
      <c r="G147" s="20">
        <f>IF(A147="","",MONTH(A147))</f>
        <v/>
      </c>
      <c r="H147" s="20">
        <f>IF(A147="","",YEAR(A147))</f>
        <v/>
      </c>
    </row>
    <row r="148">
      <c r="A148" s="12" t="n"/>
      <c r="B148" s="9" t="n"/>
      <c r="C148" s="10" t="n"/>
      <c r="D148" s="20">
        <f>IF(B148="","",IFERROR(INDEX(Produits!$C$5:$C$44,MATCH(B148,Produits!$A$5:$A$44,0)),""))</f>
        <v/>
      </c>
      <c r="E148" s="9" t="n"/>
      <c r="F148" s="9" t="n"/>
      <c r="G148" s="20">
        <f>IF(A148="","",MONTH(A148))</f>
        <v/>
      </c>
      <c r="H148" s="20">
        <f>IF(A148="","",YEAR(A148))</f>
        <v/>
      </c>
    </row>
    <row r="149">
      <c r="A149" s="12" t="n"/>
      <c r="B149" s="9" t="n"/>
      <c r="C149" s="10" t="n"/>
      <c r="D149" s="20">
        <f>IF(B149="","",IFERROR(INDEX(Produits!$C$5:$C$44,MATCH(B149,Produits!$A$5:$A$44,0)),""))</f>
        <v/>
      </c>
      <c r="E149" s="9" t="n"/>
      <c r="F149" s="9" t="n"/>
      <c r="G149" s="20">
        <f>IF(A149="","",MONTH(A149))</f>
        <v/>
      </c>
      <c r="H149" s="20">
        <f>IF(A149="","",YEAR(A149))</f>
        <v/>
      </c>
    </row>
    <row r="150">
      <c r="A150" s="12" t="n"/>
      <c r="B150" s="9" t="n"/>
      <c r="C150" s="10" t="n"/>
      <c r="D150" s="20">
        <f>IF(B150="","",IFERROR(INDEX(Produits!$C$5:$C$44,MATCH(B150,Produits!$A$5:$A$44,0)),""))</f>
        <v/>
      </c>
      <c r="E150" s="9" t="n"/>
      <c r="F150" s="9" t="n"/>
      <c r="G150" s="20">
        <f>IF(A150="","",MONTH(A150))</f>
        <v/>
      </c>
      <c r="H150" s="20">
        <f>IF(A150="","",YEAR(A150))</f>
        <v/>
      </c>
    </row>
    <row r="151">
      <c r="A151" s="12" t="n"/>
      <c r="B151" s="9" t="n"/>
      <c r="C151" s="10" t="n"/>
      <c r="D151" s="20">
        <f>IF(B151="","",IFERROR(INDEX(Produits!$C$5:$C$44,MATCH(B151,Produits!$A$5:$A$44,0)),""))</f>
        <v/>
      </c>
      <c r="E151" s="9" t="n"/>
      <c r="F151" s="9" t="n"/>
      <c r="G151" s="20">
        <f>IF(A151="","",MONTH(A151))</f>
        <v/>
      </c>
      <c r="H151" s="20">
        <f>IF(A151="","",YEAR(A151))</f>
        <v/>
      </c>
    </row>
    <row r="152">
      <c r="A152" s="12" t="n"/>
      <c r="B152" s="9" t="n"/>
      <c r="C152" s="10" t="n"/>
      <c r="D152" s="20">
        <f>IF(B152="","",IFERROR(INDEX(Produits!$C$5:$C$44,MATCH(B152,Produits!$A$5:$A$44,0)),""))</f>
        <v/>
      </c>
      <c r="E152" s="9" t="n"/>
      <c r="F152" s="9" t="n"/>
      <c r="G152" s="20">
        <f>IF(A152="","",MONTH(A152))</f>
        <v/>
      </c>
      <c r="H152" s="20">
        <f>IF(A152="","",YEAR(A152))</f>
        <v/>
      </c>
    </row>
    <row r="153">
      <c r="A153" s="12" t="n"/>
      <c r="B153" s="9" t="n"/>
      <c r="C153" s="10" t="n"/>
      <c r="D153" s="20">
        <f>IF(B153="","",IFERROR(INDEX(Produits!$C$5:$C$44,MATCH(B153,Produits!$A$5:$A$44,0)),""))</f>
        <v/>
      </c>
      <c r="E153" s="9" t="n"/>
      <c r="F153" s="9" t="n"/>
      <c r="G153" s="20">
        <f>IF(A153="","",MONTH(A153))</f>
        <v/>
      </c>
      <c r="H153" s="20">
        <f>IF(A153="","",YEAR(A153))</f>
        <v/>
      </c>
    </row>
    <row r="154">
      <c r="A154" s="12" t="n"/>
      <c r="B154" s="9" t="n"/>
      <c r="C154" s="10" t="n"/>
      <c r="D154" s="20">
        <f>IF(B154="","",IFERROR(INDEX(Produits!$C$5:$C$44,MATCH(B154,Produits!$A$5:$A$44,0)),""))</f>
        <v/>
      </c>
      <c r="E154" s="9" t="n"/>
      <c r="F154" s="9" t="n"/>
      <c r="G154" s="20">
        <f>IF(A154="","",MONTH(A154))</f>
        <v/>
      </c>
      <c r="H154" s="20">
        <f>IF(A154="","",YEAR(A154))</f>
        <v/>
      </c>
    </row>
  </sheetData>
  <dataValidations count="3">
    <dataValidation sqref="B5:B154" showDropDown="0" showInputMessage="0" showErrorMessage="0" allowBlank="1" type="list">
      <formula1>=Produits!$A$5:$A$44</formula1>
    </dataValidation>
    <dataValidation sqref="E5:E154" showDropDown="0" showInputMessage="0" showErrorMessage="0" allowBlank="1" type="list">
      <formula1>"Périmé,Raté,Cassé / renversé,Dégustation,Autre"</formula1>
    </dataValidation>
    <dataValidation sqref="C5:C15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</cols>
  <sheetData>
    <row r="1" ht="26" customHeight="1">
      <c r="A1" s="1" t="inlineStr">
        <is>
          <t>Bilan des pertes</t>
        </is>
      </c>
    </row>
    <row r="2">
      <c r="A2" s="2" t="inlineStr">
        <is>
          <t>Tape le mois et l'année dans les cases jaunes</t>
        </is>
      </c>
    </row>
    <row r="3">
      <c r="A3" s="15" t="inlineStr">
        <is>
          <t>Mois (1 à 12)</t>
        </is>
      </c>
      <c r="B3" s="10" t="n">
        <v>10</v>
      </c>
      <c r="C3" s="15" t="inlineStr">
        <is>
          <t>Année</t>
        </is>
      </c>
      <c r="D3" s="10" t="n">
        <v>2026</v>
      </c>
    </row>
    <row r="5">
      <c r="A5" s="6" t="inlineStr">
        <is>
          <t>Produit</t>
        </is>
      </c>
      <c r="B5" s="6" t="inlineStr">
        <is>
          <t>Unité</t>
        </is>
      </c>
      <c r="C5" s="6" t="inlineStr">
        <is>
          <t>Périmé</t>
        </is>
      </c>
      <c r="D5" s="6" t="inlineStr">
        <is>
          <t>Raté</t>
        </is>
      </c>
      <c r="E5" s="6" t="inlineStr">
        <is>
          <t>Cassé / renversé</t>
        </is>
      </c>
      <c r="F5" s="6" t="inlineStr">
        <is>
          <t>Dégustation</t>
        </is>
      </c>
      <c r="G5" s="6" t="inlineStr">
        <is>
          <t>Autre</t>
        </is>
      </c>
      <c r="H5" s="6" t="inlineStr">
        <is>
          <t>Total perdu</t>
        </is>
      </c>
    </row>
    <row r="6">
      <c r="A6" s="15">
        <f>IF(Produits!$A$5="","",Produits!$A$5)</f>
        <v/>
      </c>
      <c r="B6" s="17">
        <f>IF(Produits!$A$5="","",Produits!$C$5)</f>
        <v/>
      </c>
      <c r="C6" s="20">
        <f>IF($A6="","",IF(SUMIFS(Pertes!$C$5:$C$154,Pertes!$B$5:$B$154,$A6,Pertes!$E$5:$E$154,"Périmé",Pertes!$G$5:$G$154,$B$3,Pertes!$H$5:$H$154,$D$3)=0,"",SUMIFS(Pertes!$C$5:$C$154,Pertes!$B$5:$B$154,$A6,Pertes!$E$5:$E$154,"Périmé",Pertes!$G$5:$G$154,$B$3,Pertes!$H$5:$H$154,$D$3)))</f>
        <v/>
      </c>
      <c r="D6" s="20">
        <f>IF($A6="","",IF(SUMIFS(Pertes!$C$5:$C$154,Pertes!$B$5:$B$154,$A6,Pertes!$E$5:$E$154,"Raté",Pertes!$G$5:$G$154,$B$3,Pertes!$H$5:$H$154,$D$3)=0,"",SUMIFS(Pertes!$C$5:$C$154,Pertes!$B$5:$B$154,$A6,Pertes!$E$5:$E$154,"Raté",Pertes!$G$5:$G$154,$B$3,Pertes!$H$5:$H$154,$D$3)))</f>
        <v/>
      </c>
      <c r="E6" s="20">
        <f>IF($A6="","",IF(SUMIFS(Pertes!$C$5:$C$154,Pertes!$B$5:$B$154,$A6,Pertes!$E$5:$E$154,"Cassé / renversé",Pertes!$G$5:$G$154,$B$3,Pertes!$H$5:$H$154,$D$3)=0,"",SUMIFS(Pertes!$C$5:$C$154,Pertes!$B$5:$B$154,$A6,Pertes!$E$5:$E$154,"Cassé / renversé",Pertes!$G$5:$G$154,$B$3,Pertes!$H$5:$H$154,$D$3)))</f>
        <v/>
      </c>
      <c r="F6" s="20">
        <f>IF($A6="","",IF(SUMIFS(Pertes!$C$5:$C$154,Pertes!$B$5:$B$154,$A6,Pertes!$E$5:$E$154,"Dégustation",Pertes!$G$5:$G$154,$B$3,Pertes!$H$5:$H$154,$D$3)=0,"",SUMIFS(Pertes!$C$5:$C$154,Pertes!$B$5:$B$154,$A6,Pertes!$E$5:$E$154,"Dégustation",Pertes!$G$5:$G$154,$B$3,Pertes!$H$5:$H$154,$D$3)))</f>
        <v/>
      </c>
      <c r="G6" s="20">
        <f>IF($A6="","",IF(SUMIFS(Pertes!$C$5:$C$154,Pertes!$B$5:$B$154,$A6,Pertes!$E$5:$E$154,"Autre",Pertes!$G$5:$G$154,$B$3,Pertes!$H$5:$H$154,$D$3)=0,"",SUMIFS(Pertes!$C$5:$C$154,Pertes!$B$5:$B$154,$A6,Pertes!$E$5:$E$154,"Autre",Pertes!$G$5:$G$154,$B$3,Pertes!$H$5:$H$154,$D$3)))</f>
        <v/>
      </c>
      <c r="H6" s="18">
        <f>IF(COUNT(C6:G6)=0,"",SUM(C6:G6))</f>
        <v/>
      </c>
    </row>
    <row r="7">
      <c r="A7" s="15">
        <f>IF(Produits!$A$6="","",Produits!$A$6)</f>
        <v/>
      </c>
      <c r="B7" s="17">
        <f>IF(Produits!$A$6="","",Produits!$C$6)</f>
        <v/>
      </c>
      <c r="C7" s="20">
        <f>IF($A7="","",IF(SUMIFS(Pertes!$C$5:$C$154,Pertes!$B$5:$B$154,$A7,Pertes!$E$5:$E$154,"Périmé",Pertes!$G$5:$G$154,$B$3,Pertes!$H$5:$H$154,$D$3)=0,"",SUMIFS(Pertes!$C$5:$C$154,Pertes!$B$5:$B$154,$A7,Pertes!$E$5:$E$154,"Périmé",Pertes!$G$5:$G$154,$B$3,Pertes!$H$5:$H$154,$D$3)))</f>
        <v/>
      </c>
      <c r="D7" s="20">
        <f>IF($A7="","",IF(SUMIFS(Pertes!$C$5:$C$154,Pertes!$B$5:$B$154,$A7,Pertes!$E$5:$E$154,"Raté",Pertes!$G$5:$G$154,$B$3,Pertes!$H$5:$H$154,$D$3)=0,"",SUMIFS(Pertes!$C$5:$C$154,Pertes!$B$5:$B$154,$A7,Pertes!$E$5:$E$154,"Raté",Pertes!$G$5:$G$154,$B$3,Pertes!$H$5:$H$154,$D$3)))</f>
        <v/>
      </c>
      <c r="E7" s="20">
        <f>IF($A7="","",IF(SUMIFS(Pertes!$C$5:$C$154,Pertes!$B$5:$B$154,$A7,Pertes!$E$5:$E$154,"Cassé / renversé",Pertes!$G$5:$G$154,$B$3,Pertes!$H$5:$H$154,$D$3)=0,"",SUMIFS(Pertes!$C$5:$C$154,Pertes!$B$5:$B$154,$A7,Pertes!$E$5:$E$154,"Cassé / renversé",Pertes!$G$5:$G$154,$B$3,Pertes!$H$5:$H$154,$D$3)))</f>
        <v/>
      </c>
      <c r="F7" s="20">
        <f>IF($A7="","",IF(SUMIFS(Pertes!$C$5:$C$154,Pertes!$B$5:$B$154,$A7,Pertes!$E$5:$E$154,"Dégustation",Pertes!$G$5:$G$154,$B$3,Pertes!$H$5:$H$154,$D$3)=0,"",SUMIFS(Pertes!$C$5:$C$154,Pertes!$B$5:$B$154,$A7,Pertes!$E$5:$E$154,"Dégustation",Pertes!$G$5:$G$154,$B$3,Pertes!$H$5:$H$154,$D$3)))</f>
        <v/>
      </c>
      <c r="G7" s="20">
        <f>IF($A7="","",IF(SUMIFS(Pertes!$C$5:$C$154,Pertes!$B$5:$B$154,$A7,Pertes!$E$5:$E$154,"Autre",Pertes!$G$5:$G$154,$B$3,Pertes!$H$5:$H$154,$D$3)=0,"",SUMIFS(Pertes!$C$5:$C$154,Pertes!$B$5:$B$154,$A7,Pertes!$E$5:$E$154,"Autre",Pertes!$G$5:$G$154,$B$3,Pertes!$H$5:$H$154,$D$3)))</f>
        <v/>
      </c>
      <c r="H7" s="18">
        <f>IF(COUNT(C7:G7)=0,"",SUM(C7:G7))</f>
        <v/>
      </c>
    </row>
    <row r="8">
      <c r="A8" s="15">
        <f>IF(Produits!$A$7="","",Produits!$A$7)</f>
        <v/>
      </c>
      <c r="B8" s="17">
        <f>IF(Produits!$A$7="","",Produits!$C$7)</f>
        <v/>
      </c>
      <c r="C8" s="20">
        <f>IF($A8="","",IF(SUMIFS(Pertes!$C$5:$C$154,Pertes!$B$5:$B$154,$A8,Pertes!$E$5:$E$154,"Périmé",Pertes!$G$5:$G$154,$B$3,Pertes!$H$5:$H$154,$D$3)=0,"",SUMIFS(Pertes!$C$5:$C$154,Pertes!$B$5:$B$154,$A8,Pertes!$E$5:$E$154,"Périmé",Pertes!$G$5:$G$154,$B$3,Pertes!$H$5:$H$154,$D$3)))</f>
        <v/>
      </c>
      <c r="D8" s="20">
        <f>IF($A8="","",IF(SUMIFS(Pertes!$C$5:$C$154,Pertes!$B$5:$B$154,$A8,Pertes!$E$5:$E$154,"Raté",Pertes!$G$5:$G$154,$B$3,Pertes!$H$5:$H$154,$D$3)=0,"",SUMIFS(Pertes!$C$5:$C$154,Pertes!$B$5:$B$154,$A8,Pertes!$E$5:$E$154,"Raté",Pertes!$G$5:$G$154,$B$3,Pertes!$H$5:$H$154,$D$3)))</f>
        <v/>
      </c>
      <c r="E8" s="20">
        <f>IF($A8="","",IF(SUMIFS(Pertes!$C$5:$C$154,Pertes!$B$5:$B$154,$A8,Pertes!$E$5:$E$154,"Cassé / renversé",Pertes!$G$5:$G$154,$B$3,Pertes!$H$5:$H$154,$D$3)=0,"",SUMIFS(Pertes!$C$5:$C$154,Pertes!$B$5:$B$154,$A8,Pertes!$E$5:$E$154,"Cassé / renversé",Pertes!$G$5:$G$154,$B$3,Pertes!$H$5:$H$154,$D$3)))</f>
        <v/>
      </c>
      <c r="F8" s="20">
        <f>IF($A8="","",IF(SUMIFS(Pertes!$C$5:$C$154,Pertes!$B$5:$B$154,$A8,Pertes!$E$5:$E$154,"Dégustation",Pertes!$G$5:$G$154,$B$3,Pertes!$H$5:$H$154,$D$3)=0,"",SUMIFS(Pertes!$C$5:$C$154,Pertes!$B$5:$B$154,$A8,Pertes!$E$5:$E$154,"Dégustation",Pertes!$G$5:$G$154,$B$3,Pertes!$H$5:$H$154,$D$3)))</f>
        <v/>
      </c>
      <c r="G8" s="20">
        <f>IF($A8="","",IF(SUMIFS(Pertes!$C$5:$C$154,Pertes!$B$5:$B$154,$A8,Pertes!$E$5:$E$154,"Autre",Pertes!$G$5:$G$154,$B$3,Pertes!$H$5:$H$154,$D$3)=0,"",SUMIFS(Pertes!$C$5:$C$154,Pertes!$B$5:$B$154,$A8,Pertes!$E$5:$E$154,"Autre",Pertes!$G$5:$G$154,$B$3,Pertes!$H$5:$H$154,$D$3)))</f>
        <v/>
      </c>
      <c r="H8" s="18">
        <f>IF(COUNT(C8:G8)=0,"",SUM(C8:G8))</f>
        <v/>
      </c>
    </row>
    <row r="9">
      <c r="A9" s="15">
        <f>IF(Produits!$A$8="","",Produits!$A$8)</f>
        <v/>
      </c>
      <c r="B9" s="17">
        <f>IF(Produits!$A$8="","",Produits!$C$8)</f>
        <v/>
      </c>
      <c r="C9" s="20">
        <f>IF($A9="","",IF(SUMIFS(Pertes!$C$5:$C$154,Pertes!$B$5:$B$154,$A9,Pertes!$E$5:$E$154,"Périmé",Pertes!$G$5:$G$154,$B$3,Pertes!$H$5:$H$154,$D$3)=0,"",SUMIFS(Pertes!$C$5:$C$154,Pertes!$B$5:$B$154,$A9,Pertes!$E$5:$E$154,"Périmé",Pertes!$G$5:$G$154,$B$3,Pertes!$H$5:$H$154,$D$3)))</f>
        <v/>
      </c>
      <c r="D9" s="20">
        <f>IF($A9="","",IF(SUMIFS(Pertes!$C$5:$C$154,Pertes!$B$5:$B$154,$A9,Pertes!$E$5:$E$154,"Raté",Pertes!$G$5:$G$154,$B$3,Pertes!$H$5:$H$154,$D$3)=0,"",SUMIFS(Pertes!$C$5:$C$154,Pertes!$B$5:$B$154,$A9,Pertes!$E$5:$E$154,"Raté",Pertes!$G$5:$G$154,$B$3,Pertes!$H$5:$H$154,$D$3)))</f>
        <v/>
      </c>
      <c r="E9" s="20">
        <f>IF($A9="","",IF(SUMIFS(Pertes!$C$5:$C$154,Pertes!$B$5:$B$154,$A9,Pertes!$E$5:$E$154,"Cassé / renversé",Pertes!$G$5:$G$154,$B$3,Pertes!$H$5:$H$154,$D$3)=0,"",SUMIFS(Pertes!$C$5:$C$154,Pertes!$B$5:$B$154,$A9,Pertes!$E$5:$E$154,"Cassé / renversé",Pertes!$G$5:$G$154,$B$3,Pertes!$H$5:$H$154,$D$3)))</f>
        <v/>
      </c>
      <c r="F9" s="20">
        <f>IF($A9="","",IF(SUMIFS(Pertes!$C$5:$C$154,Pertes!$B$5:$B$154,$A9,Pertes!$E$5:$E$154,"Dégustation",Pertes!$G$5:$G$154,$B$3,Pertes!$H$5:$H$154,$D$3)=0,"",SUMIFS(Pertes!$C$5:$C$154,Pertes!$B$5:$B$154,$A9,Pertes!$E$5:$E$154,"Dégustation",Pertes!$G$5:$G$154,$B$3,Pertes!$H$5:$H$154,$D$3)))</f>
        <v/>
      </c>
      <c r="G9" s="20">
        <f>IF($A9="","",IF(SUMIFS(Pertes!$C$5:$C$154,Pertes!$B$5:$B$154,$A9,Pertes!$E$5:$E$154,"Autre",Pertes!$G$5:$G$154,$B$3,Pertes!$H$5:$H$154,$D$3)=0,"",SUMIFS(Pertes!$C$5:$C$154,Pertes!$B$5:$B$154,$A9,Pertes!$E$5:$E$154,"Autre",Pertes!$G$5:$G$154,$B$3,Pertes!$H$5:$H$154,$D$3)))</f>
        <v/>
      </c>
      <c r="H9" s="18">
        <f>IF(COUNT(C9:G9)=0,"",SUM(C9:G9))</f>
        <v/>
      </c>
    </row>
    <row r="10">
      <c r="A10" s="15">
        <f>IF(Produits!$A$9="","",Produits!$A$9)</f>
        <v/>
      </c>
      <c r="B10" s="17">
        <f>IF(Produits!$A$9="","",Produits!$C$9)</f>
        <v/>
      </c>
      <c r="C10" s="20">
        <f>IF($A10="","",IF(SUMIFS(Pertes!$C$5:$C$154,Pertes!$B$5:$B$154,$A10,Pertes!$E$5:$E$154,"Périmé",Pertes!$G$5:$G$154,$B$3,Pertes!$H$5:$H$154,$D$3)=0,"",SUMIFS(Pertes!$C$5:$C$154,Pertes!$B$5:$B$154,$A10,Pertes!$E$5:$E$154,"Périmé",Pertes!$G$5:$G$154,$B$3,Pertes!$H$5:$H$154,$D$3)))</f>
        <v/>
      </c>
      <c r="D10" s="20">
        <f>IF($A10="","",IF(SUMIFS(Pertes!$C$5:$C$154,Pertes!$B$5:$B$154,$A10,Pertes!$E$5:$E$154,"Raté",Pertes!$G$5:$G$154,$B$3,Pertes!$H$5:$H$154,$D$3)=0,"",SUMIFS(Pertes!$C$5:$C$154,Pertes!$B$5:$B$154,$A10,Pertes!$E$5:$E$154,"Raté",Pertes!$G$5:$G$154,$B$3,Pertes!$H$5:$H$154,$D$3)))</f>
        <v/>
      </c>
      <c r="E10" s="20">
        <f>IF($A10="","",IF(SUMIFS(Pertes!$C$5:$C$154,Pertes!$B$5:$B$154,$A10,Pertes!$E$5:$E$154,"Cassé / renversé",Pertes!$G$5:$G$154,$B$3,Pertes!$H$5:$H$154,$D$3)=0,"",SUMIFS(Pertes!$C$5:$C$154,Pertes!$B$5:$B$154,$A10,Pertes!$E$5:$E$154,"Cassé / renversé",Pertes!$G$5:$G$154,$B$3,Pertes!$H$5:$H$154,$D$3)))</f>
        <v/>
      </c>
      <c r="F10" s="20">
        <f>IF($A10="","",IF(SUMIFS(Pertes!$C$5:$C$154,Pertes!$B$5:$B$154,$A10,Pertes!$E$5:$E$154,"Dégustation",Pertes!$G$5:$G$154,$B$3,Pertes!$H$5:$H$154,$D$3)=0,"",SUMIFS(Pertes!$C$5:$C$154,Pertes!$B$5:$B$154,$A10,Pertes!$E$5:$E$154,"Dégustation",Pertes!$G$5:$G$154,$B$3,Pertes!$H$5:$H$154,$D$3)))</f>
        <v/>
      </c>
      <c r="G10" s="20">
        <f>IF($A10="","",IF(SUMIFS(Pertes!$C$5:$C$154,Pertes!$B$5:$B$154,$A10,Pertes!$E$5:$E$154,"Autre",Pertes!$G$5:$G$154,$B$3,Pertes!$H$5:$H$154,$D$3)=0,"",SUMIFS(Pertes!$C$5:$C$154,Pertes!$B$5:$B$154,$A10,Pertes!$E$5:$E$154,"Autre",Pertes!$G$5:$G$154,$B$3,Pertes!$H$5:$H$154,$D$3)))</f>
        <v/>
      </c>
      <c r="H10" s="18">
        <f>IF(COUNT(C10:G10)=0,"",SUM(C10:G10))</f>
        <v/>
      </c>
    </row>
    <row r="11">
      <c r="A11" s="15">
        <f>IF(Produits!$A$10="","",Produits!$A$10)</f>
        <v/>
      </c>
      <c r="B11" s="17">
        <f>IF(Produits!$A$10="","",Produits!$C$10)</f>
        <v/>
      </c>
      <c r="C11" s="20">
        <f>IF($A11="","",IF(SUMIFS(Pertes!$C$5:$C$154,Pertes!$B$5:$B$154,$A11,Pertes!$E$5:$E$154,"Périmé",Pertes!$G$5:$G$154,$B$3,Pertes!$H$5:$H$154,$D$3)=0,"",SUMIFS(Pertes!$C$5:$C$154,Pertes!$B$5:$B$154,$A11,Pertes!$E$5:$E$154,"Périmé",Pertes!$G$5:$G$154,$B$3,Pertes!$H$5:$H$154,$D$3)))</f>
        <v/>
      </c>
      <c r="D11" s="20">
        <f>IF($A11="","",IF(SUMIFS(Pertes!$C$5:$C$154,Pertes!$B$5:$B$154,$A11,Pertes!$E$5:$E$154,"Raté",Pertes!$G$5:$G$154,$B$3,Pertes!$H$5:$H$154,$D$3)=0,"",SUMIFS(Pertes!$C$5:$C$154,Pertes!$B$5:$B$154,$A11,Pertes!$E$5:$E$154,"Raté",Pertes!$G$5:$G$154,$B$3,Pertes!$H$5:$H$154,$D$3)))</f>
        <v/>
      </c>
      <c r="E11" s="20">
        <f>IF($A11="","",IF(SUMIFS(Pertes!$C$5:$C$154,Pertes!$B$5:$B$154,$A11,Pertes!$E$5:$E$154,"Cassé / renversé",Pertes!$G$5:$G$154,$B$3,Pertes!$H$5:$H$154,$D$3)=0,"",SUMIFS(Pertes!$C$5:$C$154,Pertes!$B$5:$B$154,$A11,Pertes!$E$5:$E$154,"Cassé / renversé",Pertes!$G$5:$G$154,$B$3,Pertes!$H$5:$H$154,$D$3)))</f>
        <v/>
      </c>
      <c r="F11" s="20">
        <f>IF($A11="","",IF(SUMIFS(Pertes!$C$5:$C$154,Pertes!$B$5:$B$154,$A11,Pertes!$E$5:$E$154,"Dégustation",Pertes!$G$5:$G$154,$B$3,Pertes!$H$5:$H$154,$D$3)=0,"",SUMIFS(Pertes!$C$5:$C$154,Pertes!$B$5:$B$154,$A11,Pertes!$E$5:$E$154,"Dégustation",Pertes!$G$5:$G$154,$B$3,Pertes!$H$5:$H$154,$D$3)))</f>
        <v/>
      </c>
      <c r="G11" s="20">
        <f>IF($A11="","",IF(SUMIFS(Pertes!$C$5:$C$154,Pertes!$B$5:$B$154,$A11,Pertes!$E$5:$E$154,"Autre",Pertes!$G$5:$G$154,$B$3,Pertes!$H$5:$H$154,$D$3)=0,"",SUMIFS(Pertes!$C$5:$C$154,Pertes!$B$5:$B$154,$A11,Pertes!$E$5:$E$154,"Autre",Pertes!$G$5:$G$154,$B$3,Pertes!$H$5:$H$154,$D$3)))</f>
        <v/>
      </c>
      <c r="H11" s="18">
        <f>IF(COUNT(C11:G11)=0,"",SUM(C11:G11))</f>
        <v/>
      </c>
    </row>
    <row r="12">
      <c r="A12" s="15">
        <f>IF(Produits!$A$11="","",Produits!$A$11)</f>
        <v/>
      </c>
      <c r="B12" s="17">
        <f>IF(Produits!$A$11="","",Produits!$C$11)</f>
        <v/>
      </c>
      <c r="C12" s="20">
        <f>IF($A12="","",IF(SUMIFS(Pertes!$C$5:$C$154,Pertes!$B$5:$B$154,$A12,Pertes!$E$5:$E$154,"Périmé",Pertes!$G$5:$G$154,$B$3,Pertes!$H$5:$H$154,$D$3)=0,"",SUMIFS(Pertes!$C$5:$C$154,Pertes!$B$5:$B$154,$A12,Pertes!$E$5:$E$154,"Périmé",Pertes!$G$5:$G$154,$B$3,Pertes!$H$5:$H$154,$D$3)))</f>
        <v/>
      </c>
      <c r="D12" s="20">
        <f>IF($A12="","",IF(SUMIFS(Pertes!$C$5:$C$154,Pertes!$B$5:$B$154,$A12,Pertes!$E$5:$E$154,"Raté",Pertes!$G$5:$G$154,$B$3,Pertes!$H$5:$H$154,$D$3)=0,"",SUMIFS(Pertes!$C$5:$C$154,Pertes!$B$5:$B$154,$A12,Pertes!$E$5:$E$154,"Raté",Pertes!$G$5:$G$154,$B$3,Pertes!$H$5:$H$154,$D$3)))</f>
        <v/>
      </c>
      <c r="E12" s="20">
        <f>IF($A12="","",IF(SUMIFS(Pertes!$C$5:$C$154,Pertes!$B$5:$B$154,$A12,Pertes!$E$5:$E$154,"Cassé / renversé",Pertes!$G$5:$G$154,$B$3,Pertes!$H$5:$H$154,$D$3)=0,"",SUMIFS(Pertes!$C$5:$C$154,Pertes!$B$5:$B$154,$A12,Pertes!$E$5:$E$154,"Cassé / renversé",Pertes!$G$5:$G$154,$B$3,Pertes!$H$5:$H$154,$D$3)))</f>
        <v/>
      </c>
      <c r="F12" s="20">
        <f>IF($A12="","",IF(SUMIFS(Pertes!$C$5:$C$154,Pertes!$B$5:$B$154,$A12,Pertes!$E$5:$E$154,"Dégustation",Pertes!$G$5:$G$154,$B$3,Pertes!$H$5:$H$154,$D$3)=0,"",SUMIFS(Pertes!$C$5:$C$154,Pertes!$B$5:$B$154,$A12,Pertes!$E$5:$E$154,"Dégustation",Pertes!$G$5:$G$154,$B$3,Pertes!$H$5:$H$154,$D$3)))</f>
        <v/>
      </c>
      <c r="G12" s="20">
        <f>IF($A12="","",IF(SUMIFS(Pertes!$C$5:$C$154,Pertes!$B$5:$B$154,$A12,Pertes!$E$5:$E$154,"Autre",Pertes!$G$5:$G$154,$B$3,Pertes!$H$5:$H$154,$D$3)=0,"",SUMIFS(Pertes!$C$5:$C$154,Pertes!$B$5:$B$154,$A12,Pertes!$E$5:$E$154,"Autre",Pertes!$G$5:$G$154,$B$3,Pertes!$H$5:$H$154,$D$3)))</f>
        <v/>
      </c>
      <c r="H12" s="18">
        <f>IF(COUNT(C12:G12)=0,"",SUM(C12:G12))</f>
        <v/>
      </c>
    </row>
    <row r="13">
      <c r="A13" s="15">
        <f>IF(Produits!$A$12="","",Produits!$A$12)</f>
        <v/>
      </c>
      <c r="B13" s="17">
        <f>IF(Produits!$A$12="","",Produits!$C$12)</f>
        <v/>
      </c>
      <c r="C13" s="20">
        <f>IF($A13="","",IF(SUMIFS(Pertes!$C$5:$C$154,Pertes!$B$5:$B$154,$A13,Pertes!$E$5:$E$154,"Périmé",Pertes!$G$5:$G$154,$B$3,Pertes!$H$5:$H$154,$D$3)=0,"",SUMIFS(Pertes!$C$5:$C$154,Pertes!$B$5:$B$154,$A13,Pertes!$E$5:$E$154,"Périmé",Pertes!$G$5:$G$154,$B$3,Pertes!$H$5:$H$154,$D$3)))</f>
        <v/>
      </c>
      <c r="D13" s="20">
        <f>IF($A13="","",IF(SUMIFS(Pertes!$C$5:$C$154,Pertes!$B$5:$B$154,$A13,Pertes!$E$5:$E$154,"Raté",Pertes!$G$5:$G$154,$B$3,Pertes!$H$5:$H$154,$D$3)=0,"",SUMIFS(Pertes!$C$5:$C$154,Pertes!$B$5:$B$154,$A13,Pertes!$E$5:$E$154,"Raté",Pertes!$G$5:$G$154,$B$3,Pertes!$H$5:$H$154,$D$3)))</f>
        <v/>
      </c>
      <c r="E13" s="20">
        <f>IF($A13="","",IF(SUMIFS(Pertes!$C$5:$C$154,Pertes!$B$5:$B$154,$A13,Pertes!$E$5:$E$154,"Cassé / renversé",Pertes!$G$5:$G$154,$B$3,Pertes!$H$5:$H$154,$D$3)=0,"",SUMIFS(Pertes!$C$5:$C$154,Pertes!$B$5:$B$154,$A13,Pertes!$E$5:$E$154,"Cassé / renversé",Pertes!$G$5:$G$154,$B$3,Pertes!$H$5:$H$154,$D$3)))</f>
        <v/>
      </c>
      <c r="F13" s="20">
        <f>IF($A13="","",IF(SUMIFS(Pertes!$C$5:$C$154,Pertes!$B$5:$B$154,$A13,Pertes!$E$5:$E$154,"Dégustation",Pertes!$G$5:$G$154,$B$3,Pertes!$H$5:$H$154,$D$3)=0,"",SUMIFS(Pertes!$C$5:$C$154,Pertes!$B$5:$B$154,$A13,Pertes!$E$5:$E$154,"Dégustation",Pertes!$G$5:$G$154,$B$3,Pertes!$H$5:$H$154,$D$3)))</f>
        <v/>
      </c>
      <c r="G13" s="20">
        <f>IF($A13="","",IF(SUMIFS(Pertes!$C$5:$C$154,Pertes!$B$5:$B$154,$A13,Pertes!$E$5:$E$154,"Autre",Pertes!$G$5:$G$154,$B$3,Pertes!$H$5:$H$154,$D$3)=0,"",SUMIFS(Pertes!$C$5:$C$154,Pertes!$B$5:$B$154,$A13,Pertes!$E$5:$E$154,"Autre",Pertes!$G$5:$G$154,$B$3,Pertes!$H$5:$H$154,$D$3)))</f>
        <v/>
      </c>
      <c r="H13" s="18">
        <f>IF(COUNT(C13:G13)=0,"",SUM(C13:G13))</f>
        <v/>
      </c>
    </row>
    <row r="14">
      <c r="A14" s="15">
        <f>IF(Produits!$A$13="","",Produits!$A$13)</f>
        <v/>
      </c>
      <c r="B14" s="17">
        <f>IF(Produits!$A$13="","",Produits!$C$13)</f>
        <v/>
      </c>
      <c r="C14" s="20">
        <f>IF($A14="","",IF(SUMIFS(Pertes!$C$5:$C$154,Pertes!$B$5:$B$154,$A14,Pertes!$E$5:$E$154,"Périmé",Pertes!$G$5:$G$154,$B$3,Pertes!$H$5:$H$154,$D$3)=0,"",SUMIFS(Pertes!$C$5:$C$154,Pertes!$B$5:$B$154,$A14,Pertes!$E$5:$E$154,"Périmé",Pertes!$G$5:$G$154,$B$3,Pertes!$H$5:$H$154,$D$3)))</f>
        <v/>
      </c>
      <c r="D14" s="20">
        <f>IF($A14="","",IF(SUMIFS(Pertes!$C$5:$C$154,Pertes!$B$5:$B$154,$A14,Pertes!$E$5:$E$154,"Raté",Pertes!$G$5:$G$154,$B$3,Pertes!$H$5:$H$154,$D$3)=0,"",SUMIFS(Pertes!$C$5:$C$154,Pertes!$B$5:$B$154,$A14,Pertes!$E$5:$E$154,"Raté",Pertes!$G$5:$G$154,$B$3,Pertes!$H$5:$H$154,$D$3)))</f>
        <v/>
      </c>
      <c r="E14" s="20">
        <f>IF($A14="","",IF(SUMIFS(Pertes!$C$5:$C$154,Pertes!$B$5:$B$154,$A14,Pertes!$E$5:$E$154,"Cassé / renversé",Pertes!$G$5:$G$154,$B$3,Pertes!$H$5:$H$154,$D$3)=0,"",SUMIFS(Pertes!$C$5:$C$154,Pertes!$B$5:$B$154,$A14,Pertes!$E$5:$E$154,"Cassé / renversé",Pertes!$G$5:$G$154,$B$3,Pertes!$H$5:$H$154,$D$3)))</f>
        <v/>
      </c>
      <c r="F14" s="20">
        <f>IF($A14="","",IF(SUMIFS(Pertes!$C$5:$C$154,Pertes!$B$5:$B$154,$A14,Pertes!$E$5:$E$154,"Dégustation",Pertes!$G$5:$G$154,$B$3,Pertes!$H$5:$H$154,$D$3)=0,"",SUMIFS(Pertes!$C$5:$C$154,Pertes!$B$5:$B$154,$A14,Pertes!$E$5:$E$154,"Dégustation",Pertes!$G$5:$G$154,$B$3,Pertes!$H$5:$H$154,$D$3)))</f>
        <v/>
      </c>
      <c r="G14" s="20">
        <f>IF($A14="","",IF(SUMIFS(Pertes!$C$5:$C$154,Pertes!$B$5:$B$154,$A14,Pertes!$E$5:$E$154,"Autre",Pertes!$G$5:$G$154,$B$3,Pertes!$H$5:$H$154,$D$3)=0,"",SUMIFS(Pertes!$C$5:$C$154,Pertes!$B$5:$B$154,$A14,Pertes!$E$5:$E$154,"Autre",Pertes!$G$5:$G$154,$B$3,Pertes!$H$5:$H$154,$D$3)))</f>
        <v/>
      </c>
      <c r="H14" s="18">
        <f>IF(COUNT(C14:G14)=0,"",SUM(C14:G14))</f>
        <v/>
      </c>
    </row>
    <row r="15">
      <c r="A15" s="15">
        <f>IF(Produits!$A$14="","",Produits!$A$14)</f>
        <v/>
      </c>
      <c r="B15" s="17">
        <f>IF(Produits!$A$14="","",Produits!$C$14)</f>
        <v/>
      </c>
      <c r="C15" s="20">
        <f>IF($A15="","",IF(SUMIFS(Pertes!$C$5:$C$154,Pertes!$B$5:$B$154,$A15,Pertes!$E$5:$E$154,"Périmé",Pertes!$G$5:$G$154,$B$3,Pertes!$H$5:$H$154,$D$3)=0,"",SUMIFS(Pertes!$C$5:$C$154,Pertes!$B$5:$B$154,$A15,Pertes!$E$5:$E$154,"Périmé",Pertes!$G$5:$G$154,$B$3,Pertes!$H$5:$H$154,$D$3)))</f>
        <v/>
      </c>
      <c r="D15" s="20">
        <f>IF($A15="","",IF(SUMIFS(Pertes!$C$5:$C$154,Pertes!$B$5:$B$154,$A15,Pertes!$E$5:$E$154,"Raté",Pertes!$G$5:$G$154,$B$3,Pertes!$H$5:$H$154,$D$3)=0,"",SUMIFS(Pertes!$C$5:$C$154,Pertes!$B$5:$B$154,$A15,Pertes!$E$5:$E$154,"Raté",Pertes!$G$5:$G$154,$B$3,Pertes!$H$5:$H$154,$D$3)))</f>
        <v/>
      </c>
      <c r="E15" s="20">
        <f>IF($A15="","",IF(SUMIFS(Pertes!$C$5:$C$154,Pertes!$B$5:$B$154,$A15,Pertes!$E$5:$E$154,"Cassé / renversé",Pertes!$G$5:$G$154,$B$3,Pertes!$H$5:$H$154,$D$3)=0,"",SUMIFS(Pertes!$C$5:$C$154,Pertes!$B$5:$B$154,$A15,Pertes!$E$5:$E$154,"Cassé / renversé",Pertes!$G$5:$G$154,$B$3,Pertes!$H$5:$H$154,$D$3)))</f>
        <v/>
      </c>
      <c r="F15" s="20">
        <f>IF($A15="","",IF(SUMIFS(Pertes!$C$5:$C$154,Pertes!$B$5:$B$154,$A15,Pertes!$E$5:$E$154,"Dégustation",Pertes!$G$5:$G$154,$B$3,Pertes!$H$5:$H$154,$D$3)=0,"",SUMIFS(Pertes!$C$5:$C$154,Pertes!$B$5:$B$154,$A15,Pertes!$E$5:$E$154,"Dégustation",Pertes!$G$5:$G$154,$B$3,Pertes!$H$5:$H$154,$D$3)))</f>
        <v/>
      </c>
      <c r="G15" s="20">
        <f>IF($A15="","",IF(SUMIFS(Pertes!$C$5:$C$154,Pertes!$B$5:$B$154,$A15,Pertes!$E$5:$E$154,"Autre",Pertes!$G$5:$G$154,$B$3,Pertes!$H$5:$H$154,$D$3)=0,"",SUMIFS(Pertes!$C$5:$C$154,Pertes!$B$5:$B$154,$A15,Pertes!$E$5:$E$154,"Autre",Pertes!$G$5:$G$154,$B$3,Pertes!$H$5:$H$154,$D$3)))</f>
        <v/>
      </c>
      <c r="H15" s="18">
        <f>IF(COUNT(C15:G15)=0,"",SUM(C15:G15))</f>
        <v/>
      </c>
    </row>
    <row r="16">
      <c r="A16" s="15">
        <f>IF(Produits!$A$15="","",Produits!$A$15)</f>
        <v/>
      </c>
      <c r="B16" s="17">
        <f>IF(Produits!$A$15="","",Produits!$C$15)</f>
        <v/>
      </c>
      <c r="C16" s="20">
        <f>IF($A16="","",IF(SUMIFS(Pertes!$C$5:$C$154,Pertes!$B$5:$B$154,$A16,Pertes!$E$5:$E$154,"Périmé",Pertes!$G$5:$G$154,$B$3,Pertes!$H$5:$H$154,$D$3)=0,"",SUMIFS(Pertes!$C$5:$C$154,Pertes!$B$5:$B$154,$A16,Pertes!$E$5:$E$154,"Périmé",Pertes!$G$5:$G$154,$B$3,Pertes!$H$5:$H$154,$D$3)))</f>
        <v/>
      </c>
      <c r="D16" s="20">
        <f>IF($A16="","",IF(SUMIFS(Pertes!$C$5:$C$154,Pertes!$B$5:$B$154,$A16,Pertes!$E$5:$E$154,"Raté",Pertes!$G$5:$G$154,$B$3,Pertes!$H$5:$H$154,$D$3)=0,"",SUMIFS(Pertes!$C$5:$C$154,Pertes!$B$5:$B$154,$A16,Pertes!$E$5:$E$154,"Raté",Pertes!$G$5:$G$154,$B$3,Pertes!$H$5:$H$154,$D$3)))</f>
        <v/>
      </c>
      <c r="E16" s="20">
        <f>IF($A16="","",IF(SUMIFS(Pertes!$C$5:$C$154,Pertes!$B$5:$B$154,$A16,Pertes!$E$5:$E$154,"Cassé / renversé",Pertes!$G$5:$G$154,$B$3,Pertes!$H$5:$H$154,$D$3)=0,"",SUMIFS(Pertes!$C$5:$C$154,Pertes!$B$5:$B$154,$A16,Pertes!$E$5:$E$154,"Cassé / renversé",Pertes!$G$5:$G$154,$B$3,Pertes!$H$5:$H$154,$D$3)))</f>
        <v/>
      </c>
      <c r="F16" s="20">
        <f>IF($A16="","",IF(SUMIFS(Pertes!$C$5:$C$154,Pertes!$B$5:$B$154,$A16,Pertes!$E$5:$E$154,"Dégustation",Pertes!$G$5:$G$154,$B$3,Pertes!$H$5:$H$154,$D$3)=0,"",SUMIFS(Pertes!$C$5:$C$154,Pertes!$B$5:$B$154,$A16,Pertes!$E$5:$E$154,"Dégustation",Pertes!$G$5:$G$154,$B$3,Pertes!$H$5:$H$154,$D$3)))</f>
        <v/>
      </c>
      <c r="G16" s="20">
        <f>IF($A16="","",IF(SUMIFS(Pertes!$C$5:$C$154,Pertes!$B$5:$B$154,$A16,Pertes!$E$5:$E$154,"Autre",Pertes!$G$5:$G$154,$B$3,Pertes!$H$5:$H$154,$D$3)=0,"",SUMIFS(Pertes!$C$5:$C$154,Pertes!$B$5:$B$154,$A16,Pertes!$E$5:$E$154,"Autre",Pertes!$G$5:$G$154,$B$3,Pertes!$H$5:$H$154,$D$3)))</f>
        <v/>
      </c>
      <c r="H16" s="18">
        <f>IF(COUNT(C16:G16)=0,"",SUM(C16:G16))</f>
        <v/>
      </c>
    </row>
    <row r="17">
      <c r="A17" s="15">
        <f>IF(Produits!$A$16="","",Produits!$A$16)</f>
        <v/>
      </c>
      <c r="B17" s="17">
        <f>IF(Produits!$A$16="","",Produits!$C$16)</f>
        <v/>
      </c>
      <c r="C17" s="20">
        <f>IF($A17="","",IF(SUMIFS(Pertes!$C$5:$C$154,Pertes!$B$5:$B$154,$A17,Pertes!$E$5:$E$154,"Périmé",Pertes!$G$5:$G$154,$B$3,Pertes!$H$5:$H$154,$D$3)=0,"",SUMIFS(Pertes!$C$5:$C$154,Pertes!$B$5:$B$154,$A17,Pertes!$E$5:$E$154,"Périmé",Pertes!$G$5:$G$154,$B$3,Pertes!$H$5:$H$154,$D$3)))</f>
        <v/>
      </c>
      <c r="D17" s="20">
        <f>IF($A17="","",IF(SUMIFS(Pertes!$C$5:$C$154,Pertes!$B$5:$B$154,$A17,Pertes!$E$5:$E$154,"Raté",Pertes!$G$5:$G$154,$B$3,Pertes!$H$5:$H$154,$D$3)=0,"",SUMIFS(Pertes!$C$5:$C$154,Pertes!$B$5:$B$154,$A17,Pertes!$E$5:$E$154,"Raté",Pertes!$G$5:$G$154,$B$3,Pertes!$H$5:$H$154,$D$3)))</f>
        <v/>
      </c>
      <c r="E17" s="20">
        <f>IF($A17="","",IF(SUMIFS(Pertes!$C$5:$C$154,Pertes!$B$5:$B$154,$A17,Pertes!$E$5:$E$154,"Cassé / renversé",Pertes!$G$5:$G$154,$B$3,Pertes!$H$5:$H$154,$D$3)=0,"",SUMIFS(Pertes!$C$5:$C$154,Pertes!$B$5:$B$154,$A17,Pertes!$E$5:$E$154,"Cassé / renversé",Pertes!$G$5:$G$154,$B$3,Pertes!$H$5:$H$154,$D$3)))</f>
        <v/>
      </c>
      <c r="F17" s="20">
        <f>IF($A17="","",IF(SUMIFS(Pertes!$C$5:$C$154,Pertes!$B$5:$B$154,$A17,Pertes!$E$5:$E$154,"Dégustation",Pertes!$G$5:$G$154,$B$3,Pertes!$H$5:$H$154,$D$3)=0,"",SUMIFS(Pertes!$C$5:$C$154,Pertes!$B$5:$B$154,$A17,Pertes!$E$5:$E$154,"Dégustation",Pertes!$G$5:$G$154,$B$3,Pertes!$H$5:$H$154,$D$3)))</f>
        <v/>
      </c>
      <c r="G17" s="20">
        <f>IF($A17="","",IF(SUMIFS(Pertes!$C$5:$C$154,Pertes!$B$5:$B$154,$A17,Pertes!$E$5:$E$154,"Autre",Pertes!$G$5:$G$154,$B$3,Pertes!$H$5:$H$154,$D$3)=0,"",SUMIFS(Pertes!$C$5:$C$154,Pertes!$B$5:$B$154,$A17,Pertes!$E$5:$E$154,"Autre",Pertes!$G$5:$G$154,$B$3,Pertes!$H$5:$H$154,$D$3)))</f>
        <v/>
      </c>
      <c r="H17" s="18">
        <f>IF(COUNT(C17:G17)=0,"",SUM(C17:G17))</f>
        <v/>
      </c>
    </row>
    <row r="18">
      <c r="A18" s="15">
        <f>IF(Produits!$A$17="","",Produits!$A$17)</f>
        <v/>
      </c>
      <c r="B18" s="17">
        <f>IF(Produits!$A$17="","",Produits!$C$17)</f>
        <v/>
      </c>
      <c r="C18" s="20">
        <f>IF($A18="","",IF(SUMIFS(Pertes!$C$5:$C$154,Pertes!$B$5:$B$154,$A18,Pertes!$E$5:$E$154,"Périmé",Pertes!$G$5:$G$154,$B$3,Pertes!$H$5:$H$154,$D$3)=0,"",SUMIFS(Pertes!$C$5:$C$154,Pertes!$B$5:$B$154,$A18,Pertes!$E$5:$E$154,"Périmé",Pertes!$G$5:$G$154,$B$3,Pertes!$H$5:$H$154,$D$3)))</f>
        <v/>
      </c>
      <c r="D18" s="20">
        <f>IF($A18="","",IF(SUMIFS(Pertes!$C$5:$C$154,Pertes!$B$5:$B$154,$A18,Pertes!$E$5:$E$154,"Raté",Pertes!$G$5:$G$154,$B$3,Pertes!$H$5:$H$154,$D$3)=0,"",SUMIFS(Pertes!$C$5:$C$154,Pertes!$B$5:$B$154,$A18,Pertes!$E$5:$E$154,"Raté",Pertes!$G$5:$G$154,$B$3,Pertes!$H$5:$H$154,$D$3)))</f>
        <v/>
      </c>
      <c r="E18" s="20">
        <f>IF($A18="","",IF(SUMIFS(Pertes!$C$5:$C$154,Pertes!$B$5:$B$154,$A18,Pertes!$E$5:$E$154,"Cassé / renversé",Pertes!$G$5:$G$154,$B$3,Pertes!$H$5:$H$154,$D$3)=0,"",SUMIFS(Pertes!$C$5:$C$154,Pertes!$B$5:$B$154,$A18,Pertes!$E$5:$E$154,"Cassé / renversé",Pertes!$G$5:$G$154,$B$3,Pertes!$H$5:$H$154,$D$3)))</f>
        <v/>
      </c>
      <c r="F18" s="20">
        <f>IF($A18="","",IF(SUMIFS(Pertes!$C$5:$C$154,Pertes!$B$5:$B$154,$A18,Pertes!$E$5:$E$154,"Dégustation",Pertes!$G$5:$G$154,$B$3,Pertes!$H$5:$H$154,$D$3)=0,"",SUMIFS(Pertes!$C$5:$C$154,Pertes!$B$5:$B$154,$A18,Pertes!$E$5:$E$154,"Dégustation",Pertes!$G$5:$G$154,$B$3,Pertes!$H$5:$H$154,$D$3)))</f>
        <v/>
      </c>
      <c r="G18" s="20">
        <f>IF($A18="","",IF(SUMIFS(Pertes!$C$5:$C$154,Pertes!$B$5:$B$154,$A18,Pertes!$E$5:$E$154,"Autre",Pertes!$G$5:$G$154,$B$3,Pertes!$H$5:$H$154,$D$3)=0,"",SUMIFS(Pertes!$C$5:$C$154,Pertes!$B$5:$B$154,$A18,Pertes!$E$5:$E$154,"Autre",Pertes!$G$5:$G$154,$B$3,Pertes!$H$5:$H$154,$D$3)))</f>
        <v/>
      </c>
      <c r="H18" s="18">
        <f>IF(COUNT(C18:G18)=0,"",SUM(C18:G18))</f>
        <v/>
      </c>
    </row>
    <row r="19">
      <c r="A19" s="15">
        <f>IF(Produits!$A$18="","",Produits!$A$18)</f>
        <v/>
      </c>
      <c r="B19" s="17">
        <f>IF(Produits!$A$18="","",Produits!$C$18)</f>
        <v/>
      </c>
      <c r="C19" s="20">
        <f>IF($A19="","",IF(SUMIFS(Pertes!$C$5:$C$154,Pertes!$B$5:$B$154,$A19,Pertes!$E$5:$E$154,"Périmé",Pertes!$G$5:$G$154,$B$3,Pertes!$H$5:$H$154,$D$3)=0,"",SUMIFS(Pertes!$C$5:$C$154,Pertes!$B$5:$B$154,$A19,Pertes!$E$5:$E$154,"Périmé",Pertes!$G$5:$G$154,$B$3,Pertes!$H$5:$H$154,$D$3)))</f>
        <v/>
      </c>
      <c r="D19" s="20">
        <f>IF($A19="","",IF(SUMIFS(Pertes!$C$5:$C$154,Pertes!$B$5:$B$154,$A19,Pertes!$E$5:$E$154,"Raté",Pertes!$G$5:$G$154,$B$3,Pertes!$H$5:$H$154,$D$3)=0,"",SUMIFS(Pertes!$C$5:$C$154,Pertes!$B$5:$B$154,$A19,Pertes!$E$5:$E$154,"Raté",Pertes!$G$5:$G$154,$B$3,Pertes!$H$5:$H$154,$D$3)))</f>
        <v/>
      </c>
      <c r="E19" s="20">
        <f>IF($A19="","",IF(SUMIFS(Pertes!$C$5:$C$154,Pertes!$B$5:$B$154,$A19,Pertes!$E$5:$E$154,"Cassé / renversé",Pertes!$G$5:$G$154,$B$3,Pertes!$H$5:$H$154,$D$3)=0,"",SUMIFS(Pertes!$C$5:$C$154,Pertes!$B$5:$B$154,$A19,Pertes!$E$5:$E$154,"Cassé / renversé",Pertes!$G$5:$G$154,$B$3,Pertes!$H$5:$H$154,$D$3)))</f>
        <v/>
      </c>
      <c r="F19" s="20">
        <f>IF($A19="","",IF(SUMIFS(Pertes!$C$5:$C$154,Pertes!$B$5:$B$154,$A19,Pertes!$E$5:$E$154,"Dégustation",Pertes!$G$5:$G$154,$B$3,Pertes!$H$5:$H$154,$D$3)=0,"",SUMIFS(Pertes!$C$5:$C$154,Pertes!$B$5:$B$154,$A19,Pertes!$E$5:$E$154,"Dégustation",Pertes!$G$5:$G$154,$B$3,Pertes!$H$5:$H$154,$D$3)))</f>
        <v/>
      </c>
      <c r="G19" s="20">
        <f>IF($A19="","",IF(SUMIFS(Pertes!$C$5:$C$154,Pertes!$B$5:$B$154,$A19,Pertes!$E$5:$E$154,"Autre",Pertes!$G$5:$G$154,$B$3,Pertes!$H$5:$H$154,$D$3)=0,"",SUMIFS(Pertes!$C$5:$C$154,Pertes!$B$5:$B$154,$A19,Pertes!$E$5:$E$154,"Autre",Pertes!$G$5:$G$154,$B$3,Pertes!$H$5:$H$154,$D$3)))</f>
        <v/>
      </c>
      <c r="H19" s="18">
        <f>IF(COUNT(C19:G19)=0,"",SUM(C19:G19))</f>
        <v/>
      </c>
    </row>
    <row r="20">
      <c r="A20" s="15">
        <f>IF(Produits!$A$19="","",Produits!$A$19)</f>
        <v/>
      </c>
      <c r="B20" s="17">
        <f>IF(Produits!$A$19="","",Produits!$C$19)</f>
        <v/>
      </c>
      <c r="C20" s="20">
        <f>IF($A20="","",IF(SUMIFS(Pertes!$C$5:$C$154,Pertes!$B$5:$B$154,$A20,Pertes!$E$5:$E$154,"Périmé",Pertes!$G$5:$G$154,$B$3,Pertes!$H$5:$H$154,$D$3)=0,"",SUMIFS(Pertes!$C$5:$C$154,Pertes!$B$5:$B$154,$A20,Pertes!$E$5:$E$154,"Périmé",Pertes!$G$5:$G$154,$B$3,Pertes!$H$5:$H$154,$D$3)))</f>
        <v/>
      </c>
      <c r="D20" s="20">
        <f>IF($A20="","",IF(SUMIFS(Pertes!$C$5:$C$154,Pertes!$B$5:$B$154,$A20,Pertes!$E$5:$E$154,"Raté",Pertes!$G$5:$G$154,$B$3,Pertes!$H$5:$H$154,$D$3)=0,"",SUMIFS(Pertes!$C$5:$C$154,Pertes!$B$5:$B$154,$A20,Pertes!$E$5:$E$154,"Raté",Pertes!$G$5:$G$154,$B$3,Pertes!$H$5:$H$154,$D$3)))</f>
        <v/>
      </c>
      <c r="E20" s="20">
        <f>IF($A20="","",IF(SUMIFS(Pertes!$C$5:$C$154,Pertes!$B$5:$B$154,$A20,Pertes!$E$5:$E$154,"Cassé / renversé",Pertes!$G$5:$G$154,$B$3,Pertes!$H$5:$H$154,$D$3)=0,"",SUMIFS(Pertes!$C$5:$C$154,Pertes!$B$5:$B$154,$A20,Pertes!$E$5:$E$154,"Cassé / renversé",Pertes!$G$5:$G$154,$B$3,Pertes!$H$5:$H$154,$D$3)))</f>
        <v/>
      </c>
      <c r="F20" s="20">
        <f>IF($A20="","",IF(SUMIFS(Pertes!$C$5:$C$154,Pertes!$B$5:$B$154,$A20,Pertes!$E$5:$E$154,"Dégustation",Pertes!$G$5:$G$154,$B$3,Pertes!$H$5:$H$154,$D$3)=0,"",SUMIFS(Pertes!$C$5:$C$154,Pertes!$B$5:$B$154,$A20,Pertes!$E$5:$E$154,"Dégustation",Pertes!$G$5:$G$154,$B$3,Pertes!$H$5:$H$154,$D$3)))</f>
        <v/>
      </c>
      <c r="G20" s="20">
        <f>IF($A20="","",IF(SUMIFS(Pertes!$C$5:$C$154,Pertes!$B$5:$B$154,$A20,Pertes!$E$5:$E$154,"Autre",Pertes!$G$5:$G$154,$B$3,Pertes!$H$5:$H$154,$D$3)=0,"",SUMIFS(Pertes!$C$5:$C$154,Pertes!$B$5:$B$154,$A20,Pertes!$E$5:$E$154,"Autre",Pertes!$G$5:$G$154,$B$3,Pertes!$H$5:$H$154,$D$3)))</f>
        <v/>
      </c>
      <c r="H20" s="18">
        <f>IF(COUNT(C20:G20)=0,"",SUM(C20:G20))</f>
        <v/>
      </c>
    </row>
    <row r="21">
      <c r="A21" s="15">
        <f>IF(Produits!$A$20="","",Produits!$A$20)</f>
        <v/>
      </c>
      <c r="B21" s="17">
        <f>IF(Produits!$A$20="","",Produits!$C$20)</f>
        <v/>
      </c>
      <c r="C21" s="20">
        <f>IF($A21="","",IF(SUMIFS(Pertes!$C$5:$C$154,Pertes!$B$5:$B$154,$A21,Pertes!$E$5:$E$154,"Périmé",Pertes!$G$5:$G$154,$B$3,Pertes!$H$5:$H$154,$D$3)=0,"",SUMIFS(Pertes!$C$5:$C$154,Pertes!$B$5:$B$154,$A21,Pertes!$E$5:$E$154,"Périmé",Pertes!$G$5:$G$154,$B$3,Pertes!$H$5:$H$154,$D$3)))</f>
        <v/>
      </c>
      <c r="D21" s="20">
        <f>IF($A21="","",IF(SUMIFS(Pertes!$C$5:$C$154,Pertes!$B$5:$B$154,$A21,Pertes!$E$5:$E$154,"Raté",Pertes!$G$5:$G$154,$B$3,Pertes!$H$5:$H$154,$D$3)=0,"",SUMIFS(Pertes!$C$5:$C$154,Pertes!$B$5:$B$154,$A21,Pertes!$E$5:$E$154,"Raté",Pertes!$G$5:$G$154,$B$3,Pertes!$H$5:$H$154,$D$3)))</f>
        <v/>
      </c>
      <c r="E21" s="20">
        <f>IF($A21="","",IF(SUMIFS(Pertes!$C$5:$C$154,Pertes!$B$5:$B$154,$A21,Pertes!$E$5:$E$154,"Cassé / renversé",Pertes!$G$5:$G$154,$B$3,Pertes!$H$5:$H$154,$D$3)=0,"",SUMIFS(Pertes!$C$5:$C$154,Pertes!$B$5:$B$154,$A21,Pertes!$E$5:$E$154,"Cassé / renversé",Pertes!$G$5:$G$154,$B$3,Pertes!$H$5:$H$154,$D$3)))</f>
        <v/>
      </c>
      <c r="F21" s="20">
        <f>IF($A21="","",IF(SUMIFS(Pertes!$C$5:$C$154,Pertes!$B$5:$B$154,$A21,Pertes!$E$5:$E$154,"Dégustation",Pertes!$G$5:$G$154,$B$3,Pertes!$H$5:$H$154,$D$3)=0,"",SUMIFS(Pertes!$C$5:$C$154,Pertes!$B$5:$B$154,$A21,Pertes!$E$5:$E$154,"Dégustation",Pertes!$G$5:$G$154,$B$3,Pertes!$H$5:$H$154,$D$3)))</f>
        <v/>
      </c>
      <c r="G21" s="20">
        <f>IF($A21="","",IF(SUMIFS(Pertes!$C$5:$C$154,Pertes!$B$5:$B$154,$A21,Pertes!$E$5:$E$154,"Autre",Pertes!$G$5:$G$154,$B$3,Pertes!$H$5:$H$154,$D$3)=0,"",SUMIFS(Pertes!$C$5:$C$154,Pertes!$B$5:$B$154,$A21,Pertes!$E$5:$E$154,"Autre",Pertes!$G$5:$G$154,$B$3,Pertes!$H$5:$H$154,$D$3)))</f>
        <v/>
      </c>
      <c r="H21" s="18">
        <f>IF(COUNT(C21:G21)=0,"",SUM(C21:G21))</f>
        <v/>
      </c>
    </row>
    <row r="22">
      <c r="A22" s="15">
        <f>IF(Produits!$A$21="","",Produits!$A$21)</f>
        <v/>
      </c>
      <c r="B22" s="17">
        <f>IF(Produits!$A$21="","",Produits!$C$21)</f>
        <v/>
      </c>
      <c r="C22" s="20">
        <f>IF($A22="","",IF(SUMIFS(Pertes!$C$5:$C$154,Pertes!$B$5:$B$154,$A22,Pertes!$E$5:$E$154,"Périmé",Pertes!$G$5:$G$154,$B$3,Pertes!$H$5:$H$154,$D$3)=0,"",SUMIFS(Pertes!$C$5:$C$154,Pertes!$B$5:$B$154,$A22,Pertes!$E$5:$E$154,"Périmé",Pertes!$G$5:$G$154,$B$3,Pertes!$H$5:$H$154,$D$3)))</f>
        <v/>
      </c>
      <c r="D22" s="20">
        <f>IF($A22="","",IF(SUMIFS(Pertes!$C$5:$C$154,Pertes!$B$5:$B$154,$A22,Pertes!$E$5:$E$154,"Raté",Pertes!$G$5:$G$154,$B$3,Pertes!$H$5:$H$154,$D$3)=0,"",SUMIFS(Pertes!$C$5:$C$154,Pertes!$B$5:$B$154,$A22,Pertes!$E$5:$E$154,"Raté",Pertes!$G$5:$G$154,$B$3,Pertes!$H$5:$H$154,$D$3)))</f>
        <v/>
      </c>
      <c r="E22" s="20">
        <f>IF($A22="","",IF(SUMIFS(Pertes!$C$5:$C$154,Pertes!$B$5:$B$154,$A22,Pertes!$E$5:$E$154,"Cassé / renversé",Pertes!$G$5:$G$154,$B$3,Pertes!$H$5:$H$154,$D$3)=0,"",SUMIFS(Pertes!$C$5:$C$154,Pertes!$B$5:$B$154,$A22,Pertes!$E$5:$E$154,"Cassé / renversé",Pertes!$G$5:$G$154,$B$3,Pertes!$H$5:$H$154,$D$3)))</f>
        <v/>
      </c>
      <c r="F22" s="20">
        <f>IF($A22="","",IF(SUMIFS(Pertes!$C$5:$C$154,Pertes!$B$5:$B$154,$A22,Pertes!$E$5:$E$154,"Dégustation",Pertes!$G$5:$G$154,$B$3,Pertes!$H$5:$H$154,$D$3)=0,"",SUMIFS(Pertes!$C$5:$C$154,Pertes!$B$5:$B$154,$A22,Pertes!$E$5:$E$154,"Dégustation",Pertes!$G$5:$G$154,$B$3,Pertes!$H$5:$H$154,$D$3)))</f>
        <v/>
      </c>
      <c r="G22" s="20">
        <f>IF($A22="","",IF(SUMIFS(Pertes!$C$5:$C$154,Pertes!$B$5:$B$154,$A22,Pertes!$E$5:$E$154,"Autre",Pertes!$G$5:$G$154,$B$3,Pertes!$H$5:$H$154,$D$3)=0,"",SUMIFS(Pertes!$C$5:$C$154,Pertes!$B$5:$B$154,$A22,Pertes!$E$5:$E$154,"Autre",Pertes!$G$5:$G$154,$B$3,Pertes!$H$5:$H$154,$D$3)))</f>
        <v/>
      </c>
      <c r="H22" s="18">
        <f>IF(COUNT(C22:G22)=0,"",SUM(C22:G22))</f>
        <v/>
      </c>
    </row>
    <row r="23">
      <c r="A23" s="15">
        <f>IF(Produits!$A$22="","",Produits!$A$22)</f>
        <v/>
      </c>
      <c r="B23" s="17">
        <f>IF(Produits!$A$22="","",Produits!$C$22)</f>
        <v/>
      </c>
      <c r="C23" s="20">
        <f>IF($A23="","",IF(SUMIFS(Pertes!$C$5:$C$154,Pertes!$B$5:$B$154,$A23,Pertes!$E$5:$E$154,"Périmé",Pertes!$G$5:$G$154,$B$3,Pertes!$H$5:$H$154,$D$3)=0,"",SUMIFS(Pertes!$C$5:$C$154,Pertes!$B$5:$B$154,$A23,Pertes!$E$5:$E$154,"Périmé",Pertes!$G$5:$G$154,$B$3,Pertes!$H$5:$H$154,$D$3)))</f>
        <v/>
      </c>
      <c r="D23" s="20">
        <f>IF($A23="","",IF(SUMIFS(Pertes!$C$5:$C$154,Pertes!$B$5:$B$154,$A23,Pertes!$E$5:$E$154,"Raté",Pertes!$G$5:$G$154,$B$3,Pertes!$H$5:$H$154,$D$3)=0,"",SUMIFS(Pertes!$C$5:$C$154,Pertes!$B$5:$B$154,$A23,Pertes!$E$5:$E$154,"Raté",Pertes!$G$5:$G$154,$B$3,Pertes!$H$5:$H$154,$D$3)))</f>
        <v/>
      </c>
      <c r="E23" s="20">
        <f>IF($A23="","",IF(SUMIFS(Pertes!$C$5:$C$154,Pertes!$B$5:$B$154,$A23,Pertes!$E$5:$E$154,"Cassé / renversé",Pertes!$G$5:$G$154,$B$3,Pertes!$H$5:$H$154,$D$3)=0,"",SUMIFS(Pertes!$C$5:$C$154,Pertes!$B$5:$B$154,$A23,Pertes!$E$5:$E$154,"Cassé / renversé",Pertes!$G$5:$G$154,$B$3,Pertes!$H$5:$H$154,$D$3)))</f>
        <v/>
      </c>
      <c r="F23" s="20">
        <f>IF($A23="","",IF(SUMIFS(Pertes!$C$5:$C$154,Pertes!$B$5:$B$154,$A23,Pertes!$E$5:$E$154,"Dégustation",Pertes!$G$5:$G$154,$B$3,Pertes!$H$5:$H$154,$D$3)=0,"",SUMIFS(Pertes!$C$5:$C$154,Pertes!$B$5:$B$154,$A23,Pertes!$E$5:$E$154,"Dégustation",Pertes!$G$5:$G$154,$B$3,Pertes!$H$5:$H$154,$D$3)))</f>
        <v/>
      </c>
      <c r="G23" s="20">
        <f>IF($A23="","",IF(SUMIFS(Pertes!$C$5:$C$154,Pertes!$B$5:$B$154,$A23,Pertes!$E$5:$E$154,"Autre",Pertes!$G$5:$G$154,$B$3,Pertes!$H$5:$H$154,$D$3)=0,"",SUMIFS(Pertes!$C$5:$C$154,Pertes!$B$5:$B$154,$A23,Pertes!$E$5:$E$154,"Autre",Pertes!$G$5:$G$154,$B$3,Pertes!$H$5:$H$154,$D$3)))</f>
        <v/>
      </c>
      <c r="H23" s="18">
        <f>IF(COUNT(C23:G23)=0,"",SUM(C23:G23))</f>
        <v/>
      </c>
    </row>
    <row r="24">
      <c r="A24" s="15">
        <f>IF(Produits!$A$23="","",Produits!$A$23)</f>
        <v/>
      </c>
      <c r="B24" s="17">
        <f>IF(Produits!$A$23="","",Produits!$C$23)</f>
        <v/>
      </c>
      <c r="C24" s="20">
        <f>IF($A24="","",IF(SUMIFS(Pertes!$C$5:$C$154,Pertes!$B$5:$B$154,$A24,Pertes!$E$5:$E$154,"Périmé",Pertes!$G$5:$G$154,$B$3,Pertes!$H$5:$H$154,$D$3)=0,"",SUMIFS(Pertes!$C$5:$C$154,Pertes!$B$5:$B$154,$A24,Pertes!$E$5:$E$154,"Périmé",Pertes!$G$5:$G$154,$B$3,Pertes!$H$5:$H$154,$D$3)))</f>
        <v/>
      </c>
      <c r="D24" s="20">
        <f>IF($A24="","",IF(SUMIFS(Pertes!$C$5:$C$154,Pertes!$B$5:$B$154,$A24,Pertes!$E$5:$E$154,"Raté",Pertes!$G$5:$G$154,$B$3,Pertes!$H$5:$H$154,$D$3)=0,"",SUMIFS(Pertes!$C$5:$C$154,Pertes!$B$5:$B$154,$A24,Pertes!$E$5:$E$154,"Raté",Pertes!$G$5:$G$154,$B$3,Pertes!$H$5:$H$154,$D$3)))</f>
        <v/>
      </c>
      <c r="E24" s="20">
        <f>IF($A24="","",IF(SUMIFS(Pertes!$C$5:$C$154,Pertes!$B$5:$B$154,$A24,Pertes!$E$5:$E$154,"Cassé / renversé",Pertes!$G$5:$G$154,$B$3,Pertes!$H$5:$H$154,$D$3)=0,"",SUMIFS(Pertes!$C$5:$C$154,Pertes!$B$5:$B$154,$A24,Pertes!$E$5:$E$154,"Cassé / renversé",Pertes!$G$5:$G$154,$B$3,Pertes!$H$5:$H$154,$D$3)))</f>
        <v/>
      </c>
      <c r="F24" s="20">
        <f>IF($A24="","",IF(SUMIFS(Pertes!$C$5:$C$154,Pertes!$B$5:$B$154,$A24,Pertes!$E$5:$E$154,"Dégustation",Pertes!$G$5:$G$154,$B$3,Pertes!$H$5:$H$154,$D$3)=0,"",SUMIFS(Pertes!$C$5:$C$154,Pertes!$B$5:$B$154,$A24,Pertes!$E$5:$E$154,"Dégustation",Pertes!$G$5:$G$154,$B$3,Pertes!$H$5:$H$154,$D$3)))</f>
        <v/>
      </c>
      <c r="G24" s="20">
        <f>IF($A24="","",IF(SUMIFS(Pertes!$C$5:$C$154,Pertes!$B$5:$B$154,$A24,Pertes!$E$5:$E$154,"Autre",Pertes!$G$5:$G$154,$B$3,Pertes!$H$5:$H$154,$D$3)=0,"",SUMIFS(Pertes!$C$5:$C$154,Pertes!$B$5:$B$154,$A24,Pertes!$E$5:$E$154,"Autre",Pertes!$G$5:$G$154,$B$3,Pertes!$H$5:$H$154,$D$3)))</f>
        <v/>
      </c>
      <c r="H24" s="18">
        <f>IF(COUNT(C24:G24)=0,"",SUM(C24:G24))</f>
        <v/>
      </c>
    </row>
    <row r="25">
      <c r="A25" s="15">
        <f>IF(Produits!$A$24="","",Produits!$A$24)</f>
        <v/>
      </c>
      <c r="B25" s="17">
        <f>IF(Produits!$A$24="","",Produits!$C$24)</f>
        <v/>
      </c>
      <c r="C25" s="20">
        <f>IF($A25="","",IF(SUMIFS(Pertes!$C$5:$C$154,Pertes!$B$5:$B$154,$A25,Pertes!$E$5:$E$154,"Périmé",Pertes!$G$5:$G$154,$B$3,Pertes!$H$5:$H$154,$D$3)=0,"",SUMIFS(Pertes!$C$5:$C$154,Pertes!$B$5:$B$154,$A25,Pertes!$E$5:$E$154,"Périmé",Pertes!$G$5:$G$154,$B$3,Pertes!$H$5:$H$154,$D$3)))</f>
        <v/>
      </c>
      <c r="D25" s="20">
        <f>IF($A25="","",IF(SUMIFS(Pertes!$C$5:$C$154,Pertes!$B$5:$B$154,$A25,Pertes!$E$5:$E$154,"Raté",Pertes!$G$5:$G$154,$B$3,Pertes!$H$5:$H$154,$D$3)=0,"",SUMIFS(Pertes!$C$5:$C$154,Pertes!$B$5:$B$154,$A25,Pertes!$E$5:$E$154,"Raté",Pertes!$G$5:$G$154,$B$3,Pertes!$H$5:$H$154,$D$3)))</f>
        <v/>
      </c>
      <c r="E25" s="20">
        <f>IF($A25="","",IF(SUMIFS(Pertes!$C$5:$C$154,Pertes!$B$5:$B$154,$A25,Pertes!$E$5:$E$154,"Cassé / renversé",Pertes!$G$5:$G$154,$B$3,Pertes!$H$5:$H$154,$D$3)=0,"",SUMIFS(Pertes!$C$5:$C$154,Pertes!$B$5:$B$154,$A25,Pertes!$E$5:$E$154,"Cassé / renversé",Pertes!$G$5:$G$154,$B$3,Pertes!$H$5:$H$154,$D$3)))</f>
        <v/>
      </c>
      <c r="F25" s="20">
        <f>IF($A25="","",IF(SUMIFS(Pertes!$C$5:$C$154,Pertes!$B$5:$B$154,$A25,Pertes!$E$5:$E$154,"Dégustation",Pertes!$G$5:$G$154,$B$3,Pertes!$H$5:$H$154,$D$3)=0,"",SUMIFS(Pertes!$C$5:$C$154,Pertes!$B$5:$B$154,$A25,Pertes!$E$5:$E$154,"Dégustation",Pertes!$G$5:$G$154,$B$3,Pertes!$H$5:$H$154,$D$3)))</f>
        <v/>
      </c>
      <c r="G25" s="20">
        <f>IF($A25="","",IF(SUMIFS(Pertes!$C$5:$C$154,Pertes!$B$5:$B$154,$A25,Pertes!$E$5:$E$154,"Autre",Pertes!$G$5:$G$154,$B$3,Pertes!$H$5:$H$154,$D$3)=0,"",SUMIFS(Pertes!$C$5:$C$154,Pertes!$B$5:$B$154,$A25,Pertes!$E$5:$E$154,"Autre",Pertes!$G$5:$G$154,$B$3,Pertes!$H$5:$H$154,$D$3)))</f>
        <v/>
      </c>
      <c r="H25" s="18">
        <f>IF(COUNT(C25:G25)=0,"",SUM(C25:G25))</f>
        <v/>
      </c>
    </row>
    <row r="26">
      <c r="A26" s="15">
        <f>IF(Produits!$A$25="","",Produits!$A$25)</f>
        <v/>
      </c>
      <c r="B26" s="17">
        <f>IF(Produits!$A$25="","",Produits!$C$25)</f>
        <v/>
      </c>
      <c r="C26" s="20">
        <f>IF($A26="","",IF(SUMIFS(Pertes!$C$5:$C$154,Pertes!$B$5:$B$154,$A26,Pertes!$E$5:$E$154,"Périmé",Pertes!$G$5:$G$154,$B$3,Pertes!$H$5:$H$154,$D$3)=0,"",SUMIFS(Pertes!$C$5:$C$154,Pertes!$B$5:$B$154,$A26,Pertes!$E$5:$E$154,"Périmé",Pertes!$G$5:$G$154,$B$3,Pertes!$H$5:$H$154,$D$3)))</f>
        <v/>
      </c>
      <c r="D26" s="20">
        <f>IF($A26="","",IF(SUMIFS(Pertes!$C$5:$C$154,Pertes!$B$5:$B$154,$A26,Pertes!$E$5:$E$154,"Raté",Pertes!$G$5:$G$154,$B$3,Pertes!$H$5:$H$154,$D$3)=0,"",SUMIFS(Pertes!$C$5:$C$154,Pertes!$B$5:$B$154,$A26,Pertes!$E$5:$E$154,"Raté",Pertes!$G$5:$G$154,$B$3,Pertes!$H$5:$H$154,$D$3)))</f>
        <v/>
      </c>
      <c r="E26" s="20">
        <f>IF($A26="","",IF(SUMIFS(Pertes!$C$5:$C$154,Pertes!$B$5:$B$154,$A26,Pertes!$E$5:$E$154,"Cassé / renversé",Pertes!$G$5:$G$154,$B$3,Pertes!$H$5:$H$154,$D$3)=0,"",SUMIFS(Pertes!$C$5:$C$154,Pertes!$B$5:$B$154,$A26,Pertes!$E$5:$E$154,"Cassé / renversé",Pertes!$G$5:$G$154,$B$3,Pertes!$H$5:$H$154,$D$3)))</f>
        <v/>
      </c>
      <c r="F26" s="20">
        <f>IF($A26="","",IF(SUMIFS(Pertes!$C$5:$C$154,Pertes!$B$5:$B$154,$A26,Pertes!$E$5:$E$154,"Dégustation",Pertes!$G$5:$G$154,$B$3,Pertes!$H$5:$H$154,$D$3)=0,"",SUMIFS(Pertes!$C$5:$C$154,Pertes!$B$5:$B$154,$A26,Pertes!$E$5:$E$154,"Dégustation",Pertes!$G$5:$G$154,$B$3,Pertes!$H$5:$H$154,$D$3)))</f>
        <v/>
      </c>
      <c r="G26" s="20">
        <f>IF($A26="","",IF(SUMIFS(Pertes!$C$5:$C$154,Pertes!$B$5:$B$154,$A26,Pertes!$E$5:$E$154,"Autre",Pertes!$G$5:$G$154,$B$3,Pertes!$H$5:$H$154,$D$3)=0,"",SUMIFS(Pertes!$C$5:$C$154,Pertes!$B$5:$B$154,$A26,Pertes!$E$5:$E$154,"Autre",Pertes!$G$5:$G$154,$B$3,Pertes!$H$5:$H$154,$D$3)))</f>
        <v/>
      </c>
      <c r="H26" s="18">
        <f>IF(COUNT(C26:G26)=0,"",SUM(C26:G26))</f>
        <v/>
      </c>
    </row>
    <row r="27">
      <c r="A27" s="15">
        <f>IF(Produits!$A$26="","",Produits!$A$26)</f>
        <v/>
      </c>
      <c r="B27" s="17">
        <f>IF(Produits!$A$26="","",Produits!$C$26)</f>
        <v/>
      </c>
      <c r="C27" s="20">
        <f>IF($A27="","",IF(SUMIFS(Pertes!$C$5:$C$154,Pertes!$B$5:$B$154,$A27,Pertes!$E$5:$E$154,"Périmé",Pertes!$G$5:$G$154,$B$3,Pertes!$H$5:$H$154,$D$3)=0,"",SUMIFS(Pertes!$C$5:$C$154,Pertes!$B$5:$B$154,$A27,Pertes!$E$5:$E$154,"Périmé",Pertes!$G$5:$G$154,$B$3,Pertes!$H$5:$H$154,$D$3)))</f>
        <v/>
      </c>
      <c r="D27" s="20">
        <f>IF($A27="","",IF(SUMIFS(Pertes!$C$5:$C$154,Pertes!$B$5:$B$154,$A27,Pertes!$E$5:$E$154,"Raté",Pertes!$G$5:$G$154,$B$3,Pertes!$H$5:$H$154,$D$3)=0,"",SUMIFS(Pertes!$C$5:$C$154,Pertes!$B$5:$B$154,$A27,Pertes!$E$5:$E$154,"Raté",Pertes!$G$5:$G$154,$B$3,Pertes!$H$5:$H$154,$D$3)))</f>
        <v/>
      </c>
      <c r="E27" s="20">
        <f>IF($A27="","",IF(SUMIFS(Pertes!$C$5:$C$154,Pertes!$B$5:$B$154,$A27,Pertes!$E$5:$E$154,"Cassé / renversé",Pertes!$G$5:$G$154,$B$3,Pertes!$H$5:$H$154,$D$3)=0,"",SUMIFS(Pertes!$C$5:$C$154,Pertes!$B$5:$B$154,$A27,Pertes!$E$5:$E$154,"Cassé / renversé",Pertes!$G$5:$G$154,$B$3,Pertes!$H$5:$H$154,$D$3)))</f>
        <v/>
      </c>
      <c r="F27" s="20">
        <f>IF($A27="","",IF(SUMIFS(Pertes!$C$5:$C$154,Pertes!$B$5:$B$154,$A27,Pertes!$E$5:$E$154,"Dégustation",Pertes!$G$5:$G$154,$B$3,Pertes!$H$5:$H$154,$D$3)=0,"",SUMIFS(Pertes!$C$5:$C$154,Pertes!$B$5:$B$154,$A27,Pertes!$E$5:$E$154,"Dégustation",Pertes!$G$5:$G$154,$B$3,Pertes!$H$5:$H$154,$D$3)))</f>
        <v/>
      </c>
      <c r="G27" s="20">
        <f>IF($A27="","",IF(SUMIFS(Pertes!$C$5:$C$154,Pertes!$B$5:$B$154,$A27,Pertes!$E$5:$E$154,"Autre",Pertes!$G$5:$G$154,$B$3,Pertes!$H$5:$H$154,$D$3)=0,"",SUMIFS(Pertes!$C$5:$C$154,Pertes!$B$5:$B$154,$A27,Pertes!$E$5:$E$154,"Autre",Pertes!$G$5:$G$154,$B$3,Pertes!$H$5:$H$154,$D$3)))</f>
        <v/>
      </c>
      <c r="H27" s="18">
        <f>IF(COUNT(C27:G27)=0,"",SUM(C27:G27))</f>
        <v/>
      </c>
    </row>
    <row r="28">
      <c r="A28" s="15">
        <f>IF(Produits!$A$27="","",Produits!$A$27)</f>
        <v/>
      </c>
      <c r="B28" s="17">
        <f>IF(Produits!$A$27="","",Produits!$C$27)</f>
        <v/>
      </c>
      <c r="C28" s="20">
        <f>IF($A28="","",IF(SUMIFS(Pertes!$C$5:$C$154,Pertes!$B$5:$B$154,$A28,Pertes!$E$5:$E$154,"Périmé",Pertes!$G$5:$G$154,$B$3,Pertes!$H$5:$H$154,$D$3)=0,"",SUMIFS(Pertes!$C$5:$C$154,Pertes!$B$5:$B$154,$A28,Pertes!$E$5:$E$154,"Périmé",Pertes!$G$5:$G$154,$B$3,Pertes!$H$5:$H$154,$D$3)))</f>
        <v/>
      </c>
      <c r="D28" s="20">
        <f>IF($A28="","",IF(SUMIFS(Pertes!$C$5:$C$154,Pertes!$B$5:$B$154,$A28,Pertes!$E$5:$E$154,"Raté",Pertes!$G$5:$G$154,$B$3,Pertes!$H$5:$H$154,$D$3)=0,"",SUMIFS(Pertes!$C$5:$C$154,Pertes!$B$5:$B$154,$A28,Pertes!$E$5:$E$154,"Raté",Pertes!$G$5:$G$154,$B$3,Pertes!$H$5:$H$154,$D$3)))</f>
        <v/>
      </c>
      <c r="E28" s="20">
        <f>IF($A28="","",IF(SUMIFS(Pertes!$C$5:$C$154,Pertes!$B$5:$B$154,$A28,Pertes!$E$5:$E$154,"Cassé / renversé",Pertes!$G$5:$G$154,$B$3,Pertes!$H$5:$H$154,$D$3)=0,"",SUMIFS(Pertes!$C$5:$C$154,Pertes!$B$5:$B$154,$A28,Pertes!$E$5:$E$154,"Cassé / renversé",Pertes!$G$5:$G$154,$B$3,Pertes!$H$5:$H$154,$D$3)))</f>
        <v/>
      </c>
      <c r="F28" s="20">
        <f>IF($A28="","",IF(SUMIFS(Pertes!$C$5:$C$154,Pertes!$B$5:$B$154,$A28,Pertes!$E$5:$E$154,"Dégustation",Pertes!$G$5:$G$154,$B$3,Pertes!$H$5:$H$154,$D$3)=0,"",SUMIFS(Pertes!$C$5:$C$154,Pertes!$B$5:$B$154,$A28,Pertes!$E$5:$E$154,"Dégustation",Pertes!$G$5:$G$154,$B$3,Pertes!$H$5:$H$154,$D$3)))</f>
        <v/>
      </c>
      <c r="G28" s="20">
        <f>IF($A28="","",IF(SUMIFS(Pertes!$C$5:$C$154,Pertes!$B$5:$B$154,$A28,Pertes!$E$5:$E$154,"Autre",Pertes!$G$5:$G$154,$B$3,Pertes!$H$5:$H$154,$D$3)=0,"",SUMIFS(Pertes!$C$5:$C$154,Pertes!$B$5:$B$154,$A28,Pertes!$E$5:$E$154,"Autre",Pertes!$G$5:$G$154,$B$3,Pertes!$H$5:$H$154,$D$3)))</f>
        <v/>
      </c>
      <c r="H28" s="18">
        <f>IF(COUNT(C28:G28)=0,"",SUM(C28:G28))</f>
        <v/>
      </c>
    </row>
    <row r="29">
      <c r="A29" s="15">
        <f>IF(Produits!$A$28="","",Produits!$A$28)</f>
        <v/>
      </c>
      <c r="B29" s="17">
        <f>IF(Produits!$A$28="","",Produits!$C$28)</f>
        <v/>
      </c>
      <c r="C29" s="20">
        <f>IF($A29="","",IF(SUMIFS(Pertes!$C$5:$C$154,Pertes!$B$5:$B$154,$A29,Pertes!$E$5:$E$154,"Périmé",Pertes!$G$5:$G$154,$B$3,Pertes!$H$5:$H$154,$D$3)=0,"",SUMIFS(Pertes!$C$5:$C$154,Pertes!$B$5:$B$154,$A29,Pertes!$E$5:$E$154,"Périmé",Pertes!$G$5:$G$154,$B$3,Pertes!$H$5:$H$154,$D$3)))</f>
        <v/>
      </c>
      <c r="D29" s="20">
        <f>IF($A29="","",IF(SUMIFS(Pertes!$C$5:$C$154,Pertes!$B$5:$B$154,$A29,Pertes!$E$5:$E$154,"Raté",Pertes!$G$5:$G$154,$B$3,Pertes!$H$5:$H$154,$D$3)=0,"",SUMIFS(Pertes!$C$5:$C$154,Pertes!$B$5:$B$154,$A29,Pertes!$E$5:$E$154,"Raté",Pertes!$G$5:$G$154,$B$3,Pertes!$H$5:$H$154,$D$3)))</f>
        <v/>
      </c>
      <c r="E29" s="20">
        <f>IF($A29="","",IF(SUMIFS(Pertes!$C$5:$C$154,Pertes!$B$5:$B$154,$A29,Pertes!$E$5:$E$154,"Cassé / renversé",Pertes!$G$5:$G$154,$B$3,Pertes!$H$5:$H$154,$D$3)=0,"",SUMIFS(Pertes!$C$5:$C$154,Pertes!$B$5:$B$154,$A29,Pertes!$E$5:$E$154,"Cassé / renversé",Pertes!$G$5:$G$154,$B$3,Pertes!$H$5:$H$154,$D$3)))</f>
        <v/>
      </c>
      <c r="F29" s="20">
        <f>IF($A29="","",IF(SUMIFS(Pertes!$C$5:$C$154,Pertes!$B$5:$B$154,$A29,Pertes!$E$5:$E$154,"Dégustation",Pertes!$G$5:$G$154,$B$3,Pertes!$H$5:$H$154,$D$3)=0,"",SUMIFS(Pertes!$C$5:$C$154,Pertes!$B$5:$B$154,$A29,Pertes!$E$5:$E$154,"Dégustation",Pertes!$G$5:$G$154,$B$3,Pertes!$H$5:$H$154,$D$3)))</f>
        <v/>
      </c>
      <c r="G29" s="20">
        <f>IF($A29="","",IF(SUMIFS(Pertes!$C$5:$C$154,Pertes!$B$5:$B$154,$A29,Pertes!$E$5:$E$154,"Autre",Pertes!$G$5:$G$154,$B$3,Pertes!$H$5:$H$154,$D$3)=0,"",SUMIFS(Pertes!$C$5:$C$154,Pertes!$B$5:$B$154,$A29,Pertes!$E$5:$E$154,"Autre",Pertes!$G$5:$G$154,$B$3,Pertes!$H$5:$H$154,$D$3)))</f>
        <v/>
      </c>
      <c r="H29" s="18">
        <f>IF(COUNT(C29:G29)=0,"",SUM(C29:G29))</f>
        <v/>
      </c>
    </row>
    <row r="30">
      <c r="A30" s="15">
        <f>IF(Produits!$A$29="","",Produits!$A$29)</f>
        <v/>
      </c>
      <c r="B30" s="17">
        <f>IF(Produits!$A$29="","",Produits!$C$29)</f>
        <v/>
      </c>
      <c r="C30" s="20">
        <f>IF($A30="","",IF(SUMIFS(Pertes!$C$5:$C$154,Pertes!$B$5:$B$154,$A30,Pertes!$E$5:$E$154,"Périmé",Pertes!$G$5:$G$154,$B$3,Pertes!$H$5:$H$154,$D$3)=0,"",SUMIFS(Pertes!$C$5:$C$154,Pertes!$B$5:$B$154,$A30,Pertes!$E$5:$E$154,"Périmé",Pertes!$G$5:$G$154,$B$3,Pertes!$H$5:$H$154,$D$3)))</f>
        <v/>
      </c>
      <c r="D30" s="20">
        <f>IF($A30="","",IF(SUMIFS(Pertes!$C$5:$C$154,Pertes!$B$5:$B$154,$A30,Pertes!$E$5:$E$154,"Raté",Pertes!$G$5:$G$154,$B$3,Pertes!$H$5:$H$154,$D$3)=0,"",SUMIFS(Pertes!$C$5:$C$154,Pertes!$B$5:$B$154,$A30,Pertes!$E$5:$E$154,"Raté",Pertes!$G$5:$G$154,$B$3,Pertes!$H$5:$H$154,$D$3)))</f>
        <v/>
      </c>
      <c r="E30" s="20">
        <f>IF($A30="","",IF(SUMIFS(Pertes!$C$5:$C$154,Pertes!$B$5:$B$154,$A30,Pertes!$E$5:$E$154,"Cassé / renversé",Pertes!$G$5:$G$154,$B$3,Pertes!$H$5:$H$154,$D$3)=0,"",SUMIFS(Pertes!$C$5:$C$154,Pertes!$B$5:$B$154,$A30,Pertes!$E$5:$E$154,"Cassé / renversé",Pertes!$G$5:$G$154,$B$3,Pertes!$H$5:$H$154,$D$3)))</f>
        <v/>
      </c>
      <c r="F30" s="20">
        <f>IF($A30="","",IF(SUMIFS(Pertes!$C$5:$C$154,Pertes!$B$5:$B$154,$A30,Pertes!$E$5:$E$154,"Dégustation",Pertes!$G$5:$G$154,$B$3,Pertes!$H$5:$H$154,$D$3)=0,"",SUMIFS(Pertes!$C$5:$C$154,Pertes!$B$5:$B$154,$A30,Pertes!$E$5:$E$154,"Dégustation",Pertes!$G$5:$G$154,$B$3,Pertes!$H$5:$H$154,$D$3)))</f>
        <v/>
      </c>
      <c r="G30" s="20">
        <f>IF($A30="","",IF(SUMIFS(Pertes!$C$5:$C$154,Pertes!$B$5:$B$154,$A30,Pertes!$E$5:$E$154,"Autre",Pertes!$G$5:$G$154,$B$3,Pertes!$H$5:$H$154,$D$3)=0,"",SUMIFS(Pertes!$C$5:$C$154,Pertes!$B$5:$B$154,$A30,Pertes!$E$5:$E$154,"Autre",Pertes!$G$5:$G$154,$B$3,Pertes!$H$5:$H$154,$D$3)))</f>
        <v/>
      </c>
      <c r="H30" s="18">
        <f>IF(COUNT(C30:G30)=0,"",SUM(C30:G30))</f>
        <v/>
      </c>
    </row>
    <row r="31">
      <c r="A31" s="15">
        <f>IF(Produits!$A$30="","",Produits!$A$30)</f>
        <v/>
      </c>
      <c r="B31" s="17">
        <f>IF(Produits!$A$30="","",Produits!$C$30)</f>
        <v/>
      </c>
      <c r="C31" s="20">
        <f>IF($A31="","",IF(SUMIFS(Pertes!$C$5:$C$154,Pertes!$B$5:$B$154,$A31,Pertes!$E$5:$E$154,"Périmé",Pertes!$G$5:$G$154,$B$3,Pertes!$H$5:$H$154,$D$3)=0,"",SUMIFS(Pertes!$C$5:$C$154,Pertes!$B$5:$B$154,$A31,Pertes!$E$5:$E$154,"Périmé",Pertes!$G$5:$G$154,$B$3,Pertes!$H$5:$H$154,$D$3)))</f>
        <v/>
      </c>
      <c r="D31" s="20">
        <f>IF($A31="","",IF(SUMIFS(Pertes!$C$5:$C$154,Pertes!$B$5:$B$154,$A31,Pertes!$E$5:$E$154,"Raté",Pertes!$G$5:$G$154,$B$3,Pertes!$H$5:$H$154,$D$3)=0,"",SUMIFS(Pertes!$C$5:$C$154,Pertes!$B$5:$B$154,$A31,Pertes!$E$5:$E$154,"Raté",Pertes!$G$5:$G$154,$B$3,Pertes!$H$5:$H$154,$D$3)))</f>
        <v/>
      </c>
      <c r="E31" s="20">
        <f>IF($A31="","",IF(SUMIFS(Pertes!$C$5:$C$154,Pertes!$B$5:$B$154,$A31,Pertes!$E$5:$E$154,"Cassé / renversé",Pertes!$G$5:$G$154,$B$3,Pertes!$H$5:$H$154,$D$3)=0,"",SUMIFS(Pertes!$C$5:$C$154,Pertes!$B$5:$B$154,$A31,Pertes!$E$5:$E$154,"Cassé / renversé",Pertes!$G$5:$G$154,$B$3,Pertes!$H$5:$H$154,$D$3)))</f>
        <v/>
      </c>
      <c r="F31" s="20">
        <f>IF($A31="","",IF(SUMIFS(Pertes!$C$5:$C$154,Pertes!$B$5:$B$154,$A31,Pertes!$E$5:$E$154,"Dégustation",Pertes!$G$5:$G$154,$B$3,Pertes!$H$5:$H$154,$D$3)=0,"",SUMIFS(Pertes!$C$5:$C$154,Pertes!$B$5:$B$154,$A31,Pertes!$E$5:$E$154,"Dégustation",Pertes!$G$5:$G$154,$B$3,Pertes!$H$5:$H$154,$D$3)))</f>
        <v/>
      </c>
      <c r="G31" s="20">
        <f>IF($A31="","",IF(SUMIFS(Pertes!$C$5:$C$154,Pertes!$B$5:$B$154,$A31,Pertes!$E$5:$E$154,"Autre",Pertes!$G$5:$G$154,$B$3,Pertes!$H$5:$H$154,$D$3)=0,"",SUMIFS(Pertes!$C$5:$C$154,Pertes!$B$5:$B$154,$A31,Pertes!$E$5:$E$154,"Autre",Pertes!$G$5:$G$154,$B$3,Pertes!$H$5:$H$154,$D$3)))</f>
        <v/>
      </c>
      <c r="H31" s="18">
        <f>IF(COUNT(C31:G31)=0,"",SUM(C31:G31))</f>
        <v/>
      </c>
    </row>
    <row r="32">
      <c r="A32" s="15">
        <f>IF(Produits!$A$31="","",Produits!$A$31)</f>
        <v/>
      </c>
      <c r="B32" s="17">
        <f>IF(Produits!$A$31="","",Produits!$C$31)</f>
        <v/>
      </c>
      <c r="C32" s="20">
        <f>IF($A32="","",IF(SUMIFS(Pertes!$C$5:$C$154,Pertes!$B$5:$B$154,$A32,Pertes!$E$5:$E$154,"Périmé",Pertes!$G$5:$G$154,$B$3,Pertes!$H$5:$H$154,$D$3)=0,"",SUMIFS(Pertes!$C$5:$C$154,Pertes!$B$5:$B$154,$A32,Pertes!$E$5:$E$154,"Périmé",Pertes!$G$5:$G$154,$B$3,Pertes!$H$5:$H$154,$D$3)))</f>
        <v/>
      </c>
      <c r="D32" s="20">
        <f>IF($A32="","",IF(SUMIFS(Pertes!$C$5:$C$154,Pertes!$B$5:$B$154,$A32,Pertes!$E$5:$E$154,"Raté",Pertes!$G$5:$G$154,$B$3,Pertes!$H$5:$H$154,$D$3)=0,"",SUMIFS(Pertes!$C$5:$C$154,Pertes!$B$5:$B$154,$A32,Pertes!$E$5:$E$154,"Raté",Pertes!$G$5:$G$154,$B$3,Pertes!$H$5:$H$154,$D$3)))</f>
        <v/>
      </c>
      <c r="E32" s="20">
        <f>IF($A32="","",IF(SUMIFS(Pertes!$C$5:$C$154,Pertes!$B$5:$B$154,$A32,Pertes!$E$5:$E$154,"Cassé / renversé",Pertes!$G$5:$G$154,$B$3,Pertes!$H$5:$H$154,$D$3)=0,"",SUMIFS(Pertes!$C$5:$C$154,Pertes!$B$5:$B$154,$A32,Pertes!$E$5:$E$154,"Cassé / renversé",Pertes!$G$5:$G$154,$B$3,Pertes!$H$5:$H$154,$D$3)))</f>
        <v/>
      </c>
      <c r="F32" s="20">
        <f>IF($A32="","",IF(SUMIFS(Pertes!$C$5:$C$154,Pertes!$B$5:$B$154,$A32,Pertes!$E$5:$E$154,"Dégustation",Pertes!$G$5:$G$154,$B$3,Pertes!$H$5:$H$154,$D$3)=0,"",SUMIFS(Pertes!$C$5:$C$154,Pertes!$B$5:$B$154,$A32,Pertes!$E$5:$E$154,"Dégustation",Pertes!$G$5:$G$154,$B$3,Pertes!$H$5:$H$154,$D$3)))</f>
        <v/>
      </c>
      <c r="G32" s="20">
        <f>IF($A32="","",IF(SUMIFS(Pertes!$C$5:$C$154,Pertes!$B$5:$B$154,$A32,Pertes!$E$5:$E$154,"Autre",Pertes!$G$5:$G$154,$B$3,Pertes!$H$5:$H$154,$D$3)=0,"",SUMIFS(Pertes!$C$5:$C$154,Pertes!$B$5:$B$154,$A32,Pertes!$E$5:$E$154,"Autre",Pertes!$G$5:$G$154,$B$3,Pertes!$H$5:$H$154,$D$3)))</f>
        <v/>
      </c>
      <c r="H32" s="18">
        <f>IF(COUNT(C32:G32)=0,"",SUM(C32:G32))</f>
        <v/>
      </c>
    </row>
    <row r="33">
      <c r="A33" s="15">
        <f>IF(Produits!$A$32="","",Produits!$A$32)</f>
        <v/>
      </c>
      <c r="B33" s="17">
        <f>IF(Produits!$A$32="","",Produits!$C$32)</f>
        <v/>
      </c>
      <c r="C33" s="20">
        <f>IF($A33="","",IF(SUMIFS(Pertes!$C$5:$C$154,Pertes!$B$5:$B$154,$A33,Pertes!$E$5:$E$154,"Périmé",Pertes!$G$5:$G$154,$B$3,Pertes!$H$5:$H$154,$D$3)=0,"",SUMIFS(Pertes!$C$5:$C$154,Pertes!$B$5:$B$154,$A33,Pertes!$E$5:$E$154,"Périmé",Pertes!$G$5:$G$154,$B$3,Pertes!$H$5:$H$154,$D$3)))</f>
        <v/>
      </c>
      <c r="D33" s="20">
        <f>IF($A33="","",IF(SUMIFS(Pertes!$C$5:$C$154,Pertes!$B$5:$B$154,$A33,Pertes!$E$5:$E$154,"Raté",Pertes!$G$5:$G$154,$B$3,Pertes!$H$5:$H$154,$D$3)=0,"",SUMIFS(Pertes!$C$5:$C$154,Pertes!$B$5:$B$154,$A33,Pertes!$E$5:$E$154,"Raté",Pertes!$G$5:$G$154,$B$3,Pertes!$H$5:$H$154,$D$3)))</f>
        <v/>
      </c>
      <c r="E33" s="20">
        <f>IF($A33="","",IF(SUMIFS(Pertes!$C$5:$C$154,Pertes!$B$5:$B$154,$A33,Pertes!$E$5:$E$154,"Cassé / renversé",Pertes!$G$5:$G$154,$B$3,Pertes!$H$5:$H$154,$D$3)=0,"",SUMIFS(Pertes!$C$5:$C$154,Pertes!$B$5:$B$154,$A33,Pertes!$E$5:$E$154,"Cassé / renversé",Pertes!$G$5:$G$154,$B$3,Pertes!$H$5:$H$154,$D$3)))</f>
        <v/>
      </c>
      <c r="F33" s="20">
        <f>IF($A33="","",IF(SUMIFS(Pertes!$C$5:$C$154,Pertes!$B$5:$B$154,$A33,Pertes!$E$5:$E$154,"Dégustation",Pertes!$G$5:$G$154,$B$3,Pertes!$H$5:$H$154,$D$3)=0,"",SUMIFS(Pertes!$C$5:$C$154,Pertes!$B$5:$B$154,$A33,Pertes!$E$5:$E$154,"Dégustation",Pertes!$G$5:$G$154,$B$3,Pertes!$H$5:$H$154,$D$3)))</f>
        <v/>
      </c>
      <c r="G33" s="20">
        <f>IF($A33="","",IF(SUMIFS(Pertes!$C$5:$C$154,Pertes!$B$5:$B$154,$A33,Pertes!$E$5:$E$154,"Autre",Pertes!$G$5:$G$154,$B$3,Pertes!$H$5:$H$154,$D$3)=0,"",SUMIFS(Pertes!$C$5:$C$154,Pertes!$B$5:$B$154,$A33,Pertes!$E$5:$E$154,"Autre",Pertes!$G$5:$G$154,$B$3,Pertes!$H$5:$H$154,$D$3)))</f>
        <v/>
      </c>
      <c r="H33" s="18">
        <f>IF(COUNT(C33:G33)=0,"",SUM(C33:G33))</f>
        <v/>
      </c>
    </row>
    <row r="34">
      <c r="A34" s="15">
        <f>IF(Produits!$A$33="","",Produits!$A$33)</f>
        <v/>
      </c>
      <c r="B34" s="17">
        <f>IF(Produits!$A$33="","",Produits!$C$33)</f>
        <v/>
      </c>
      <c r="C34" s="20">
        <f>IF($A34="","",IF(SUMIFS(Pertes!$C$5:$C$154,Pertes!$B$5:$B$154,$A34,Pertes!$E$5:$E$154,"Périmé",Pertes!$G$5:$G$154,$B$3,Pertes!$H$5:$H$154,$D$3)=0,"",SUMIFS(Pertes!$C$5:$C$154,Pertes!$B$5:$B$154,$A34,Pertes!$E$5:$E$154,"Périmé",Pertes!$G$5:$G$154,$B$3,Pertes!$H$5:$H$154,$D$3)))</f>
        <v/>
      </c>
      <c r="D34" s="20">
        <f>IF($A34="","",IF(SUMIFS(Pertes!$C$5:$C$154,Pertes!$B$5:$B$154,$A34,Pertes!$E$5:$E$154,"Raté",Pertes!$G$5:$G$154,$B$3,Pertes!$H$5:$H$154,$D$3)=0,"",SUMIFS(Pertes!$C$5:$C$154,Pertes!$B$5:$B$154,$A34,Pertes!$E$5:$E$154,"Raté",Pertes!$G$5:$G$154,$B$3,Pertes!$H$5:$H$154,$D$3)))</f>
        <v/>
      </c>
      <c r="E34" s="20">
        <f>IF($A34="","",IF(SUMIFS(Pertes!$C$5:$C$154,Pertes!$B$5:$B$154,$A34,Pertes!$E$5:$E$154,"Cassé / renversé",Pertes!$G$5:$G$154,$B$3,Pertes!$H$5:$H$154,$D$3)=0,"",SUMIFS(Pertes!$C$5:$C$154,Pertes!$B$5:$B$154,$A34,Pertes!$E$5:$E$154,"Cassé / renversé",Pertes!$G$5:$G$154,$B$3,Pertes!$H$5:$H$154,$D$3)))</f>
        <v/>
      </c>
      <c r="F34" s="20">
        <f>IF($A34="","",IF(SUMIFS(Pertes!$C$5:$C$154,Pertes!$B$5:$B$154,$A34,Pertes!$E$5:$E$154,"Dégustation",Pertes!$G$5:$G$154,$B$3,Pertes!$H$5:$H$154,$D$3)=0,"",SUMIFS(Pertes!$C$5:$C$154,Pertes!$B$5:$B$154,$A34,Pertes!$E$5:$E$154,"Dégustation",Pertes!$G$5:$G$154,$B$3,Pertes!$H$5:$H$154,$D$3)))</f>
        <v/>
      </c>
      <c r="G34" s="20">
        <f>IF($A34="","",IF(SUMIFS(Pertes!$C$5:$C$154,Pertes!$B$5:$B$154,$A34,Pertes!$E$5:$E$154,"Autre",Pertes!$G$5:$G$154,$B$3,Pertes!$H$5:$H$154,$D$3)=0,"",SUMIFS(Pertes!$C$5:$C$154,Pertes!$B$5:$B$154,$A34,Pertes!$E$5:$E$154,"Autre",Pertes!$G$5:$G$154,$B$3,Pertes!$H$5:$H$154,$D$3)))</f>
        <v/>
      </c>
      <c r="H34" s="18">
        <f>IF(COUNT(C34:G34)=0,"",SUM(C34:G34))</f>
        <v/>
      </c>
    </row>
    <row r="35">
      <c r="A35" s="15">
        <f>IF(Produits!$A$34="","",Produits!$A$34)</f>
        <v/>
      </c>
      <c r="B35" s="17">
        <f>IF(Produits!$A$34="","",Produits!$C$34)</f>
        <v/>
      </c>
      <c r="C35" s="20">
        <f>IF($A35="","",IF(SUMIFS(Pertes!$C$5:$C$154,Pertes!$B$5:$B$154,$A35,Pertes!$E$5:$E$154,"Périmé",Pertes!$G$5:$G$154,$B$3,Pertes!$H$5:$H$154,$D$3)=0,"",SUMIFS(Pertes!$C$5:$C$154,Pertes!$B$5:$B$154,$A35,Pertes!$E$5:$E$154,"Périmé",Pertes!$G$5:$G$154,$B$3,Pertes!$H$5:$H$154,$D$3)))</f>
        <v/>
      </c>
      <c r="D35" s="20">
        <f>IF($A35="","",IF(SUMIFS(Pertes!$C$5:$C$154,Pertes!$B$5:$B$154,$A35,Pertes!$E$5:$E$154,"Raté",Pertes!$G$5:$G$154,$B$3,Pertes!$H$5:$H$154,$D$3)=0,"",SUMIFS(Pertes!$C$5:$C$154,Pertes!$B$5:$B$154,$A35,Pertes!$E$5:$E$154,"Raté",Pertes!$G$5:$G$154,$B$3,Pertes!$H$5:$H$154,$D$3)))</f>
        <v/>
      </c>
      <c r="E35" s="20">
        <f>IF($A35="","",IF(SUMIFS(Pertes!$C$5:$C$154,Pertes!$B$5:$B$154,$A35,Pertes!$E$5:$E$154,"Cassé / renversé",Pertes!$G$5:$G$154,$B$3,Pertes!$H$5:$H$154,$D$3)=0,"",SUMIFS(Pertes!$C$5:$C$154,Pertes!$B$5:$B$154,$A35,Pertes!$E$5:$E$154,"Cassé / renversé",Pertes!$G$5:$G$154,$B$3,Pertes!$H$5:$H$154,$D$3)))</f>
        <v/>
      </c>
      <c r="F35" s="20">
        <f>IF($A35="","",IF(SUMIFS(Pertes!$C$5:$C$154,Pertes!$B$5:$B$154,$A35,Pertes!$E$5:$E$154,"Dégustation",Pertes!$G$5:$G$154,$B$3,Pertes!$H$5:$H$154,$D$3)=0,"",SUMIFS(Pertes!$C$5:$C$154,Pertes!$B$5:$B$154,$A35,Pertes!$E$5:$E$154,"Dégustation",Pertes!$G$5:$G$154,$B$3,Pertes!$H$5:$H$154,$D$3)))</f>
        <v/>
      </c>
      <c r="G35" s="20">
        <f>IF($A35="","",IF(SUMIFS(Pertes!$C$5:$C$154,Pertes!$B$5:$B$154,$A35,Pertes!$E$5:$E$154,"Autre",Pertes!$G$5:$G$154,$B$3,Pertes!$H$5:$H$154,$D$3)=0,"",SUMIFS(Pertes!$C$5:$C$154,Pertes!$B$5:$B$154,$A35,Pertes!$E$5:$E$154,"Autre",Pertes!$G$5:$G$154,$B$3,Pertes!$H$5:$H$154,$D$3)))</f>
        <v/>
      </c>
      <c r="H35" s="18">
        <f>IF(COUNT(C35:G35)=0,"",SUM(C35:G35))</f>
        <v/>
      </c>
    </row>
    <row r="36">
      <c r="A36" s="15">
        <f>IF(Produits!$A$35="","",Produits!$A$35)</f>
        <v/>
      </c>
      <c r="B36" s="17">
        <f>IF(Produits!$A$35="","",Produits!$C$35)</f>
        <v/>
      </c>
      <c r="C36" s="20">
        <f>IF($A36="","",IF(SUMIFS(Pertes!$C$5:$C$154,Pertes!$B$5:$B$154,$A36,Pertes!$E$5:$E$154,"Périmé",Pertes!$G$5:$G$154,$B$3,Pertes!$H$5:$H$154,$D$3)=0,"",SUMIFS(Pertes!$C$5:$C$154,Pertes!$B$5:$B$154,$A36,Pertes!$E$5:$E$154,"Périmé",Pertes!$G$5:$G$154,$B$3,Pertes!$H$5:$H$154,$D$3)))</f>
        <v/>
      </c>
      <c r="D36" s="20">
        <f>IF($A36="","",IF(SUMIFS(Pertes!$C$5:$C$154,Pertes!$B$5:$B$154,$A36,Pertes!$E$5:$E$154,"Raté",Pertes!$G$5:$G$154,$B$3,Pertes!$H$5:$H$154,$D$3)=0,"",SUMIFS(Pertes!$C$5:$C$154,Pertes!$B$5:$B$154,$A36,Pertes!$E$5:$E$154,"Raté",Pertes!$G$5:$G$154,$B$3,Pertes!$H$5:$H$154,$D$3)))</f>
        <v/>
      </c>
      <c r="E36" s="20">
        <f>IF($A36="","",IF(SUMIFS(Pertes!$C$5:$C$154,Pertes!$B$5:$B$154,$A36,Pertes!$E$5:$E$154,"Cassé / renversé",Pertes!$G$5:$G$154,$B$3,Pertes!$H$5:$H$154,$D$3)=0,"",SUMIFS(Pertes!$C$5:$C$154,Pertes!$B$5:$B$154,$A36,Pertes!$E$5:$E$154,"Cassé / renversé",Pertes!$G$5:$G$154,$B$3,Pertes!$H$5:$H$154,$D$3)))</f>
        <v/>
      </c>
      <c r="F36" s="20">
        <f>IF($A36="","",IF(SUMIFS(Pertes!$C$5:$C$154,Pertes!$B$5:$B$154,$A36,Pertes!$E$5:$E$154,"Dégustation",Pertes!$G$5:$G$154,$B$3,Pertes!$H$5:$H$154,$D$3)=0,"",SUMIFS(Pertes!$C$5:$C$154,Pertes!$B$5:$B$154,$A36,Pertes!$E$5:$E$154,"Dégustation",Pertes!$G$5:$G$154,$B$3,Pertes!$H$5:$H$154,$D$3)))</f>
        <v/>
      </c>
      <c r="G36" s="20">
        <f>IF($A36="","",IF(SUMIFS(Pertes!$C$5:$C$154,Pertes!$B$5:$B$154,$A36,Pertes!$E$5:$E$154,"Autre",Pertes!$G$5:$G$154,$B$3,Pertes!$H$5:$H$154,$D$3)=0,"",SUMIFS(Pertes!$C$5:$C$154,Pertes!$B$5:$B$154,$A36,Pertes!$E$5:$E$154,"Autre",Pertes!$G$5:$G$154,$B$3,Pertes!$H$5:$H$154,$D$3)))</f>
        <v/>
      </c>
      <c r="H36" s="18">
        <f>IF(COUNT(C36:G36)=0,"",SUM(C36:G36))</f>
        <v/>
      </c>
    </row>
    <row r="37">
      <c r="A37" s="15">
        <f>IF(Produits!$A$36="","",Produits!$A$36)</f>
        <v/>
      </c>
      <c r="B37" s="17">
        <f>IF(Produits!$A$36="","",Produits!$C$36)</f>
        <v/>
      </c>
      <c r="C37" s="20">
        <f>IF($A37="","",IF(SUMIFS(Pertes!$C$5:$C$154,Pertes!$B$5:$B$154,$A37,Pertes!$E$5:$E$154,"Périmé",Pertes!$G$5:$G$154,$B$3,Pertes!$H$5:$H$154,$D$3)=0,"",SUMIFS(Pertes!$C$5:$C$154,Pertes!$B$5:$B$154,$A37,Pertes!$E$5:$E$154,"Périmé",Pertes!$G$5:$G$154,$B$3,Pertes!$H$5:$H$154,$D$3)))</f>
        <v/>
      </c>
      <c r="D37" s="20">
        <f>IF($A37="","",IF(SUMIFS(Pertes!$C$5:$C$154,Pertes!$B$5:$B$154,$A37,Pertes!$E$5:$E$154,"Raté",Pertes!$G$5:$G$154,$B$3,Pertes!$H$5:$H$154,$D$3)=0,"",SUMIFS(Pertes!$C$5:$C$154,Pertes!$B$5:$B$154,$A37,Pertes!$E$5:$E$154,"Raté",Pertes!$G$5:$G$154,$B$3,Pertes!$H$5:$H$154,$D$3)))</f>
        <v/>
      </c>
      <c r="E37" s="20">
        <f>IF($A37="","",IF(SUMIFS(Pertes!$C$5:$C$154,Pertes!$B$5:$B$154,$A37,Pertes!$E$5:$E$154,"Cassé / renversé",Pertes!$G$5:$G$154,$B$3,Pertes!$H$5:$H$154,$D$3)=0,"",SUMIFS(Pertes!$C$5:$C$154,Pertes!$B$5:$B$154,$A37,Pertes!$E$5:$E$154,"Cassé / renversé",Pertes!$G$5:$G$154,$B$3,Pertes!$H$5:$H$154,$D$3)))</f>
        <v/>
      </c>
      <c r="F37" s="20">
        <f>IF($A37="","",IF(SUMIFS(Pertes!$C$5:$C$154,Pertes!$B$5:$B$154,$A37,Pertes!$E$5:$E$154,"Dégustation",Pertes!$G$5:$G$154,$B$3,Pertes!$H$5:$H$154,$D$3)=0,"",SUMIFS(Pertes!$C$5:$C$154,Pertes!$B$5:$B$154,$A37,Pertes!$E$5:$E$154,"Dégustation",Pertes!$G$5:$G$154,$B$3,Pertes!$H$5:$H$154,$D$3)))</f>
        <v/>
      </c>
      <c r="G37" s="20">
        <f>IF($A37="","",IF(SUMIFS(Pertes!$C$5:$C$154,Pertes!$B$5:$B$154,$A37,Pertes!$E$5:$E$154,"Autre",Pertes!$G$5:$G$154,$B$3,Pertes!$H$5:$H$154,$D$3)=0,"",SUMIFS(Pertes!$C$5:$C$154,Pertes!$B$5:$B$154,$A37,Pertes!$E$5:$E$154,"Autre",Pertes!$G$5:$G$154,$B$3,Pertes!$H$5:$H$154,$D$3)))</f>
        <v/>
      </c>
      <c r="H37" s="18">
        <f>IF(COUNT(C37:G37)=0,"",SUM(C37:G37))</f>
        <v/>
      </c>
    </row>
    <row r="38">
      <c r="A38" s="15">
        <f>IF(Produits!$A$37="","",Produits!$A$37)</f>
        <v/>
      </c>
      <c r="B38" s="17">
        <f>IF(Produits!$A$37="","",Produits!$C$37)</f>
        <v/>
      </c>
      <c r="C38" s="20">
        <f>IF($A38="","",IF(SUMIFS(Pertes!$C$5:$C$154,Pertes!$B$5:$B$154,$A38,Pertes!$E$5:$E$154,"Périmé",Pertes!$G$5:$G$154,$B$3,Pertes!$H$5:$H$154,$D$3)=0,"",SUMIFS(Pertes!$C$5:$C$154,Pertes!$B$5:$B$154,$A38,Pertes!$E$5:$E$154,"Périmé",Pertes!$G$5:$G$154,$B$3,Pertes!$H$5:$H$154,$D$3)))</f>
        <v/>
      </c>
      <c r="D38" s="20">
        <f>IF($A38="","",IF(SUMIFS(Pertes!$C$5:$C$154,Pertes!$B$5:$B$154,$A38,Pertes!$E$5:$E$154,"Raté",Pertes!$G$5:$G$154,$B$3,Pertes!$H$5:$H$154,$D$3)=0,"",SUMIFS(Pertes!$C$5:$C$154,Pertes!$B$5:$B$154,$A38,Pertes!$E$5:$E$154,"Raté",Pertes!$G$5:$G$154,$B$3,Pertes!$H$5:$H$154,$D$3)))</f>
        <v/>
      </c>
      <c r="E38" s="20">
        <f>IF($A38="","",IF(SUMIFS(Pertes!$C$5:$C$154,Pertes!$B$5:$B$154,$A38,Pertes!$E$5:$E$154,"Cassé / renversé",Pertes!$G$5:$G$154,$B$3,Pertes!$H$5:$H$154,$D$3)=0,"",SUMIFS(Pertes!$C$5:$C$154,Pertes!$B$5:$B$154,$A38,Pertes!$E$5:$E$154,"Cassé / renversé",Pertes!$G$5:$G$154,$B$3,Pertes!$H$5:$H$154,$D$3)))</f>
        <v/>
      </c>
      <c r="F38" s="20">
        <f>IF($A38="","",IF(SUMIFS(Pertes!$C$5:$C$154,Pertes!$B$5:$B$154,$A38,Pertes!$E$5:$E$154,"Dégustation",Pertes!$G$5:$G$154,$B$3,Pertes!$H$5:$H$154,$D$3)=0,"",SUMIFS(Pertes!$C$5:$C$154,Pertes!$B$5:$B$154,$A38,Pertes!$E$5:$E$154,"Dégustation",Pertes!$G$5:$G$154,$B$3,Pertes!$H$5:$H$154,$D$3)))</f>
        <v/>
      </c>
      <c r="G38" s="20">
        <f>IF($A38="","",IF(SUMIFS(Pertes!$C$5:$C$154,Pertes!$B$5:$B$154,$A38,Pertes!$E$5:$E$154,"Autre",Pertes!$G$5:$G$154,$B$3,Pertes!$H$5:$H$154,$D$3)=0,"",SUMIFS(Pertes!$C$5:$C$154,Pertes!$B$5:$B$154,$A38,Pertes!$E$5:$E$154,"Autre",Pertes!$G$5:$G$154,$B$3,Pertes!$H$5:$H$154,$D$3)))</f>
        <v/>
      </c>
      <c r="H38" s="18">
        <f>IF(COUNT(C38:G38)=0,"",SUM(C38:G38))</f>
        <v/>
      </c>
    </row>
    <row r="39">
      <c r="A39" s="15">
        <f>IF(Produits!$A$38="","",Produits!$A$38)</f>
        <v/>
      </c>
      <c r="B39" s="17">
        <f>IF(Produits!$A$38="","",Produits!$C$38)</f>
        <v/>
      </c>
      <c r="C39" s="20">
        <f>IF($A39="","",IF(SUMIFS(Pertes!$C$5:$C$154,Pertes!$B$5:$B$154,$A39,Pertes!$E$5:$E$154,"Périmé",Pertes!$G$5:$G$154,$B$3,Pertes!$H$5:$H$154,$D$3)=0,"",SUMIFS(Pertes!$C$5:$C$154,Pertes!$B$5:$B$154,$A39,Pertes!$E$5:$E$154,"Périmé",Pertes!$G$5:$G$154,$B$3,Pertes!$H$5:$H$154,$D$3)))</f>
        <v/>
      </c>
      <c r="D39" s="20">
        <f>IF($A39="","",IF(SUMIFS(Pertes!$C$5:$C$154,Pertes!$B$5:$B$154,$A39,Pertes!$E$5:$E$154,"Raté",Pertes!$G$5:$G$154,$B$3,Pertes!$H$5:$H$154,$D$3)=0,"",SUMIFS(Pertes!$C$5:$C$154,Pertes!$B$5:$B$154,$A39,Pertes!$E$5:$E$154,"Raté",Pertes!$G$5:$G$154,$B$3,Pertes!$H$5:$H$154,$D$3)))</f>
        <v/>
      </c>
      <c r="E39" s="20">
        <f>IF($A39="","",IF(SUMIFS(Pertes!$C$5:$C$154,Pertes!$B$5:$B$154,$A39,Pertes!$E$5:$E$154,"Cassé / renversé",Pertes!$G$5:$G$154,$B$3,Pertes!$H$5:$H$154,$D$3)=0,"",SUMIFS(Pertes!$C$5:$C$154,Pertes!$B$5:$B$154,$A39,Pertes!$E$5:$E$154,"Cassé / renversé",Pertes!$G$5:$G$154,$B$3,Pertes!$H$5:$H$154,$D$3)))</f>
        <v/>
      </c>
      <c r="F39" s="20">
        <f>IF($A39="","",IF(SUMIFS(Pertes!$C$5:$C$154,Pertes!$B$5:$B$154,$A39,Pertes!$E$5:$E$154,"Dégustation",Pertes!$G$5:$G$154,$B$3,Pertes!$H$5:$H$154,$D$3)=0,"",SUMIFS(Pertes!$C$5:$C$154,Pertes!$B$5:$B$154,$A39,Pertes!$E$5:$E$154,"Dégustation",Pertes!$G$5:$G$154,$B$3,Pertes!$H$5:$H$154,$D$3)))</f>
        <v/>
      </c>
      <c r="G39" s="20">
        <f>IF($A39="","",IF(SUMIFS(Pertes!$C$5:$C$154,Pertes!$B$5:$B$154,$A39,Pertes!$E$5:$E$154,"Autre",Pertes!$G$5:$G$154,$B$3,Pertes!$H$5:$H$154,$D$3)=0,"",SUMIFS(Pertes!$C$5:$C$154,Pertes!$B$5:$B$154,$A39,Pertes!$E$5:$E$154,"Autre",Pertes!$G$5:$G$154,$B$3,Pertes!$H$5:$H$154,$D$3)))</f>
        <v/>
      </c>
      <c r="H39" s="18">
        <f>IF(COUNT(C39:G39)=0,"",SUM(C39:G39))</f>
        <v/>
      </c>
    </row>
    <row r="40">
      <c r="A40" s="15">
        <f>IF(Produits!$A$39="","",Produits!$A$39)</f>
        <v/>
      </c>
      <c r="B40" s="17">
        <f>IF(Produits!$A$39="","",Produits!$C$39)</f>
        <v/>
      </c>
      <c r="C40" s="20">
        <f>IF($A40="","",IF(SUMIFS(Pertes!$C$5:$C$154,Pertes!$B$5:$B$154,$A40,Pertes!$E$5:$E$154,"Périmé",Pertes!$G$5:$G$154,$B$3,Pertes!$H$5:$H$154,$D$3)=0,"",SUMIFS(Pertes!$C$5:$C$154,Pertes!$B$5:$B$154,$A40,Pertes!$E$5:$E$154,"Périmé",Pertes!$G$5:$G$154,$B$3,Pertes!$H$5:$H$154,$D$3)))</f>
        <v/>
      </c>
      <c r="D40" s="20">
        <f>IF($A40="","",IF(SUMIFS(Pertes!$C$5:$C$154,Pertes!$B$5:$B$154,$A40,Pertes!$E$5:$E$154,"Raté",Pertes!$G$5:$G$154,$B$3,Pertes!$H$5:$H$154,$D$3)=0,"",SUMIFS(Pertes!$C$5:$C$154,Pertes!$B$5:$B$154,$A40,Pertes!$E$5:$E$154,"Raté",Pertes!$G$5:$G$154,$B$3,Pertes!$H$5:$H$154,$D$3)))</f>
        <v/>
      </c>
      <c r="E40" s="20">
        <f>IF($A40="","",IF(SUMIFS(Pertes!$C$5:$C$154,Pertes!$B$5:$B$154,$A40,Pertes!$E$5:$E$154,"Cassé / renversé",Pertes!$G$5:$G$154,$B$3,Pertes!$H$5:$H$154,$D$3)=0,"",SUMIFS(Pertes!$C$5:$C$154,Pertes!$B$5:$B$154,$A40,Pertes!$E$5:$E$154,"Cassé / renversé",Pertes!$G$5:$G$154,$B$3,Pertes!$H$5:$H$154,$D$3)))</f>
        <v/>
      </c>
      <c r="F40" s="20">
        <f>IF($A40="","",IF(SUMIFS(Pertes!$C$5:$C$154,Pertes!$B$5:$B$154,$A40,Pertes!$E$5:$E$154,"Dégustation",Pertes!$G$5:$G$154,$B$3,Pertes!$H$5:$H$154,$D$3)=0,"",SUMIFS(Pertes!$C$5:$C$154,Pertes!$B$5:$B$154,$A40,Pertes!$E$5:$E$154,"Dégustation",Pertes!$G$5:$G$154,$B$3,Pertes!$H$5:$H$154,$D$3)))</f>
        <v/>
      </c>
      <c r="G40" s="20">
        <f>IF($A40="","",IF(SUMIFS(Pertes!$C$5:$C$154,Pertes!$B$5:$B$154,$A40,Pertes!$E$5:$E$154,"Autre",Pertes!$G$5:$G$154,$B$3,Pertes!$H$5:$H$154,$D$3)=0,"",SUMIFS(Pertes!$C$5:$C$154,Pertes!$B$5:$B$154,$A40,Pertes!$E$5:$E$154,"Autre",Pertes!$G$5:$G$154,$B$3,Pertes!$H$5:$H$154,$D$3)))</f>
        <v/>
      </c>
      <c r="H40" s="18">
        <f>IF(COUNT(C40:G40)=0,"",SUM(C40:G40))</f>
        <v/>
      </c>
    </row>
    <row r="41">
      <c r="A41" s="15">
        <f>IF(Produits!$A$40="","",Produits!$A$40)</f>
        <v/>
      </c>
      <c r="B41" s="17">
        <f>IF(Produits!$A$40="","",Produits!$C$40)</f>
        <v/>
      </c>
      <c r="C41" s="20">
        <f>IF($A41="","",IF(SUMIFS(Pertes!$C$5:$C$154,Pertes!$B$5:$B$154,$A41,Pertes!$E$5:$E$154,"Périmé",Pertes!$G$5:$G$154,$B$3,Pertes!$H$5:$H$154,$D$3)=0,"",SUMIFS(Pertes!$C$5:$C$154,Pertes!$B$5:$B$154,$A41,Pertes!$E$5:$E$154,"Périmé",Pertes!$G$5:$G$154,$B$3,Pertes!$H$5:$H$154,$D$3)))</f>
        <v/>
      </c>
      <c r="D41" s="20">
        <f>IF($A41="","",IF(SUMIFS(Pertes!$C$5:$C$154,Pertes!$B$5:$B$154,$A41,Pertes!$E$5:$E$154,"Raté",Pertes!$G$5:$G$154,$B$3,Pertes!$H$5:$H$154,$D$3)=0,"",SUMIFS(Pertes!$C$5:$C$154,Pertes!$B$5:$B$154,$A41,Pertes!$E$5:$E$154,"Raté",Pertes!$G$5:$G$154,$B$3,Pertes!$H$5:$H$154,$D$3)))</f>
        <v/>
      </c>
      <c r="E41" s="20">
        <f>IF($A41="","",IF(SUMIFS(Pertes!$C$5:$C$154,Pertes!$B$5:$B$154,$A41,Pertes!$E$5:$E$154,"Cassé / renversé",Pertes!$G$5:$G$154,$B$3,Pertes!$H$5:$H$154,$D$3)=0,"",SUMIFS(Pertes!$C$5:$C$154,Pertes!$B$5:$B$154,$A41,Pertes!$E$5:$E$154,"Cassé / renversé",Pertes!$G$5:$G$154,$B$3,Pertes!$H$5:$H$154,$D$3)))</f>
        <v/>
      </c>
      <c r="F41" s="20">
        <f>IF($A41="","",IF(SUMIFS(Pertes!$C$5:$C$154,Pertes!$B$5:$B$154,$A41,Pertes!$E$5:$E$154,"Dégustation",Pertes!$G$5:$G$154,$B$3,Pertes!$H$5:$H$154,$D$3)=0,"",SUMIFS(Pertes!$C$5:$C$154,Pertes!$B$5:$B$154,$A41,Pertes!$E$5:$E$154,"Dégustation",Pertes!$G$5:$G$154,$B$3,Pertes!$H$5:$H$154,$D$3)))</f>
        <v/>
      </c>
      <c r="G41" s="20">
        <f>IF($A41="","",IF(SUMIFS(Pertes!$C$5:$C$154,Pertes!$B$5:$B$154,$A41,Pertes!$E$5:$E$154,"Autre",Pertes!$G$5:$G$154,$B$3,Pertes!$H$5:$H$154,$D$3)=0,"",SUMIFS(Pertes!$C$5:$C$154,Pertes!$B$5:$B$154,$A41,Pertes!$E$5:$E$154,"Autre",Pertes!$G$5:$G$154,$B$3,Pertes!$H$5:$H$154,$D$3)))</f>
        <v/>
      </c>
      <c r="H41" s="18">
        <f>IF(COUNT(C41:G41)=0,"",SUM(C41:G41))</f>
        <v/>
      </c>
    </row>
    <row r="42">
      <c r="A42" s="15">
        <f>IF(Produits!$A$41="","",Produits!$A$41)</f>
        <v/>
      </c>
      <c r="B42" s="17">
        <f>IF(Produits!$A$41="","",Produits!$C$41)</f>
        <v/>
      </c>
      <c r="C42" s="20">
        <f>IF($A42="","",IF(SUMIFS(Pertes!$C$5:$C$154,Pertes!$B$5:$B$154,$A42,Pertes!$E$5:$E$154,"Périmé",Pertes!$G$5:$G$154,$B$3,Pertes!$H$5:$H$154,$D$3)=0,"",SUMIFS(Pertes!$C$5:$C$154,Pertes!$B$5:$B$154,$A42,Pertes!$E$5:$E$154,"Périmé",Pertes!$G$5:$G$154,$B$3,Pertes!$H$5:$H$154,$D$3)))</f>
        <v/>
      </c>
      <c r="D42" s="20">
        <f>IF($A42="","",IF(SUMIFS(Pertes!$C$5:$C$154,Pertes!$B$5:$B$154,$A42,Pertes!$E$5:$E$154,"Raté",Pertes!$G$5:$G$154,$B$3,Pertes!$H$5:$H$154,$D$3)=0,"",SUMIFS(Pertes!$C$5:$C$154,Pertes!$B$5:$B$154,$A42,Pertes!$E$5:$E$154,"Raté",Pertes!$G$5:$G$154,$B$3,Pertes!$H$5:$H$154,$D$3)))</f>
        <v/>
      </c>
      <c r="E42" s="20">
        <f>IF($A42="","",IF(SUMIFS(Pertes!$C$5:$C$154,Pertes!$B$5:$B$154,$A42,Pertes!$E$5:$E$154,"Cassé / renversé",Pertes!$G$5:$G$154,$B$3,Pertes!$H$5:$H$154,$D$3)=0,"",SUMIFS(Pertes!$C$5:$C$154,Pertes!$B$5:$B$154,$A42,Pertes!$E$5:$E$154,"Cassé / renversé",Pertes!$G$5:$G$154,$B$3,Pertes!$H$5:$H$154,$D$3)))</f>
        <v/>
      </c>
      <c r="F42" s="20">
        <f>IF($A42="","",IF(SUMIFS(Pertes!$C$5:$C$154,Pertes!$B$5:$B$154,$A42,Pertes!$E$5:$E$154,"Dégustation",Pertes!$G$5:$G$154,$B$3,Pertes!$H$5:$H$154,$D$3)=0,"",SUMIFS(Pertes!$C$5:$C$154,Pertes!$B$5:$B$154,$A42,Pertes!$E$5:$E$154,"Dégustation",Pertes!$G$5:$G$154,$B$3,Pertes!$H$5:$H$154,$D$3)))</f>
        <v/>
      </c>
      <c r="G42" s="20">
        <f>IF($A42="","",IF(SUMIFS(Pertes!$C$5:$C$154,Pertes!$B$5:$B$154,$A42,Pertes!$E$5:$E$154,"Autre",Pertes!$G$5:$G$154,$B$3,Pertes!$H$5:$H$154,$D$3)=0,"",SUMIFS(Pertes!$C$5:$C$154,Pertes!$B$5:$B$154,$A42,Pertes!$E$5:$E$154,"Autre",Pertes!$G$5:$G$154,$B$3,Pertes!$H$5:$H$154,$D$3)))</f>
        <v/>
      </c>
      <c r="H42" s="18">
        <f>IF(COUNT(C42:G42)=0,"",SUM(C42:G42))</f>
        <v/>
      </c>
    </row>
    <row r="43">
      <c r="A43" s="15">
        <f>IF(Produits!$A$42="","",Produits!$A$42)</f>
        <v/>
      </c>
      <c r="B43" s="17">
        <f>IF(Produits!$A$42="","",Produits!$C$42)</f>
        <v/>
      </c>
      <c r="C43" s="20">
        <f>IF($A43="","",IF(SUMIFS(Pertes!$C$5:$C$154,Pertes!$B$5:$B$154,$A43,Pertes!$E$5:$E$154,"Périmé",Pertes!$G$5:$G$154,$B$3,Pertes!$H$5:$H$154,$D$3)=0,"",SUMIFS(Pertes!$C$5:$C$154,Pertes!$B$5:$B$154,$A43,Pertes!$E$5:$E$154,"Périmé",Pertes!$G$5:$G$154,$B$3,Pertes!$H$5:$H$154,$D$3)))</f>
        <v/>
      </c>
      <c r="D43" s="20">
        <f>IF($A43="","",IF(SUMIFS(Pertes!$C$5:$C$154,Pertes!$B$5:$B$154,$A43,Pertes!$E$5:$E$154,"Raté",Pertes!$G$5:$G$154,$B$3,Pertes!$H$5:$H$154,$D$3)=0,"",SUMIFS(Pertes!$C$5:$C$154,Pertes!$B$5:$B$154,$A43,Pertes!$E$5:$E$154,"Raté",Pertes!$G$5:$G$154,$B$3,Pertes!$H$5:$H$154,$D$3)))</f>
        <v/>
      </c>
      <c r="E43" s="20">
        <f>IF($A43="","",IF(SUMIFS(Pertes!$C$5:$C$154,Pertes!$B$5:$B$154,$A43,Pertes!$E$5:$E$154,"Cassé / renversé",Pertes!$G$5:$G$154,$B$3,Pertes!$H$5:$H$154,$D$3)=0,"",SUMIFS(Pertes!$C$5:$C$154,Pertes!$B$5:$B$154,$A43,Pertes!$E$5:$E$154,"Cassé / renversé",Pertes!$G$5:$G$154,$B$3,Pertes!$H$5:$H$154,$D$3)))</f>
        <v/>
      </c>
      <c r="F43" s="20">
        <f>IF($A43="","",IF(SUMIFS(Pertes!$C$5:$C$154,Pertes!$B$5:$B$154,$A43,Pertes!$E$5:$E$154,"Dégustation",Pertes!$G$5:$G$154,$B$3,Pertes!$H$5:$H$154,$D$3)=0,"",SUMIFS(Pertes!$C$5:$C$154,Pertes!$B$5:$B$154,$A43,Pertes!$E$5:$E$154,"Dégustation",Pertes!$G$5:$G$154,$B$3,Pertes!$H$5:$H$154,$D$3)))</f>
        <v/>
      </c>
      <c r="G43" s="20">
        <f>IF($A43="","",IF(SUMIFS(Pertes!$C$5:$C$154,Pertes!$B$5:$B$154,$A43,Pertes!$E$5:$E$154,"Autre",Pertes!$G$5:$G$154,$B$3,Pertes!$H$5:$H$154,$D$3)=0,"",SUMIFS(Pertes!$C$5:$C$154,Pertes!$B$5:$B$154,$A43,Pertes!$E$5:$E$154,"Autre",Pertes!$G$5:$G$154,$B$3,Pertes!$H$5:$H$154,$D$3)))</f>
        <v/>
      </c>
      <c r="H43" s="18">
        <f>IF(COUNT(C43:G43)=0,"",SUM(C43:G43))</f>
        <v/>
      </c>
    </row>
    <row r="44">
      <c r="A44" s="15">
        <f>IF(Produits!$A$43="","",Produits!$A$43)</f>
        <v/>
      </c>
      <c r="B44" s="17">
        <f>IF(Produits!$A$43="","",Produits!$C$43)</f>
        <v/>
      </c>
      <c r="C44" s="20">
        <f>IF($A44="","",IF(SUMIFS(Pertes!$C$5:$C$154,Pertes!$B$5:$B$154,$A44,Pertes!$E$5:$E$154,"Périmé",Pertes!$G$5:$G$154,$B$3,Pertes!$H$5:$H$154,$D$3)=0,"",SUMIFS(Pertes!$C$5:$C$154,Pertes!$B$5:$B$154,$A44,Pertes!$E$5:$E$154,"Périmé",Pertes!$G$5:$G$154,$B$3,Pertes!$H$5:$H$154,$D$3)))</f>
        <v/>
      </c>
      <c r="D44" s="20">
        <f>IF($A44="","",IF(SUMIFS(Pertes!$C$5:$C$154,Pertes!$B$5:$B$154,$A44,Pertes!$E$5:$E$154,"Raté",Pertes!$G$5:$G$154,$B$3,Pertes!$H$5:$H$154,$D$3)=0,"",SUMIFS(Pertes!$C$5:$C$154,Pertes!$B$5:$B$154,$A44,Pertes!$E$5:$E$154,"Raté",Pertes!$G$5:$G$154,$B$3,Pertes!$H$5:$H$154,$D$3)))</f>
        <v/>
      </c>
      <c r="E44" s="20">
        <f>IF($A44="","",IF(SUMIFS(Pertes!$C$5:$C$154,Pertes!$B$5:$B$154,$A44,Pertes!$E$5:$E$154,"Cassé / renversé",Pertes!$G$5:$G$154,$B$3,Pertes!$H$5:$H$154,$D$3)=0,"",SUMIFS(Pertes!$C$5:$C$154,Pertes!$B$5:$B$154,$A44,Pertes!$E$5:$E$154,"Cassé / renversé",Pertes!$G$5:$G$154,$B$3,Pertes!$H$5:$H$154,$D$3)))</f>
        <v/>
      </c>
      <c r="F44" s="20">
        <f>IF($A44="","",IF(SUMIFS(Pertes!$C$5:$C$154,Pertes!$B$5:$B$154,$A44,Pertes!$E$5:$E$154,"Dégustation",Pertes!$G$5:$G$154,$B$3,Pertes!$H$5:$H$154,$D$3)=0,"",SUMIFS(Pertes!$C$5:$C$154,Pertes!$B$5:$B$154,$A44,Pertes!$E$5:$E$154,"Dégustation",Pertes!$G$5:$G$154,$B$3,Pertes!$H$5:$H$154,$D$3)))</f>
        <v/>
      </c>
      <c r="G44" s="20">
        <f>IF($A44="","",IF(SUMIFS(Pertes!$C$5:$C$154,Pertes!$B$5:$B$154,$A44,Pertes!$E$5:$E$154,"Autre",Pertes!$G$5:$G$154,$B$3,Pertes!$H$5:$H$154,$D$3)=0,"",SUMIFS(Pertes!$C$5:$C$154,Pertes!$B$5:$B$154,$A44,Pertes!$E$5:$E$154,"Autre",Pertes!$G$5:$G$154,$B$3,Pertes!$H$5:$H$154,$D$3)))</f>
        <v/>
      </c>
      <c r="H44" s="18">
        <f>IF(COUNT(C44:G44)=0,"",SUM(C44:G44))</f>
        <v/>
      </c>
    </row>
    <row r="45">
      <c r="A45" s="15">
        <f>IF(Produits!$A$44="","",Produits!$A$44)</f>
        <v/>
      </c>
      <c r="B45" s="17">
        <f>IF(Produits!$A$44="","",Produits!$C$44)</f>
        <v/>
      </c>
      <c r="C45" s="20">
        <f>IF($A45="","",IF(SUMIFS(Pertes!$C$5:$C$154,Pertes!$B$5:$B$154,$A45,Pertes!$E$5:$E$154,"Périmé",Pertes!$G$5:$G$154,$B$3,Pertes!$H$5:$H$154,$D$3)=0,"",SUMIFS(Pertes!$C$5:$C$154,Pertes!$B$5:$B$154,$A45,Pertes!$E$5:$E$154,"Périmé",Pertes!$G$5:$G$154,$B$3,Pertes!$H$5:$H$154,$D$3)))</f>
        <v/>
      </c>
      <c r="D45" s="20">
        <f>IF($A45="","",IF(SUMIFS(Pertes!$C$5:$C$154,Pertes!$B$5:$B$154,$A45,Pertes!$E$5:$E$154,"Raté",Pertes!$G$5:$G$154,$B$3,Pertes!$H$5:$H$154,$D$3)=0,"",SUMIFS(Pertes!$C$5:$C$154,Pertes!$B$5:$B$154,$A45,Pertes!$E$5:$E$154,"Raté",Pertes!$G$5:$G$154,$B$3,Pertes!$H$5:$H$154,$D$3)))</f>
        <v/>
      </c>
      <c r="E45" s="20">
        <f>IF($A45="","",IF(SUMIFS(Pertes!$C$5:$C$154,Pertes!$B$5:$B$154,$A45,Pertes!$E$5:$E$154,"Cassé / renversé",Pertes!$G$5:$G$154,$B$3,Pertes!$H$5:$H$154,$D$3)=0,"",SUMIFS(Pertes!$C$5:$C$154,Pertes!$B$5:$B$154,$A45,Pertes!$E$5:$E$154,"Cassé / renversé",Pertes!$G$5:$G$154,$B$3,Pertes!$H$5:$H$154,$D$3)))</f>
        <v/>
      </c>
      <c r="F45" s="20">
        <f>IF($A45="","",IF(SUMIFS(Pertes!$C$5:$C$154,Pertes!$B$5:$B$154,$A45,Pertes!$E$5:$E$154,"Dégustation",Pertes!$G$5:$G$154,$B$3,Pertes!$H$5:$H$154,$D$3)=0,"",SUMIFS(Pertes!$C$5:$C$154,Pertes!$B$5:$B$154,$A45,Pertes!$E$5:$E$154,"Dégustation",Pertes!$G$5:$G$154,$B$3,Pertes!$H$5:$H$154,$D$3)))</f>
        <v/>
      </c>
      <c r="G45" s="20">
        <f>IF($A45="","",IF(SUMIFS(Pertes!$C$5:$C$154,Pertes!$B$5:$B$154,$A45,Pertes!$E$5:$E$154,"Autre",Pertes!$G$5:$G$154,$B$3,Pertes!$H$5:$H$154,$D$3)=0,"",SUMIFS(Pertes!$C$5:$C$154,Pertes!$B$5:$B$154,$A45,Pertes!$E$5:$E$154,"Autre",Pertes!$G$5:$G$154,$B$3,Pertes!$H$5:$H$154,$D$3)))</f>
        <v/>
      </c>
      <c r="H45" s="18">
        <f>IF(COUNT(C45:G45)=0,"",SUM(C45:G45))</f>
        <v/>
      </c>
    </row>
  </sheetData>
  <conditionalFormatting sqref="H6:H45">
    <cfRule type="expression" priority="1" dxfId="1">
      <formula>ISNUMBER(H6)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2026-09-24T21:03:59Z</dcterms:created>
  <dcterms:modified xmlns:dcterms="http://purl.org/dc/terms/" xmlns:xsi="http://www.w3.org/2001/XMLSchema-instance" xsi:type="dcterms:W3CDTF">2026-09-24T21:04:00Z</dcterms:modified>
</cp:coreProperties>
</file>