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Octobre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Arial"/>
      <b val="1"/>
      <color rgb="00A23B5A"/>
      <sz val="16"/>
    </font>
    <font>
      <name val="Arial"/>
      <i val="1"/>
      <color rgb="00666666"/>
      <sz val="9"/>
    </font>
    <font>
      <name val="Arial"/>
      <b val="1"/>
      <color rgb="00A23B5A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b val="1"/>
      <sz val="12"/>
    </font>
    <font>
      <name val="Arial"/>
      <color rgb="001F4FD1"/>
      <sz val="12"/>
    </font>
    <font>
      <name val="Arial"/>
      <sz val="12"/>
    </font>
    <font>
      <name val="Arial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A23B5A"/>
      </patternFill>
    </fill>
    <fill>
      <patternFill patternType="solid">
        <fgColor rgb="00FFF6D5"/>
      </patternFill>
    </fill>
    <fill>
      <patternFill patternType="solid">
        <fgColor rgb="00ECD7D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0" fillId="2" borderId="0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lele_auto</author>
  </authors>
  <commentList>
    <comment ref="D4" authorId="0" shapeId="0">
      <text>
        <t>Date du comptage (facultatif)</t>
      </text>
    </comment>
    <comment ref="D47" authorId="0" shapeId="0">
      <text>
        <t>Date du comptage (facultatif)</t>
      </text>
    </comment>
    <comment ref="D90" authorId="0" shapeId="0">
      <text>
        <t>Date du comptage (facultatif)</t>
      </text>
    </comment>
    <comment ref="D133" authorId="0" shapeId="0">
      <text>
        <t>Date du comptage (facultatif)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10 · Le carnet vertical (téléphone)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Pensé pour le téléphone : pas de défilement de côté. Les 4 semaines sont les unes sous les autres, avec seulement 5 colonnes et une grande écriture. Le bilan du mois est tout en bas.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Fais défiler jusqu'à la semaine en cours : Stock, Commandé, Reçu.</t>
        </is>
      </c>
    </row>
    <row r="8">
      <c r="A8" s="5" t="inlineStr"/>
      <c r="B8" s="4" t="inlineStr">
        <is>
          <t>3. Le bilan du mois en bas de page se calcule tout seul.</t>
        </is>
      </c>
    </row>
    <row r="9">
      <c r="A9" s="5" t="inlineStr"/>
      <c r="B9" s="4" t="inlineStr">
        <is>
          <t>4. Nouveau mois : duplique l'onglet du mois.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Octobre 2026 — les 4 semaines empilées + le bilan.</t>
        </is>
      </c>
    </row>
    <row r="13">
      <c r="A13" s="5" t="inlineStr"/>
      <c r="B13" s="4" t="inlineStr"/>
    </row>
    <row r="14">
      <c r="A14" s="5" t="inlineStr">
        <is>
          <t>Couleurs</t>
        </is>
      </c>
      <c r="B14" s="4" t="inlineStr">
        <is>
          <t>Cases jaunes = à remplir. Cases blanches = calculées toutes seules, ne pas y toucher.</t>
        </is>
      </c>
    </row>
    <row r="15">
      <c r="A15" s="5" t="inlineStr"/>
      <c r="B15" s="4" t="inlineStr">
        <is>
          <t>Chiffres en bleu = exemple pour montrer le fonctionnement, à effacer.</t>
        </is>
      </c>
    </row>
    <row r="16">
      <c r="A16" s="5" t="inlineStr"/>
      <c r="B16" s="4" t="inlineStr">
        <is>
          <t>Rouge = il manque quelque chose (livraison incomplète, stock trop bas).</t>
        </is>
      </c>
    </row>
    <row r="17">
      <c r="A17" s="5" t="inlineStr"/>
      <c r="B17" s="4" t="inlineStr"/>
    </row>
    <row r="18">
      <c r="A18" s="5" t="inlineStr">
        <is>
          <t>Google Sheets</t>
        </is>
      </c>
      <c r="B18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0" customWidth="1" min="4" max="4"/>
    <col width="9" customWidth="1" min="5" max="5"/>
  </cols>
  <sheetData>
    <row r="1" ht="26" customHeight="1">
      <c r="A1" s="1" t="inlineStr">
        <is>
          <t>Octobre 2026</t>
        </is>
      </c>
    </row>
    <row r="2">
      <c r="A2" s="2" t="inlineStr">
        <is>
          <t>Fais défiler vers le bas pour les semaines suivantes</t>
        </is>
      </c>
    </row>
    <row r="4" ht="24" customHeight="1">
      <c r="A4" s="11" t="inlineStr">
        <is>
          <t>SEMAINE 1</t>
        </is>
      </c>
      <c r="B4" s="12" t="n"/>
      <c r="C4" s="12" t="n"/>
      <c r="D4" s="13" t="n"/>
      <c r="E4" s="14" t="n"/>
    </row>
    <row r="5">
      <c r="A5" s="15" t="inlineStr">
        <is>
          <t>Produit</t>
        </is>
      </c>
      <c r="B5" s="15" t="inlineStr">
        <is>
          <t>Stock</t>
        </is>
      </c>
      <c r="C5" s="15" t="inlineStr">
        <is>
          <t>Commandé</t>
        </is>
      </c>
      <c r="D5" s="15" t="inlineStr">
        <is>
          <t>Reçu</t>
        </is>
      </c>
      <c r="E5" s="15" t="inlineStr">
        <is>
          <t>Écart</t>
        </is>
      </c>
    </row>
    <row r="6" ht="20" customHeight="1">
      <c r="A6" s="16">
        <f>IF(Produits!$A$5="","",Produits!$A$5&amp;" ("&amp;Produits!$C$5&amp;")")</f>
        <v/>
      </c>
      <c r="B6" s="17" t="n">
        <v>8</v>
      </c>
      <c r="C6" s="17" t="n">
        <v>10</v>
      </c>
      <c r="D6" s="17" t="n">
        <v>7</v>
      </c>
      <c r="E6" s="18">
        <f>IF(OR(C6="",D6=""),"",D6-C6)</f>
        <v/>
      </c>
    </row>
    <row r="7" ht="20" customHeight="1">
      <c r="A7" s="16">
        <f>IF(Produits!$A$6="","",Produits!$A$6&amp;" ("&amp;Produits!$C$6&amp;")")</f>
        <v/>
      </c>
      <c r="B7" s="17" t="n">
        <v>2</v>
      </c>
      <c r="C7" s="17" t="n">
        <v>5</v>
      </c>
      <c r="D7" s="17" t="n">
        <v>5</v>
      </c>
      <c r="E7" s="18">
        <f>IF(OR(C7="",D7=""),"",D7-C7)</f>
        <v/>
      </c>
    </row>
    <row r="8" ht="20" customHeight="1">
      <c r="A8" s="16">
        <f>IF(Produits!$A$7="","",Produits!$A$7&amp;" ("&amp;Produits!$C$7&amp;")")</f>
        <v/>
      </c>
      <c r="B8" s="17" t="n">
        <v>6</v>
      </c>
      <c r="C8" s="17" t="n">
        <v>10</v>
      </c>
      <c r="D8" s="17" t="n">
        <v>10</v>
      </c>
      <c r="E8" s="18">
        <f>IF(OR(C8="",D8=""),"",D8-C8)</f>
        <v/>
      </c>
    </row>
    <row r="9" ht="20" customHeight="1">
      <c r="A9" s="16">
        <f>IF(Produits!$A$8="","",Produits!$A$8&amp;" ("&amp;Produits!$C$8&amp;")")</f>
        <v/>
      </c>
      <c r="B9" s="17" t="n">
        <v>1</v>
      </c>
      <c r="C9" s="17" t="n">
        <v>3</v>
      </c>
      <c r="D9" s="17" t="n">
        <v>3</v>
      </c>
      <c r="E9" s="18">
        <f>IF(OR(C9="",D9=""),"",D9-C9)</f>
        <v/>
      </c>
    </row>
    <row r="10" ht="20" customHeight="1">
      <c r="A10" s="16">
        <f>IF(Produits!$A$9="","",Produits!$A$9&amp;" ("&amp;Produits!$C$9&amp;")")</f>
        <v/>
      </c>
      <c r="B10" s="17" t="n">
        <v>3</v>
      </c>
      <c r="C10" s="17" t="n">
        <v>5</v>
      </c>
      <c r="D10" s="17" t="n">
        <v>5</v>
      </c>
      <c r="E10" s="18">
        <f>IF(OR(C10="",D10=""),"",D10-C10)</f>
        <v/>
      </c>
    </row>
    <row r="11" ht="20" customHeight="1">
      <c r="A11" s="16">
        <f>IF(Produits!$A$10="","",Produits!$A$10&amp;" ("&amp;Produits!$C$10&amp;")")</f>
        <v/>
      </c>
      <c r="B11" s="17" t="n">
        <v>4</v>
      </c>
      <c r="C11" s="17" t="n">
        <v>12</v>
      </c>
      <c r="D11" s="17" t="n">
        <v>12</v>
      </c>
      <c r="E11" s="18">
        <f>IF(OR(C11="",D11=""),"",D11-C11)</f>
        <v/>
      </c>
    </row>
    <row r="12" ht="20" customHeight="1">
      <c r="A12" s="16">
        <f>IF(Produits!$A$11="","",Produits!$A$11&amp;" ("&amp;Produits!$C$11&amp;")")</f>
        <v/>
      </c>
      <c r="B12" s="17" t="n">
        <v>3</v>
      </c>
      <c r="C12" s="17" t="n">
        <v>6</v>
      </c>
      <c r="D12" s="17" t="n">
        <v>6</v>
      </c>
      <c r="E12" s="18">
        <f>IF(OR(C12="",D12=""),"",D12-C12)</f>
        <v/>
      </c>
    </row>
    <row r="13" ht="20" customHeight="1">
      <c r="A13" s="16">
        <f>IF(Produits!$A$12="","",Produits!$A$12&amp;" ("&amp;Produits!$C$12&amp;")")</f>
        <v/>
      </c>
      <c r="B13" s="17" t="n">
        <v>40</v>
      </c>
      <c r="C13" s="17" t="n">
        <v>90</v>
      </c>
      <c r="D13" s="17" t="n">
        <v>90</v>
      </c>
      <c r="E13" s="18">
        <f>IF(OR(C13="",D13=""),"",D13-C13)</f>
        <v/>
      </c>
    </row>
    <row r="14" ht="20" customHeight="1">
      <c r="A14" s="16">
        <f>IF(Produits!$A$13="","",Produits!$A$13&amp;" ("&amp;Produits!$C$13&amp;")")</f>
        <v/>
      </c>
      <c r="B14" s="17" t="n">
        <v>1.5</v>
      </c>
      <c r="C14" s="17" t="n">
        <v>3</v>
      </c>
      <c r="D14" s="17" t="n">
        <v>2</v>
      </c>
      <c r="E14" s="18">
        <f>IF(OR(C14="",D14=""),"",D14-C14)</f>
        <v/>
      </c>
    </row>
    <row r="15" ht="20" customHeight="1">
      <c r="A15" s="16">
        <f>IF(Produits!$A$14="","",Produits!$A$14&amp;" ("&amp;Produits!$C$14&amp;")")</f>
        <v/>
      </c>
      <c r="B15" s="17" t="n">
        <v>2</v>
      </c>
      <c r="C15" s="17" t="n">
        <v>2</v>
      </c>
      <c r="D15" s="17" t="n">
        <v>2</v>
      </c>
      <c r="E15" s="18">
        <f>IF(OR(C15="",D15=""),"",D15-C15)</f>
        <v/>
      </c>
    </row>
    <row r="16" ht="20" customHeight="1">
      <c r="A16" s="16">
        <f>IF(Produits!$A$15="","",Produits!$A$15&amp;" ("&amp;Produits!$C$15&amp;")")</f>
        <v/>
      </c>
      <c r="B16" s="17" t="n">
        <v>0.4</v>
      </c>
      <c r="C16" s="17" t="n">
        <v>1</v>
      </c>
      <c r="D16" s="17" t="n">
        <v>1</v>
      </c>
      <c r="E16" s="18">
        <f>IF(OR(C16="",D16=""),"",D16-C16)</f>
        <v/>
      </c>
    </row>
    <row r="17" ht="20" customHeight="1">
      <c r="A17" s="16">
        <f>IF(Produits!$A$16="","",Produits!$A$16&amp;" ("&amp;Produits!$C$16&amp;")")</f>
        <v/>
      </c>
      <c r="B17" s="17" t="n">
        <v>6</v>
      </c>
      <c r="C17" s="17" t="n">
        <v>0</v>
      </c>
      <c r="D17" s="17" t="n">
        <v>0</v>
      </c>
      <c r="E17" s="18">
        <f>IF(OR(C17="",D17=""),"",D17-C17)</f>
        <v/>
      </c>
    </row>
    <row r="18" ht="20" customHeight="1">
      <c r="A18" s="16">
        <f>IF(Produits!$A$17="","",Produits!$A$17&amp;" ("&amp;Produits!$C$17&amp;")")</f>
        <v/>
      </c>
      <c r="B18" s="19" t="n"/>
      <c r="C18" s="19" t="n"/>
      <c r="D18" s="19" t="n"/>
      <c r="E18" s="18">
        <f>IF(OR(C18="",D18=""),"",D18-C18)</f>
        <v/>
      </c>
    </row>
    <row r="19" ht="20" customHeight="1">
      <c r="A19" s="16">
        <f>IF(Produits!$A$18="","",Produits!$A$18&amp;" ("&amp;Produits!$C$18&amp;")")</f>
        <v/>
      </c>
      <c r="B19" s="19" t="n"/>
      <c r="C19" s="19" t="n"/>
      <c r="D19" s="19" t="n"/>
      <c r="E19" s="18">
        <f>IF(OR(C19="",D19=""),"",D19-C19)</f>
        <v/>
      </c>
    </row>
    <row r="20" ht="20" customHeight="1">
      <c r="A20" s="16">
        <f>IF(Produits!$A$19="","",Produits!$A$19&amp;" ("&amp;Produits!$C$19&amp;")")</f>
        <v/>
      </c>
      <c r="B20" s="19" t="n"/>
      <c r="C20" s="19" t="n"/>
      <c r="D20" s="19" t="n"/>
      <c r="E20" s="18">
        <f>IF(OR(C20="",D20=""),"",D20-C20)</f>
        <v/>
      </c>
    </row>
    <row r="21" ht="20" customHeight="1">
      <c r="A21" s="16">
        <f>IF(Produits!$A$20="","",Produits!$A$20&amp;" ("&amp;Produits!$C$20&amp;")")</f>
        <v/>
      </c>
      <c r="B21" s="19" t="n"/>
      <c r="C21" s="19" t="n"/>
      <c r="D21" s="19" t="n"/>
      <c r="E21" s="18">
        <f>IF(OR(C21="",D21=""),"",D21-C21)</f>
        <v/>
      </c>
    </row>
    <row r="22" ht="20" customHeight="1">
      <c r="A22" s="16">
        <f>IF(Produits!$A$21="","",Produits!$A$21&amp;" ("&amp;Produits!$C$21&amp;")")</f>
        <v/>
      </c>
      <c r="B22" s="19" t="n"/>
      <c r="C22" s="19" t="n"/>
      <c r="D22" s="19" t="n"/>
      <c r="E22" s="18">
        <f>IF(OR(C22="",D22=""),"",D22-C22)</f>
        <v/>
      </c>
    </row>
    <row r="23" ht="20" customHeight="1">
      <c r="A23" s="16">
        <f>IF(Produits!$A$22="","",Produits!$A$22&amp;" ("&amp;Produits!$C$22&amp;")")</f>
        <v/>
      </c>
      <c r="B23" s="19" t="n"/>
      <c r="C23" s="19" t="n"/>
      <c r="D23" s="19" t="n"/>
      <c r="E23" s="18">
        <f>IF(OR(C23="",D23=""),"",D23-C23)</f>
        <v/>
      </c>
    </row>
    <row r="24" ht="20" customHeight="1">
      <c r="A24" s="16">
        <f>IF(Produits!$A$23="","",Produits!$A$23&amp;" ("&amp;Produits!$C$23&amp;")")</f>
        <v/>
      </c>
      <c r="B24" s="19" t="n"/>
      <c r="C24" s="19" t="n"/>
      <c r="D24" s="19" t="n"/>
      <c r="E24" s="18">
        <f>IF(OR(C24="",D24=""),"",D24-C24)</f>
        <v/>
      </c>
    </row>
    <row r="25" ht="20" customHeight="1">
      <c r="A25" s="16">
        <f>IF(Produits!$A$24="","",Produits!$A$24&amp;" ("&amp;Produits!$C$24&amp;")")</f>
        <v/>
      </c>
      <c r="B25" s="19" t="n"/>
      <c r="C25" s="19" t="n"/>
      <c r="D25" s="19" t="n"/>
      <c r="E25" s="18">
        <f>IF(OR(C25="",D25=""),"",D25-C25)</f>
        <v/>
      </c>
    </row>
    <row r="26" ht="20" customHeight="1">
      <c r="A26" s="16">
        <f>IF(Produits!$A$25="","",Produits!$A$25&amp;" ("&amp;Produits!$C$25&amp;")")</f>
        <v/>
      </c>
      <c r="B26" s="19" t="n"/>
      <c r="C26" s="19" t="n"/>
      <c r="D26" s="19" t="n"/>
      <c r="E26" s="18">
        <f>IF(OR(C26="",D26=""),"",D26-C26)</f>
        <v/>
      </c>
    </row>
    <row r="27" ht="20" customHeight="1">
      <c r="A27" s="16">
        <f>IF(Produits!$A$26="","",Produits!$A$26&amp;" ("&amp;Produits!$C$26&amp;")")</f>
        <v/>
      </c>
      <c r="B27" s="19" t="n"/>
      <c r="C27" s="19" t="n"/>
      <c r="D27" s="19" t="n"/>
      <c r="E27" s="18">
        <f>IF(OR(C27="",D27=""),"",D27-C27)</f>
        <v/>
      </c>
    </row>
    <row r="28" ht="20" customHeight="1">
      <c r="A28" s="16">
        <f>IF(Produits!$A$27="","",Produits!$A$27&amp;" ("&amp;Produits!$C$27&amp;")")</f>
        <v/>
      </c>
      <c r="B28" s="19" t="n"/>
      <c r="C28" s="19" t="n"/>
      <c r="D28" s="19" t="n"/>
      <c r="E28" s="18">
        <f>IF(OR(C28="",D28=""),"",D28-C28)</f>
        <v/>
      </c>
    </row>
    <row r="29" ht="20" customHeight="1">
      <c r="A29" s="16">
        <f>IF(Produits!$A$28="","",Produits!$A$28&amp;" ("&amp;Produits!$C$28&amp;")")</f>
        <v/>
      </c>
      <c r="B29" s="19" t="n"/>
      <c r="C29" s="19" t="n"/>
      <c r="D29" s="19" t="n"/>
      <c r="E29" s="18">
        <f>IF(OR(C29="",D29=""),"",D29-C29)</f>
        <v/>
      </c>
    </row>
    <row r="30" ht="20" customHeight="1">
      <c r="A30" s="16">
        <f>IF(Produits!$A$29="","",Produits!$A$29&amp;" ("&amp;Produits!$C$29&amp;")")</f>
        <v/>
      </c>
      <c r="B30" s="19" t="n"/>
      <c r="C30" s="19" t="n"/>
      <c r="D30" s="19" t="n"/>
      <c r="E30" s="18">
        <f>IF(OR(C30="",D30=""),"",D30-C30)</f>
        <v/>
      </c>
    </row>
    <row r="31" ht="20" customHeight="1">
      <c r="A31" s="16">
        <f>IF(Produits!$A$30="","",Produits!$A$30&amp;" ("&amp;Produits!$C$30&amp;")")</f>
        <v/>
      </c>
      <c r="B31" s="19" t="n"/>
      <c r="C31" s="19" t="n"/>
      <c r="D31" s="19" t="n"/>
      <c r="E31" s="18">
        <f>IF(OR(C31="",D31=""),"",D31-C31)</f>
        <v/>
      </c>
    </row>
    <row r="32" ht="20" customHeight="1">
      <c r="A32" s="16">
        <f>IF(Produits!$A$31="","",Produits!$A$31&amp;" ("&amp;Produits!$C$31&amp;")")</f>
        <v/>
      </c>
      <c r="B32" s="19" t="n"/>
      <c r="C32" s="19" t="n"/>
      <c r="D32" s="19" t="n"/>
      <c r="E32" s="18">
        <f>IF(OR(C32="",D32=""),"",D32-C32)</f>
        <v/>
      </c>
    </row>
    <row r="33" ht="20" customHeight="1">
      <c r="A33" s="16">
        <f>IF(Produits!$A$32="","",Produits!$A$32&amp;" ("&amp;Produits!$C$32&amp;")")</f>
        <v/>
      </c>
      <c r="B33" s="19" t="n"/>
      <c r="C33" s="19" t="n"/>
      <c r="D33" s="19" t="n"/>
      <c r="E33" s="18">
        <f>IF(OR(C33="",D33=""),"",D33-C33)</f>
        <v/>
      </c>
    </row>
    <row r="34" ht="20" customHeight="1">
      <c r="A34" s="16">
        <f>IF(Produits!$A$33="","",Produits!$A$33&amp;" ("&amp;Produits!$C$33&amp;")")</f>
        <v/>
      </c>
      <c r="B34" s="19" t="n"/>
      <c r="C34" s="19" t="n"/>
      <c r="D34" s="19" t="n"/>
      <c r="E34" s="18">
        <f>IF(OR(C34="",D34=""),"",D34-C34)</f>
        <v/>
      </c>
    </row>
    <row r="35" ht="20" customHeight="1">
      <c r="A35" s="16">
        <f>IF(Produits!$A$34="","",Produits!$A$34&amp;" ("&amp;Produits!$C$34&amp;")")</f>
        <v/>
      </c>
      <c r="B35" s="19" t="n"/>
      <c r="C35" s="19" t="n"/>
      <c r="D35" s="19" t="n"/>
      <c r="E35" s="18">
        <f>IF(OR(C35="",D35=""),"",D35-C35)</f>
        <v/>
      </c>
    </row>
    <row r="36" ht="20" customHeight="1">
      <c r="A36" s="16">
        <f>IF(Produits!$A$35="","",Produits!$A$35&amp;" ("&amp;Produits!$C$35&amp;")")</f>
        <v/>
      </c>
      <c r="B36" s="19" t="n"/>
      <c r="C36" s="19" t="n"/>
      <c r="D36" s="19" t="n"/>
      <c r="E36" s="18">
        <f>IF(OR(C36="",D36=""),"",D36-C36)</f>
        <v/>
      </c>
    </row>
    <row r="37" ht="20" customHeight="1">
      <c r="A37" s="16">
        <f>IF(Produits!$A$36="","",Produits!$A$36&amp;" ("&amp;Produits!$C$36&amp;")")</f>
        <v/>
      </c>
      <c r="B37" s="19" t="n"/>
      <c r="C37" s="19" t="n"/>
      <c r="D37" s="19" t="n"/>
      <c r="E37" s="18">
        <f>IF(OR(C37="",D37=""),"",D37-C37)</f>
        <v/>
      </c>
    </row>
    <row r="38" ht="20" customHeight="1">
      <c r="A38" s="16">
        <f>IF(Produits!$A$37="","",Produits!$A$37&amp;" ("&amp;Produits!$C$37&amp;")")</f>
        <v/>
      </c>
      <c r="B38" s="19" t="n"/>
      <c r="C38" s="19" t="n"/>
      <c r="D38" s="19" t="n"/>
      <c r="E38" s="18">
        <f>IF(OR(C38="",D38=""),"",D38-C38)</f>
        <v/>
      </c>
    </row>
    <row r="39" ht="20" customHeight="1">
      <c r="A39" s="16">
        <f>IF(Produits!$A$38="","",Produits!$A$38&amp;" ("&amp;Produits!$C$38&amp;")")</f>
        <v/>
      </c>
      <c r="B39" s="19" t="n"/>
      <c r="C39" s="19" t="n"/>
      <c r="D39" s="19" t="n"/>
      <c r="E39" s="18">
        <f>IF(OR(C39="",D39=""),"",D39-C39)</f>
        <v/>
      </c>
    </row>
    <row r="40" ht="20" customHeight="1">
      <c r="A40" s="16">
        <f>IF(Produits!$A$39="","",Produits!$A$39&amp;" ("&amp;Produits!$C$39&amp;")")</f>
        <v/>
      </c>
      <c r="B40" s="19" t="n"/>
      <c r="C40" s="19" t="n"/>
      <c r="D40" s="19" t="n"/>
      <c r="E40" s="18">
        <f>IF(OR(C40="",D40=""),"",D40-C40)</f>
        <v/>
      </c>
    </row>
    <row r="41" ht="20" customHeight="1">
      <c r="A41" s="16">
        <f>IF(Produits!$A$40="","",Produits!$A$40&amp;" ("&amp;Produits!$C$40&amp;")")</f>
        <v/>
      </c>
      <c r="B41" s="19" t="n"/>
      <c r="C41" s="19" t="n"/>
      <c r="D41" s="19" t="n"/>
      <c r="E41" s="18">
        <f>IF(OR(C41="",D41=""),"",D41-C41)</f>
        <v/>
      </c>
    </row>
    <row r="42" ht="20" customHeight="1">
      <c r="A42" s="16">
        <f>IF(Produits!$A$41="","",Produits!$A$41&amp;" ("&amp;Produits!$C$41&amp;")")</f>
        <v/>
      </c>
      <c r="B42" s="19" t="n"/>
      <c r="C42" s="19" t="n"/>
      <c r="D42" s="19" t="n"/>
      <c r="E42" s="18">
        <f>IF(OR(C42="",D42=""),"",D42-C42)</f>
        <v/>
      </c>
    </row>
    <row r="43" ht="20" customHeight="1">
      <c r="A43" s="16">
        <f>IF(Produits!$A$42="","",Produits!$A$42&amp;" ("&amp;Produits!$C$42&amp;")")</f>
        <v/>
      </c>
      <c r="B43" s="19" t="n"/>
      <c r="C43" s="19" t="n"/>
      <c r="D43" s="19" t="n"/>
      <c r="E43" s="18">
        <f>IF(OR(C43="",D43=""),"",D43-C43)</f>
        <v/>
      </c>
    </row>
    <row r="44" ht="20" customHeight="1">
      <c r="A44" s="16">
        <f>IF(Produits!$A$43="","",Produits!$A$43&amp;" ("&amp;Produits!$C$43&amp;")")</f>
        <v/>
      </c>
      <c r="B44" s="19" t="n"/>
      <c r="C44" s="19" t="n"/>
      <c r="D44" s="19" t="n"/>
      <c r="E44" s="18">
        <f>IF(OR(C44="",D44=""),"",D44-C44)</f>
        <v/>
      </c>
    </row>
    <row r="45" ht="20" customHeight="1">
      <c r="A45" s="16">
        <f>IF(Produits!$A$44="","",Produits!$A$44&amp;" ("&amp;Produits!$C$44&amp;")")</f>
        <v/>
      </c>
      <c r="B45" s="19" t="n"/>
      <c r="C45" s="19" t="n"/>
      <c r="D45" s="19" t="n"/>
      <c r="E45" s="18">
        <f>IF(OR(C45="",D45=""),"",D45-C45)</f>
        <v/>
      </c>
    </row>
    <row r="47" ht="24" customHeight="1">
      <c r="A47" s="11" t="inlineStr">
        <is>
          <t>SEMAINE 2</t>
        </is>
      </c>
      <c r="B47" s="12" t="n"/>
      <c r="C47" s="12" t="n"/>
      <c r="D47" s="13" t="n"/>
      <c r="E47" s="14" t="n"/>
    </row>
    <row r="48">
      <c r="A48" s="15" t="inlineStr">
        <is>
          <t>Produit</t>
        </is>
      </c>
      <c r="B48" s="15" t="inlineStr">
        <is>
          <t>Stock</t>
        </is>
      </c>
      <c r="C48" s="15" t="inlineStr">
        <is>
          <t>Commandé</t>
        </is>
      </c>
      <c r="D48" s="15" t="inlineStr">
        <is>
          <t>Reçu</t>
        </is>
      </c>
      <c r="E48" s="15" t="inlineStr">
        <is>
          <t>Écart</t>
        </is>
      </c>
    </row>
    <row r="49" ht="20" customHeight="1">
      <c r="A49" s="16">
        <f>IF(Produits!$A$5="","",Produits!$A$5&amp;" ("&amp;Produits!$C$5&amp;")")</f>
        <v/>
      </c>
      <c r="B49" s="17" t="n">
        <v>5</v>
      </c>
      <c r="C49" s="17" t="n">
        <v>10</v>
      </c>
      <c r="D49" s="17" t="n">
        <v>10</v>
      </c>
      <c r="E49" s="18">
        <f>IF(OR(C49="",D49=""),"",D49-C49)</f>
        <v/>
      </c>
    </row>
    <row r="50" ht="20" customHeight="1">
      <c r="A50" s="16">
        <f>IF(Produits!$A$6="","",Produits!$A$6&amp;" ("&amp;Produits!$C$6&amp;")")</f>
        <v/>
      </c>
      <c r="B50" s="17" t="n">
        <v>3</v>
      </c>
      <c r="C50" s="17" t="n">
        <v>3</v>
      </c>
      <c r="D50" s="17" t="n">
        <v>3</v>
      </c>
      <c r="E50" s="18">
        <f>IF(OR(C50="",D50=""),"",D50-C50)</f>
        <v/>
      </c>
    </row>
    <row r="51" ht="20" customHeight="1">
      <c r="A51" s="16">
        <f>IF(Produits!$A$7="","",Produits!$A$7&amp;" ("&amp;Produits!$C$7&amp;")")</f>
        <v/>
      </c>
      <c r="B51" s="17" t="n">
        <v>7</v>
      </c>
      <c r="C51" s="17" t="n">
        <v>5</v>
      </c>
      <c r="D51" s="17" t="n">
        <v>5</v>
      </c>
      <c r="E51" s="18">
        <f>IF(OR(C51="",D51=""),"",D51-C51)</f>
        <v/>
      </c>
    </row>
    <row r="52" ht="20" customHeight="1">
      <c r="A52" s="16">
        <f>IF(Produits!$A$8="","",Produits!$A$8&amp;" ("&amp;Produits!$C$8&amp;")")</f>
        <v/>
      </c>
      <c r="B52" s="17" t="n">
        <v>2</v>
      </c>
      <c r="C52" s="17" t="n">
        <v>0</v>
      </c>
      <c r="D52" s="17" t="n">
        <v>0</v>
      </c>
      <c r="E52" s="18">
        <f>IF(OR(C52="",D52=""),"",D52-C52)</f>
        <v/>
      </c>
    </row>
    <row r="53" ht="20" customHeight="1">
      <c r="A53" s="16">
        <f>IF(Produits!$A$9="","",Produits!$A$9&amp;" ("&amp;Produits!$C$9&amp;")")</f>
        <v/>
      </c>
      <c r="B53" s="17" t="n">
        <v>4</v>
      </c>
      <c r="C53" s="17" t="n">
        <v>5</v>
      </c>
      <c r="D53" s="17" t="n">
        <v>5</v>
      </c>
      <c r="E53" s="18">
        <f>IF(OR(C53="",D53=""),"",D53-C53)</f>
        <v/>
      </c>
    </row>
    <row r="54" ht="20" customHeight="1">
      <c r="A54" s="16">
        <f>IF(Produits!$A$10="","",Produits!$A$10&amp;" ("&amp;Produits!$C$10&amp;")")</f>
        <v/>
      </c>
      <c r="B54" s="17" t="n">
        <v>5</v>
      </c>
      <c r="C54" s="17" t="n">
        <v>10</v>
      </c>
      <c r="D54" s="17" t="n">
        <v>10</v>
      </c>
      <c r="E54" s="18">
        <f>IF(OR(C54="",D54=""),"",D54-C54)</f>
        <v/>
      </c>
    </row>
    <row r="55" ht="20" customHeight="1">
      <c r="A55" s="16">
        <f>IF(Produits!$A$11="","",Produits!$A$11&amp;" ("&amp;Produits!$C$11&amp;")")</f>
        <v/>
      </c>
      <c r="B55" s="17" t="n">
        <v>4</v>
      </c>
      <c r="C55" s="17" t="n">
        <v>6</v>
      </c>
      <c r="D55" s="17" t="n">
        <v>6</v>
      </c>
      <c r="E55" s="18">
        <f>IF(OR(C55="",D55=""),"",D55-C55)</f>
        <v/>
      </c>
    </row>
    <row r="56" ht="20" customHeight="1">
      <c r="A56" s="16">
        <f>IF(Produits!$A$12="","",Produits!$A$12&amp;" ("&amp;Produits!$C$12&amp;")")</f>
        <v/>
      </c>
      <c r="B56" s="17" t="n">
        <v>50</v>
      </c>
      <c r="C56" s="17" t="n">
        <v>60</v>
      </c>
      <c r="D56" s="17" t="n">
        <v>60</v>
      </c>
      <c r="E56" s="18">
        <f>IF(OR(C56="",D56=""),"",D56-C56)</f>
        <v/>
      </c>
    </row>
    <row r="57" ht="20" customHeight="1">
      <c r="A57" s="16">
        <f>IF(Produits!$A$13="","",Produits!$A$13&amp;" ("&amp;Produits!$C$13&amp;")")</f>
        <v/>
      </c>
      <c r="B57" s="17" t="n">
        <v>2</v>
      </c>
      <c r="C57" s="17" t="n">
        <v>2</v>
      </c>
      <c r="D57" s="17" t="n">
        <v>2</v>
      </c>
      <c r="E57" s="18">
        <f>IF(OR(C57="",D57=""),"",D57-C57)</f>
        <v/>
      </c>
    </row>
    <row r="58" ht="20" customHeight="1">
      <c r="A58" s="16">
        <f>IF(Produits!$A$14="","",Produits!$A$14&amp;" ("&amp;Produits!$C$14&amp;")")</f>
        <v/>
      </c>
      <c r="B58" s="17" t="n">
        <v>2</v>
      </c>
      <c r="C58" s="17" t="n">
        <v>2</v>
      </c>
      <c r="D58" s="17" t="n">
        <v>2</v>
      </c>
      <c r="E58" s="18">
        <f>IF(OR(C58="",D58=""),"",D58-C58)</f>
        <v/>
      </c>
    </row>
    <row r="59" ht="20" customHeight="1">
      <c r="A59" s="16">
        <f>IF(Produits!$A$15="","",Produits!$A$15&amp;" ("&amp;Produits!$C$15&amp;")")</f>
        <v/>
      </c>
      <c r="B59" s="17" t="n">
        <v>0.6</v>
      </c>
      <c r="C59" s="17" t="n">
        <v>0</v>
      </c>
      <c r="D59" s="17" t="n">
        <v>0</v>
      </c>
      <c r="E59" s="18">
        <f>IF(OR(C59="",D59=""),"",D59-C59)</f>
        <v/>
      </c>
    </row>
    <row r="60" ht="20" customHeight="1">
      <c r="A60" s="16">
        <f>IF(Produits!$A$16="","",Produits!$A$16&amp;" ("&amp;Produits!$C$16&amp;")")</f>
        <v/>
      </c>
      <c r="B60" s="17" t="n">
        <v>6</v>
      </c>
      <c r="C60" s="17" t="n">
        <v>0</v>
      </c>
      <c r="D60" s="17" t="n">
        <v>0</v>
      </c>
      <c r="E60" s="18">
        <f>IF(OR(C60="",D60=""),"",D60-C60)</f>
        <v/>
      </c>
    </row>
    <row r="61" ht="20" customHeight="1">
      <c r="A61" s="16">
        <f>IF(Produits!$A$17="","",Produits!$A$17&amp;" ("&amp;Produits!$C$17&amp;")")</f>
        <v/>
      </c>
      <c r="B61" s="19" t="n"/>
      <c r="C61" s="19" t="n"/>
      <c r="D61" s="19" t="n"/>
      <c r="E61" s="18">
        <f>IF(OR(C61="",D61=""),"",D61-C61)</f>
        <v/>
      </c>
    </row>
    <row r="62" ht="20" customHeight="1">
      <c r="A62" s="16">
        <f>IF(Produits!$A$18="","",Produits!$A$18&amp;" ("&amp;Produits!$C$18&amp;")")</f>
        <v/>
      </c>
      <c r="B62" s="19" t="n"/>
      <c r="C62" s="19" t="n"/>
      <c r="D62" s="19" t="n"/>
      <c r="E62" s="18">
        <f>IF(OR(C62="",D62=""),"",D62-C62)</f>
        <v/>
      </c>
    </row>
    <row r="63" ht="20" customHeight="1">
      <c r="A63" s="16">
        <f>IF(Produits!$A$19="","",Produits!$A$19&amp;" ("&amp;Produits!$C$19&amp;")")</f>
        <v/>
      </c>
      <c r="B63" s="19" t="n"/>
      <c r="C63" s="19" t="n"/>
      <c r="D63" s="19" t="n"/>
      <c r="E63" s="18">
        <f>IF(OR(C63="",D63=""),"",D63-C63)</f>
        <v/>
      </c>
    </row>
    <row r="64" ht="20" customHeight="1">
      <c r="A64" s="16">
        <f>IF(Produits!$A$20="","",Produits!$A$20&amp;" ("&amp;Produits!$C$20&amp;")")</f>
        <v/>
      </c>
      <c r="B64" s="19" t="n"/>
      <c r="C64" s="19" t="n"/>
      <c r="D64" s="19" t="n"/>
      <c r="E64" s="18">
        <f>IF(OR(C64="",D64=""),"",D64-C64)</f>
        <v/>
      </c>
    </row>
    <row r="65" ht="20" customHeight="1">
      <c r="A65" s="16">
        <f>IF(Produits!$A$21="","",Produits!$A$21&amp;" ("&amp;Produits!$C$21&amp;")")</f>
        <v/>
      </c>
      <c r="B65" s="19" t="n"/>
      <c r="C65" s="19" t="n"/>
      <c r="D65" s="19" t="n"/>
      <c r="E65" s="18">
        <f>IF(OR(C65="",D65=""),"",D65-C65)</f>
        <v/>
      </c>
    </row>
    <row r="66" ht="20" customHeight="1">
      <c r="A66" s="16">
        <f>IF(Produits!$A$22="","",Produits!$A$22&amp;" ("&amp;Produits!$C$22&amp;")")</f>
        <v/>
      </c>
      <c r="B66" s="19" t="n"/>
      <c r="C66" s="19" t="n"/>
      <c r="D66" s="19" t="n"/>
      <c r="E66" s="18">
        <f>IF(OR(C66="",D66=""),"",D66-C66)</f>
        <v/>
      </c>
    </row>
    <row r="67" ht="20" customHeight="1">
      <c r="A67" s="16">
        <f>IF(Produits!$A$23="","",Produits!$A$23&amp;" ("&amp;Produits!$C$23&amp;")")</f>
        <v/>
      </c>
      <c r="B67" s="19" t="n"/>
      <c r="C67" s="19" t="n"/>
      <c r="D67" s="19" t="n"/>
      <c r="E67" s="18">
        <f>IF(OR(C67="",D67=""),"",D67-C67)</f>
        <v/>
      </c>
    </row>
    <row r="68" ht="20" customHeight="1">
      <c r="A68" s="16">
        <f>IF(Produits!$A$24="","",Produits!$A$24&amp;" ("&amp;Produits!$C$24&amp;")")</f>
        <v/>
      </c>
      <c r="B68" s="19" t="n"/>
      <c r="C68" s="19" t="n"/>
      <c r="D68" s="19" t="n"/>
      <c r="E68" s="18">
        <f>IF(OR(C68="",D68=""),"",D68-C68)</f>
        <v/>
      </c>
    </row>
    <row r="69" ht="20" customHeight="1">
      <c r="A69" s="16">
        <f>IF(Produits!$A$25="","",Produits!$A$25&amp;" ("&amp;Produits!$C$25&amp;")")</f>
        <v/>
      </c>
      <c r="B69" s="19" t="n"/>
      <c r="C69" s="19" t="n"/>
      <c r="D69" s="19" t="n"/>
      <c r="E69" s="18">
        <f>IF(OR(C69="",D69=""),"",D69-C69)</f>
        <v/>
      </c>
    </row>
    <row r="70" ht="20" customHeight="1">
      <c r="A70" s="16">
        <f>IF(Produits!$A$26="","",Produits!$A$26&amp;" ("&amp;Produits!$C$26&amp;")")</f>
        <v/>
      </c>
      <c r="B70" s="19" t="n"/>
      <c r="C70" s="19" t="n"/>
      <c r="D70" s="19" t="n"/>
      <c r="E70" s="18">
        <f>IF(OR(C70="",D70=""),"",D70-C70)</f>
        <v/>
      </c>
    </row>
    <row r="71" ht="20" customHeight="1">
      <c r="A71" s="16">
        <f>IF(Produits!$A$27="","",Produits!$A$27&amp;" ("&amp;Produits!$C$27&amp;")")</f>
        <v/>
      </c>
      <c r="B71" s="19" t="n"/>
      <c r="C71" s="19" t="n"/>
      <c r="D71" s="19" t="n"/>
      <c r="E71" s="18">
        <f>IF(OR(C71="",D71=""),"",D71-C71)</f>
        <v/>
      </c>
    </row>
    <row r="72" ht="20" customHeight="1">
      <c r="A72" s="16">
        <f>IF(Produits!$A$28="","",Produits!$A$28&amp;" ("&amp;Produits!$C$28&amp;")")</f>
        <v/>
      </c>
      <c r="B72" s="19" t="n"/>
      <c r="C72" s="19" t="n"/>
      <c r="D72" s="19" t="n"/>
      <c r="E72" s="18">
        <f>IF(OR(C72="",D72=""),"",D72-C72)</f>
        <v/>
      </c>
    </row>
    <row r="73" ht="20" customHeight="1">
      <c r="A73" s="16">
        <f>IF(Produits!$A$29="","",Produits!$A$29&amp;" ("&amp;Produits!$C$29&amp;")")</f>
        <v/>
      </c>
      <c r="B73" s="19" t="n"/>
      <c r="C73" s="19" t="n"/>
      <c r="D73" s="19" t="n"/>
      <c r="E73" s="18">
        <f>IF(OR(C73="",D73=""),"",D73-C73)</f>
        <v/>
      </c>
    </row>
    <row r="74" ht="20" customHeight="1">
      <c r="A74" s="16">
        <f>IF(Produits!$A$30="","",Produits!$A$30&amp;" ("&amp;Produits!$C$30&amp;")")</f>
        <v/>
      </c>
      <c r="B74" s="19" t="n"/>
      <c r="C74" s="19" t="n"/>
      <c r="D74" s="19" t="n"/>
      <c r="E74" s="18">
        <f>IF(OR(C74="",D74=""),"",D74-C74)</f>
        <v/>
      </c>
    </row>
    <row r="75" ht="20" customHeight="1">
      <c r="A75" s="16">
        <f>IF(Produits!$A$31="","",Produits!$A$31&amp;" ("&amp;Produits!$C$31&amp;")")</f>
        <v/>
      </c>
      <c r="B75" s="19" t="n"/>
      <c r="C75" s="19" t="n"/>
      <c r="D75" s="19" t="n"/>
      <c r="E75" s="18">
        <f>IF(OR(C75="",D75=""),"",D75-C75)</f>
        <v/>
      </c>
    </row>
    <row r="76" ht="20" customHeight="1">
      <c r="A76" s="16">
        <f>IF(Produits!$A$32="","",Produits!$A$32&amp;" ("&amp;Produits!$C$32&amp;")")</f>
        <v/>
      </c>
      <c r="B76" s="19" t="n"/>
      <c r="C76" s="19" t="n"/>
      <c r="D76" s="19" t="n"/>
      <c r="E76" s="18">
        <f>IF(OR(C76="",D76=""),"",D76-C76)</f>
        <v/>
      </c>
    </row>
    <row r="77" ht="20" customHeight="1">
      <c r="A77" s="16">
        <f>IF(Produits!$A$33="","",Produits!$A$33&amp;" ("&amp;Produits!$C$33&amp;")")</f>
        <v/>
      </c>
      <c r="B77" s="19" t="n"/>
      <c r="C77" s="19" t="n"/>
      <c r="D77" s="19" t="n"/>
      <c r="E77" s="18">
        <f>IF(OR(C77="",D77=""),"",D77-C77)</f>
        <v/>
      </c>
    </row>
    <row r="78" ht="20" customHeight="1">
      <c r="A78" s="16">
        <f>IF(Produits!$A$34="","",Produits!$A$34&amp;" ("&amp;Produits!$C$34&amp;")")</f>
        <v/>
      </c>
      <c r="B78" s="19" t="n"/>
      <c r="C78" s="19" t="n"/>
      <c r="D78" s="19" t="n"/>
      <c r="E78" s="18">
        <f>IF(OR(C78="",D78=""),"",D78-C78)</f>
        <v/>
      </c>
    </row>
    <row r="79" ht="20" customHeight="1">
      <c r="A79" s="16">
        <f>IF(Produits!$A$35="","",Produits!$A$35&amp;" ("&amp;Produits!$C$35&amp;")")</f>
        <v/>
      </c>
      <c r="B79" s="19" t="n"/>
      <c r="C79" s="19" t="n"/>
      <c r="D79" s="19" t="n"/>
      <c r="E79" s="18">
        <f>IF(OR(C79="",D79=""),"",D79-C79)</f>
        <v/>
      </c>
    </row>
    <row r="80" ht="20" customHeight="1">
      <c r="A80" s="16">
        <f>IF(Produits!$A$36="","",Produits!$A$36&amp;" ("&amp;Produits!$C$36&amp;")")</f>
        <v/>
      </c>
      <c r="B80" s="19" t="n"/>
      <c r="C80" s="19" t="n"/>
      <c r="D80" s="19" t="n"/>
      <c r="E80" s="18">
        <f>IF(OR(C80="",D80=""),"",D80-C80)</f>
        <v/>
      </c>
    </row>
    <row r="81" ht="20" customHeight="1">
      <c r="A81" s="16">
        <f>IF(Produits!$A$37="","",Produits!$A$37&amp;" ("&amp;Produits!$C$37&amp;")")</f>
        <v/>
      </c>
      <c r="B81" s="19" t="n"/>
      <c r="C81" s="19" t="n"/>
      <c r="D81" s="19" t="n"/>
      <c r="E81" s="18">
        <f>IF(OR(C81="",D81=""),"",D81-C81)</f>
        <v/>
      </c>
    </row>
    <row r="82" ht="20" customHeight="1">
      <c r="A82" s="16">
        <f>IF(Produits!$A$38="","",Produits!$A$38&amp;" ("&amp;Produits!$C$38&amp;")")</f>
        <v/>
      </c>
      <c r="B82" s="19" t="n"/>
      <c r="C82" s="19" t="n"/>
      <c r="D82" s="19" t="n"/>
      <c r="E82" s="18">
        <f>IF(OR(C82="",D82=""),"",D82-C82)</f>
        <v/>
      </c>
    </row>
    <row r="83" ht="20" customHeight="1">
      <c r="A83" s="16">
        <f>IF(Produits!$A$39="","",Produits!$A$39&amp;" ("&amp;Produits!$C$39&amp;")")</f>
        <v/>
      </c>
      <c r="B83" s="19" t="n"/>
      <c r="C83" s="19" t="n"/>
      <c r="D83" s="19" t="n"/>
      <c r="E83" s="18">
        <f>IF(OR(C83="",D83=""),"",D83-C83)</f>
        <v/>
      </c>
    </row>
    <row r="84" ht="20" customHeight="1">
      <c r="A84" s="16">
        <f>IF(Produits!$A$40="","",Produits!$A$40&amp;" ("&amp;Produits!$C$40&amp;")")</f>
        <v/>
      </c>
      <c r="B84" s="19" t="n"/>
      <c r="C84" s="19" t="n"/>
      <c r="D84" s="19" t="n"/>
      <c r="E84" s="18">
        <f>IF(OR(C84="",D84=""),"",D84-C84)</f>
        <v/>
      </c>
    </row>
    <row r="85" ht="20" customHeight="1">
      <c r="A85" s="16">
        <f>IF(Produits!$A$41="","",Produits!$A$41&amp;" ("&amp;Produits!$C$41&amp;")")</f>
        <v/>
      </c>
      <c r="B85" s="19" t="n"/>
      <c r="C85" s="19" t="n"/>
      <c r="D85" s="19" t="n"/>
      <c r="E85" s="18">
        <f>IF(OR(C85="",D85=""),"",D85-C85)</f>
        <v/>
      </c>
    </row>
    <row r="86" ht="20" customHeight="1">
      <c r="A86" s="16">
        <f>IF(Produits!$A$42="","",Produits!$A$42&amp;" ("&amp;Produits!$C$42&amp;")")</f>
        <v/>
      </c>
      <c r="B86" s="19" t="n"/>
      <c r="C86" s="19" t="n"/>
      <c r="D86" s="19" t="n"/>
      <c r="E86" s="18">
        <f>IF(OR(C86="",D86=""),"",D86-C86)</f>
        <v/>
      </c>
    </row>
    <row r="87" ht="20" customHeight="1">
      <c r="A87" s="16">
        <f>IF(Produits!$A$43="","",Produits!$A$43&amp;" ("&amp;Produits!$C$43&amp;")")</f>
        <v/>
      </c>
      <c r="B87" s="19" t="n"/>
      <c r="C87" s="19" t="n"/>
      <c r="D87" s="19" t="n"/>
      <c r="E87" s="18">
        <f>IF(OR(C87="",D87=""),"",D87-C87)</f>
        <v/>
      </c>
    </row>
    <row r="88" ht="20" customHeight="1">
      <c r="A88" s="16">
        <f>IF(Produits!$A$44="","",Produits!$A$44&amp;" ("&amp;Produits!$C$44&amp;")")</f>
        <v/>
      </c>
      <c r="B88" s="19" t="n"/>
      <c r="C88" s="19" t="n"/>
      <c r="D88" s="19" t="n"/>
      <c r="E88" s="18">
        <f>IF(OR(C88="",D88=""),"",D88-C88)</f>
        <v/>
      </c>
    </row>
    <row r="90" ht="24" customHeight="1">
      <c r="A90" s="11" t="inlineStr">
        <is>
          <t>SEMAINE 3</t>
        </is>
      </c>
      <c r="B90" s="12" t="n"/>
      <c r="C90" s="12" t="n"/>
      <c r="D90" s="13" t="n"/>
      <c r="E90" s="14" t="n"/>
    </row>
    <row r="91">
      <c r="A91" s="15" t="inlineStr">
        <is>
          <t>Produit</t>
        </is>
      </c>
      <c r="B91" s="15" t="inlineStr">
        <is>
          <t>Stock</t>
        </is>
      </c>
      <c r="C91" s="15" t="inlineStr">
        <is>
          <t>Commandé</t>
        </is>
      </c>
      <c r="D91" s="15" t="inlineStr">
        <is>
          <t>Reçu</t>
        </is>
      </c>
      <c r="E91" s="15" t="inlineStr">
        <is>
          <t>Écart</t>
        </is>
      </c>
    </row>
    <row r="92" ht="20" customHeight="1">
      <c r="A92" s="16">
        <f>IF(Produits!$A$5="","",Produits!$A$5&amp;" ("&amp;Produits!$C$5&amp;")")</f>
        <v/>
      </c>
      <c r="B92" s="19" t="n"/>
      <c r="C92" s="19" t="n"/>
      <c r="D92" s="19" t="n"/>
      <c r="E92" s="18">
        <f>IF(OR(C92="",D92=""),"",D92-C92)</f>
        <v/>
      </c>
    </row>
    <row r="93" ht="20" customHeight="1">
      <c r="A93" s="16">
        <f>IF(Produits!$A$6="","",Produits!$A$6&amp;" ("&amp;Produits!$C$6&amp;")")</f>
        <v/>
      </c>
      <c r="B93" s="19" t="n"/>
      <c r="C93" s="19" t="n"/>
      <c r="D93" s="19" t="n"/>
      <c r="E93" s="18">
        <f>IF(OR(C93="",D93=""),"",D93-C93)</f>
        <v/>
      </c>
    </row>
    <row r="94" ht="20" customHeight="1">
      <c r="A94" s="16">
        <f>IF(Produits!$A$7="","",Produits!$A$7&amp;" ("&amp;Produits!$C$7&amp;")")</f>
        <v/>
      </c>
      <c r="B94" s="19" t="n"/>
      <c r="C94" s="19" t="n"/>
      <c r="D94" s="19" t="n"/>
      <c r="E94" s="18">
        <f>IF(OR(C94="",D94=""),"",D94-C94)</f>
        <v/>
      </c>
    </row>
    <row r="95" ht="20" customHeight="1">
      <c r="A95" s="16">
        <f>IF(Produits!$A$8="","",Produits!$A$8&amp;" ("&amp;Produits!$C$8&amp;")")</f>
        <v/>
      </c>
      <c r="B95" s="19" t="n"/>
      <c r="C95" s="19" t="n"/>
      <c r="D95" s="19" t="n"/>
      <c r="E95" s="18">
        <f>IF(OR(C95="",D95=""),"",D95-C95)</f>
        <v/>
      </c>
    </row>
    <row r="96" ht="20" customHeight="1">
      <c r="A96" s="16">
        <f>IF(Produits!$A$9="","",Produits!$A$9&amp;" ("&amp;Produits!$C$9&amp;")")</f>
        <v/>
      </c>
      <c r="B96" s="19" t="n"/>
      <c r="C96" s="19" t="n"/>
      <c r="D96" s="19" t="n"/>
      <c r="E96" s="18">
        <f>IF(OR(C96="",D96=""),"",D96-C96)</f>
        <v/>
      </c>
    </row>
    <row r="97" ht="20" customHeight="1">
      <c r="A97" s="16">
        <f>IF(Produits!$A$10="","",Produits!$A$10&amp;" ("&amp;Produits!$C$10&amp;")")</f>
        <v/>
      </c>
      <c r="B97" s="19" t="n"/>
      <c r="C97" s="19" t="n"/>
      <c r="D97" s="19" t="n"/>
      <c r="E97" s="18">
        <f>IF(OR(C97="",D97=""),"",D97-C97)</f>
        <v/>
      </c>
    </row>
    <row r="98" ht="20" customHeight="1">
      <c r="A98" s="16">
        <f>IF(Produits!$A$11="","",Produits!$A$11&amp;" ("&amp;Produits!$C$11&amp;")")</f>
        <v/>
      </c>
      <c r="B98" s="19" t="n"/>
      <c r="C98" s="19" t="n"/>
      <c r="D98" s="19" t="n"/>
      <c r="E98" s="18">
        <f>IF(OR(C98="",D98=""),"",D98-C98)</f>
        <v/>
      </c>
    </row>
    <row r="99" ht="20" customHeight="1">
      <c r="A99" s="16">
        <f>IF(Produits!$A$12="","",Produits!$A$12&amp;" ("&amp;Produits!$C$12&amp;")")</f>
        <v/>
      </c>
      <c r="B99" s="19" t="n"/>
      <c r="C99" s="19" t="n"/>
      <c r="D99" s="19" t="n"/>
      <c r="E99" s="18">
        <f>IF(OR(C99="",D99=""),"",D99-C99)</f>
        <v/>
      </c>
    </row>
    <row r="100" ht="20" customHeight="1">
      <c r="A100" s="16">
        <f>IF(Produits!$A$13="","",Produits!$A$13&amp;" ("&amp;Produits!$C$13&amp;")")</f>
        <v/>
      </c>
      <c r="B100" s="19" t="n"/>
      <c r="C100" s="19" t="n"/>
      <c r="D100" s="19" t="n"/>
      <c r="E100" s="18">
        <f>IF(OR(C100="",D100=""),"",D100-C100)</f>
        <v/>
      </c>
    </row>
    <row r="101" ht="20" customHeight="1">
      <c r="A101" s="16">
        <f>IF(Produits!$A$14="","",Produits!$A$14&amp;" ("&amp;Produits!$C$14&amp;")")</f>
        <v/>
      </c>
      <c r="B101" s="19" t="n"/>
      <c r="C101" s="19" t="n"/>
      <c r="D101" s="19" t="n"/>
      <c r="E101" s="18">
        <f>IF(OR(C101="",D101=""),"",D101-C101)</f>
        <v/>
      </c>
    </row>
    <row r="102" ht="20" customHeight="1">
      <c r="A102" s="16">
        <f>IF(Produits!$A$15="","",Produits!$A$15&amp;" ("&amp;Produits!$C$15&amp;")")</f>
        <v/>
      </c>
      <c r="B102" s="19" t="n"/>
      <c r="C102" s="19" t="n"/>
      <c r="D102" s="19" t="n"/>
      <c r="E102" s="18">
        <f>IF(OR(C102="",D102=""),"",D102-C102)</f>
        <v/>
      </c>
    </row>
    <row r="103" ht="20" customHeight="1">
      <c r="A103" s="16">
        <f>IF(Produits!$A$16="","",Produits!$A$16&amp;" ("&amp;Produits!$C$16&amp;")")</f>
        <v/>
      </c>
      <c r="B103" s="19" t="n"/>
      <c r="C103" s="19" t="n"/>
      <c r="D103" s="19" t="n"/>
      <c r="E103" s="18">
        <f>IF(OR(C103="",D103=""),"",D103-C103)</f>
        <v/>
      </c>
    </row>
    <row r="104" ht="20" customHeight="1">
      <c r="A104" s="16">
        <f>IF(Produits!$A$17="","",Produits!$A$17&amp;" ("&amp;Produits!$C$17&amp;")")</f>
        <v/>
      </c>
      <c r="B104" s="19" t="n"/>
      <c r="C104" s="19" t="n"/>
      <c r="D104" s="19" t="n"/>
      <c r="E104" s="18">
        <f>IF(OR(C104="",D104=""),"",D104-C104)</f>
        <v/>
      </c>
    </row>
    <row r="105" ht="20" customHeight="1">
      <c r="A105" s="16">
        <f>IF(Produits!$A$18="","",Produits!$A$18&amp;" ("&amp;Produits!$C$18&amp;")")</f>
        <v/>
      </c>
      <c r="B105" s="19" t="n"/>
      <c r="C105" s="19" t="n"/>
      <c r="D105" s="19" t="n"/>
      <c r="E105" s="18">
        <f>IF(OR(C105="",D105=""),"",D105-C105)</f>
        <v/>
      </c>
    </row>
    <row r="106" ht="20" customHeight="1">
      <c r="A106" s="16">
        <f>IF(Produits!$A$19="","",Produits!$A$19&amp;" ("&amp;Produits!$C$19&amp;")")</f>
        <v/>
      </c>
      <c r="B106" s="19" t="n"/>
      <c r="C106" s="19" t="n"/>
      <c r="D106" s="19" t="n"/>
      <c r="E106" s="18">
        <f>IF(OR(C106="",D106=""),"",D106-C106)</f>
        <v/>
      </c>
    </row>
    <row r="107" ht="20" customHeight="1">
      <c r="A107" s="16">
        <f>IF(Produits!$A$20="","",Produits!$A$20&amp;" ("&amp;Produits!$C$20&amp;")")</f>
        <v/>
      </c>
      <c r="B107" s="19" t="n"/>
      <c r="C107" s="19" t="n"/>
      <c r="D107" s="19" t="n"/>
      <c r="E107" s="18">
        <f>IF(OR(C107="",D107=""),"",D107-C107)</f>
        <v/>
      </c>
    </row>
    <row r="108" ht="20" customHeight="1">
      <c r="A108" s="16">
        <f>IF(Produits!$A$21="","",Produits!$A$21&amp;" ("&amp;Produits!$C$21&amp;")")</f>
        <v/>
      </c>
      <c r="B108" s="19" t="n"/>
      <c r="C108" s="19" t="n"/>
      <c r="D108" s="19" t="n"/>
      <c r="E108" s="18">
        <f>IF(OR(C108="",D108=""),"",D108-C108)</f>
        <v/>
      </c>
    </row>
    <row r="109" ht="20" customHeight="1">
      <c r="A109" s="16">
        <f>IF(Produits!$A$22="","",Produits!$A$22&amp;" ("&amp;Produits!$C$22&amp;")")</f>
        <v/>
      </c>
      <c r="B109" s="19" t="n"/>
      <c r="C109" s="19" t="n"/>
      <c r="D109" s="19" t="n"/>
      <c r="E109" s="18">
        <f>IF(OR(C109="",D109=""),"",D109-C109)</f>
        <v/>
      </c>
    </row>
    <row r="110" ht="20" customHeight="1">
      <c r="A110" s="16">
        <f>IF(Produits!$A$23="","",Produits!$A$23&amp;" ("&amp;Produits!$C$23&amp;")")</f>
        <v/>
      </c>
      <c r="B110" s="19" t="n"/>
      <c r="C110" s="19" t="n"/>
      <c r="D110" s="19" t="n"/>
      <c r="E110" s="18">
        <f>IF(OR(C110="",D110=""),"",D110-C110)</f>
        <v/>
      </c>
    </row>
    <row r="111" ht="20" customHeight="1">
      <c r="A111" s="16">
        <f>IF(Produits!$A$24="","",Produits!$A$24&amp;" ("&amp;Produits!$C$24&amp;")")</f>
        <v/>
      </c>
      <c r="B111" s="19" t="n"/>
      <c r="C111" s="19" t="n"/>
      <c r="D111" s="19" t="n"/>
      <c r="E111" s="18">
        <f>IF(OR(C111="",D111=""),"",D111-C111)</f>
        <v/>
      </c>
    </row>
    <row r="112" ht="20" customHeight="1">
      <c r="A112" s="16">
        <f>IF(Produits!$A$25="","",Produits!$A$25&amp;" ("&amp;Produits!$C$25&amp;")")</f>
        <v/>
      </c>
      <c r="B112" s="19" t="n"/>
      <c r="C112" s="19" t="n"/>
      <c r="D112" s="19" t="n"/>
      <c r="E112" s="18">
        <f>IF(OR(C112="",D112=""),"",D112-C112)</f>
        <v/>
      </c>
    </row>
    <row r="113" ht="20" customHeight="1">
      <c r="A113" s="16">
        <f>IF(Produits!$A$26="","",Produits!$A$26&amp;" ("&amp;Produits!$C$26&amp;")")</f>
        <v/>
      </c>
      <c r="B113" s="19" t="n"/>
      <c r="C113" s="19" t="n"/>
      <c r="D113" s="19" t="n"/>
      <c r="E113" s="18">
        <f>IF(OR(C113="",D113=""),"",D113-C113)</f>
        <v/>
      </c>
    </row>
    <row r="114" ht="20" customHeight="1">
      <c r="A114" s="16">
        <f>IF(Produits!$A$27="","",Produits!$A$27&amp;" ("&amp;Produits!$C$27&amp;")")</f>
        <v/>
      </c>
      <c r="B114" s="19" t="n"/>
      <c r="C114" s="19" t="n"/>
      <c r="D114" s="19" t="n"/>
      <c r="E114" s="18">
        <f>IF(OR(C114="",D114=""),"",D114-C114)</f>
        <v/>
      </c>
    </row>
    <row r="115" ht="20" customHeight="1">
      <c r="A115" s="16">
        <f>IF(Produits!$A$28="","",Produits!$A$28&amp;" ("&amp;Produits!$C$28&amp;")")</f>
        <v/>
      </c>
      <c r="B115" s="19" t="n"/>
      <c r="C115" s="19" t="n"/>
      <c r="D115" s="19" t="n"/>
      <c r="E115" s="18">
        <f>IF(OR(C115="",D115=""),"",D115-C115)</f>
        <v/>
      </c>
    </row>
    <row r="116" ht="20" customHeight="1">
      <c r="A116" s="16">
        <f>IF(Produits!$A$29="","",Produits!$A$29&amp;" ("&amp;Produits!$C$29&amp;")")</f>
        <v/>
      </c>
      <c r="B116" s="19" t="n"/>
      <c r="C116" s="19" t="n"/>
      <c r="D116" s="19" t="n"/>
      <c r="E116" s="18">
        <f>IF(OR(C116="",D116=""),"",D116-C116)</f>
        <v/>
      </c>
    </row>
    <row r="117" ht="20" customHeight="1">
      <c r="A117" s="16">
        <f>IF(Produits!$A$30="","",Produits!$A$30&amp;" ("&amp;Produits!$C$30&amp;")")</f>
        <v/>
      </c>
      <c r="B117" s="19" t="n"/>
      <c r="C117" s="19" t="n"/>
      <c r="D117" s="19" t="n"/>
      <c r="E117" s="18">
        <f>IF(OR(C117="",D117=""),"",D117-C117)</f>
        <v/>
      </c>
    </row>
    <row r="118" ht="20" customHeight="1">
      <c r="A118" s="16">
        <f>IF(Produits!$A$31="","",Produits!$A$31&amp;" ("&amp;Produits!$C$31&amp;")")</f>
        <v/>
      </c>
      <c r="B118" s="19" t="n"/>
      <c r="C118" s="19" t="n"/>
      <c r="D118" s="19" t="n"/>
      <c r="E118" s="18">
        <f>IF(OR(C118="",D118=""),"",D118-C118)</f>
        <v/>
      </c>
    </row>
    <row r="119" ht="20" customHeight="1">
      <c r="A119" s="16">
        <f>IF(Produits!$A$32="","",Produits!$A$32&amp;" ("&amp;Produits!$C$32&amp;")")</f>
        <v/>
      </c>
      <c r="B119" s="19" t="n"/>
      <c r="C119" s="19" t="n"/>
      <c r="D119" s="19" t="n"/>
      <c r="E119" s="18">
        <f>IF(OR(C119="",D119=""),"",D119-C119)</f>
        <v/>
      </c>
    </row>
    <row r="120" ht="20" customHeight="1">
      <c r="A120" s="16">
        <f>IF(Produits!$A$33="","",Produits!$A$33&amp;" ("&amp;Produits!$C$33&amp;")")</f>
        <v/>
      </c>
      <c r="B120" s="19" t="n"/>
      <c r="C120" s="19" t="n"/>
      <c r="D120" s="19" t="n"/>
      <c r="E120" s="18">
        <f>IF(OR(C120="",D120=""),"",D120-C120)</f>
        <v/>
      </c>
    </row>
    <row r="121" ht="20" customHeight="1">
      <c r="A121" s="16">
        <f>IF(Produits!$A$34="","",Produits!$A$34&amp;" ("&amp;Produits!$C$34&amp;")")</f>
        <v/>
      </c>
      <c r="B121" s="19" t="n"/>
      <c r="C121" s="19" t="n"/>
      <c r="D121" s="19" t="n"/>
      <c r="E121" s="18">
        <f>IF(OR(C121="",D121=""),"",D121-C121)</f>
        <v/>
      </c>
    </row>
    <row r="122" ht="20" customHeight="1">
      <c r="A122" s="16">
        <f>IF(Produits!$A$35="","",Produits!$A$35&amp;" ("&amp;Produits!$C$35&amp;")")</f>
        <v/>
      </c>
      <c r="B122" s="19" t="n"/>
      <c r="C122" s="19" t="n"/>
      <c r="D122" s="19" t="n"/>
      <c r="E122" s="18">
        <f>IF(OR(C122="",D122=""),"",D122-C122)</f>
        <v/>
      </c>
    </row>
    <row r="123" ht="20" customHeight="1">
      <c r="A123" s="16">
        <f>IF(Produits!$A$36="","",Produits!$A$36&amp;" ("&amp;Produits!$C$36&amp;")")</f>
        <v/>
      </c>
      <c r="B123" s="19" t="n"/>
      <c r="C123" s="19" t="n"/>
      <c r="D123" s="19" t="n"/>
      <c r="E123" s="18">
        <f>IF(OR(C123="",D123=""),"",D123-C123)</f>
        <v/>
      </c>
    </row>
    <row r="124" ht="20" customHeight="1">
      <c r="A124" s="16">
        <f>IF(Produits!$A$37="","",Produits!$A$37&amp;" ("&amp;Produits!$C$37&amp;")")</f>
        <v/>
      </c>
      <c r="B124" s="19" t="n"/>
      <c r="C124" s="19" t="n"/>
      <c r="D124" s="19" t="n"/>
      <c r="E124" s="18">
        <f>IF(OR(C124="",D124=""),"",D124-C124)</f>
        <v/>
      </c>
    </row>
    <row r="125" ht="20" customHeight="1">
      <c r="A125" s="16">
        <f>IF(Produits!$A$38="","",Produits!$A$38&amp;" ("&amp;Produits!$C$38&amp;")")</f>
        <v/>
      </c>
      <c r="B125" s="19" t="n"/>
      <c r="C125" s="19" t="n"/>
      <c r="D125" s="19" t="n"/>
      <c r="E125" s="18">
        <f>IF(OR(C125="",D125=""),"",D125-C125)</f>
        <v/>
      </c>
    </row>
    <row r="126" ht="20" customHeight="1">
      <c r="A126" s="16">
        <f>IF(Produits!$A$39="","",Produits!$A$39&amp;" ("&amp;Produits!$C$39&amp;")")</f>
        <v/>
      </c>
      <c r="B126" s="19" t="n"/>
      <c r="C126" s="19" t="n"/>
      <c r="D126" s="19" t="n"/>
      <c r="E126" s="18">
        <f>IF(OR(C126="",D126=""),"",D126-C126)</f>
        <v/>
      </c>
    </row>
    <row r="127" ht="20" customHeight="1">
      <c r="A127" s="16">
        <f>IF(Produits!$A$40="","",Produits!$A$40&amp;" ("&amp;Produits!$C$40&amp;")")</f>
        <v/>
      </c>
      <c r="B127" s="19" t="n"/>
      <c r="C127" s="19" t="n"/>
      <c r="D127" s="19" t="n"/>
      <c r="E127" s="18">
        <f>IF(OR(C127="",D127=""),"",D127-C127)</f>
        <v/>
      </c>
    </row>
    <row r="128" ht="20" customHeight="1">
      <c r="A128" s="16">
        <f>IF(Produits!$A$41="","",Produits!$A$41&amp;" ("&amp;Produits!$C$41&amp;")")</f>
        <v/>
      </c>
      <c r="B128" s="19" t="n"/>
      <c r="C128" s="19" t="n"/>
      <c r="D128" s="19" t="n"/>
      <c r="E128" s="18">
        <f>IF(OR(C128="",D128=""),"",D128-C128)</f>
        <v/>
      </c>
    </row>
    <row r="129" ht="20" customHeight="1">
      <c r="A129" s="16">
        <f>IF(Produits!$A$42="","",Produits!$A$42&amp;" ("&amp;Produits!$C$42&amp;")")</f>
        <v/>
      </c>
      <c r="B129" s="19" t="n"/>
      <c r="C129" s="19" t="n"/>
      <c r="D129" s="19" t="n"/>
      <c r="E129" s="18">
        <f>IF(OR(C129="",D129=""),"",D129-C129)</f>
        <v/>
      </c>
    </row>
    <row r="130" ht="20" customHeight="1">
      <c r="A130" s="16">
        <f>IF(Produits!$A$43="","",Produits!$A$43&amp;" ("&amp;Produits!$C$43&amp;")")</f>
        <v/>
      </c>
      <c r="B130" s="19" t="n"/>
      <c r="C130" s="19" t="n"/>
      <c r="D130" s="19" t="n"/>
      <c r="E130" s="18">
        <f>IF(OR(C130="",D130=""),"",D130-C130)</f>
        <v/>
      </c>
    </row>
    <row r="131" ht="20" customHeight="1">
      <c r="A131" s="16">
        <f>IF(Produits!$A$44="","",Produits!$A$44&amp;" ("&amp;Produits!$C$44&amp;")")</f>
        <v/>
      </c>
      <c r="B131" s="19" t="n"/>
      <c r="C131" s="19" t="n"/>
      <c r="D131" s="19" t="n"/>
      <c r="E131" s="18">
        <f>IF(OR(C131="",D131=""),"",D131-C131)</f>
        <v/>
      </c>
    </row>
    <row r="133" ht="24" customHeight="1">
      <c r="A133" s="11" t="inlineStr">
        <is>
          <t>SEMAINE 4</t>
        </is>
      </c>
      <c r="B133" s="12" t="n"/>
      <c r="C133" s="12" t="n"/>
      <c r="D133" s="13" t="n"/>
      <c r="E133" s="14" t="n"/>
    </row>
    <row r="134">
      <c r="A134" s="15" t="inlineStr">
        <is>
          <t>Produit</t>
        </is>
      </c>
      <c r="B134" s="15" t="inlineStr">
        <is>
          <t>Stock</t>
        </is>
      </c>
      <c r="C134" s="15" t="inlineStr">
        <is>
          <t>Commandé</t>
        </is>
      </c>
      <c r="D134" s="15" t="inlineStr">
        <is>
          <t>Reçu</t>
        </is>
      </c>
      <c r="E134" s="15" t="inlineStr">
        <is>
          <t>Écart</t>
        </is>
      </c>
    </row>
    <row r="135" ht="20" customHeight="1">
      <c r="A135" s="16">
        <f>IF(Produits!$A$5="","",Produits!$A$5&amp;" ("&amp;Produits!$C$5&amp;")")</f>
        <v/>
      </c>
      <c r="B135" s="19" t="n"/>
      <c r="C135" s="19" t="n"/>
      <c r="D135" s="19" t="n"/>
      <c r="E135" s="18">
        <f>IF(OR(C135="",D135=""),"",D135-C135)</f>
        <v/>
      </c>
    </row>
    <row r="136" ht="20" customHeight="1">
      <c r="A136" s="16">
        <f>IF(Produits!$A$6="","",Produits!$A$6&amp;" ("&amp;Produits!$C$6&amp;")")</f>
        <v/>
      </c>
      <c r="B136" s="19" t="n"/>
      <c r="C136" s="19" t="n"/>
      <c r="D136" s="19" t="n"/>
      <c r="E136" s="18">
        <f>IF(OR(C136="",D136=""),"",D136-C136)</f>
        <v/>
      </c>
    </row>
    <row r="137" ht="20" customHeight="1">
      <c r="A137" s="16">
        <f>IF(Produits!$A$7="","",Produits!$A$7&amp;" ("&amp;Produits!$C$7&amp;")")</f>
        <v/>
      </c>
      <c r="B137" s="19" t="n"/>
      <c r="C137" s="19" t="n"/>
      <c r="D137" s="19" t="n"/>
      <c r="E137" s="18">
        <f>IF(OR(C137="",D137=""),"",D137-C137)</f>
        <v/>
      </c>
    </row>
    <row r="138" ht="20" customHeight="1">
      <c r="A138" s="16">
        <f>IF(Produits!$A$8="","",Produits!$A$8&amp;" ("&amp;Produits!$C$8&amp;")")</f>
        <v/>
      </c>
      <c r="B138" s="19" t="n"/>
      <c r="C138" s="19" t="n"/>
      <c r="D138" s="19" t="n"/>
      <c r="E138" s="18">
        <f>IF(OR(C138="",D138=""),"",D138-C138)</f>
        <v/>
      </c>
    </row>
    <row r="139" ht="20" customHeight="1">
      <c r="A139" s="16">
        <f>IF(Produits!$A$9="","",Produits!$A$9&amp;" ("&amp;Produits!$C$9&amp;")")</f>
        <v/>
      </c>
      <c r="B139" s="19" t="n"/>
      <c r="C139" s="19" t="n"/>
      <c r="D139" s="19" t="n"/>
      <c r="E139" s="18">
        <f>IF(OR(C139="",D139=""),"",D139-C139)</f>
        <v/>
      </c>
    </row>
    <row r="140" ht="20" customHeight="1">
      <c r="A140" s="16">
        <f>IF(Produits!$A$10="","",Produits!$A$10&amp;" ("&amp;Produits!$C$10&amp;")")</f>
        <v/>
      </c>
      <c r="B140" s="19" t="n"/>
      <c r="C140" s="19" t="n"/>
      <c r="D140" s="19" t="n"/>
      <c r="E140" s="18">
        <f>IF(OR(C140="",D140=""),"",D140-C140)</f>
        <v/>
      </c>
    </row>
    <row r="141" ht="20" customHeight="1">
      <c r="A141" s="16">
        <f>IF(Produits!$A$11="","",Produits!$A$11&amp;" ("&amp;Produits!$C$11&amp;")")</f>
        <v/>
      </c>
      <c r="B141" s="19" t="n"/>
      <c r="C141" s="19" t="n"/>
      <c r="D141" s="19" t="n"/>
      <c r="E141" s="18">
        <f>IF(OR(C141="",D141=""),"",D141-C141)</f>
        <v/>
      </c>
    </row>
    <row r="142" ht="20" customHeight="1">
      <c r="A142" s="16">
        <f>IF(Produits!$A$12="","",Produits!$A$12&amp;" ("&amp;Produits!$C$12&amp;")")</f>
        <v/>
      </c>
      <c r="B142" s="19" t="n"/>
      <c r="C142" s="19" t="n"/>
      <c r="D142" s="19" t="n"/>
      <c r="E142" s="18">
        <f>IF(OR(C142="",D142=""),"",D142-C142)</f>
        <v/>
      </c>
    </row>
    <row r="143" ht="20" customHeight="1">
      <c r="A143" s="16">
        <f>IF(Produits!$A$13="","",Produits!$A$13&amp;" ("&amp;Produits!$C$13&amp;")")</f>
        <v/>
      </c>
      <c r="B143" s="19" t="n"/>
      <c r="C143" s="19" t="n"/>
      <c r="D143" s="19" t="n"/>
      <c r="E143" s="18">
        <f>IF(OR(C143="",D143=""),"",D143-C143)</f>
        <v/>
      </c>
    </row>
    <row r="144" ht="20" customHeight="1">
      <c r="A144" s="16">
        <f>IF(Produits!$A$14="","",Produits!$A$14&amp;" ("&amp;Produits!$C$14&amp;")")</f>
        <v/>
      </c>
      <c r="B144" s="19" t="n"/>
      <c r="C144" s="19" t="n"/>
      <c r="D144" s="19" t="n"/>
      <c r="E144" s="18">
        <f>IF(OR(C144="",D144=""),"",D144-C144)</f>
        <v/>
      </c>
    </row>
    <row r="145" ht="20" customHeight="1">
      <c r="A145" s="16">
        <f>IF(Produits!$A$15="","",Produits!$A$15&amp;" ("&amp;Produits!$C$15&amp;")")</f>
        <v/>
      </c>
      <c r="B145" s="19" t="n"/>
      <c r="C145" s="19" t="n"/>
      <c r="D145" s="19" t="n"/>
      <c r="E145" s="18">
        <f>IF(OR(C145="",D145=""),"",D145-C145)</f>
        <v/>
      </c>
    </row>
    <row r="146" ht="20" customHeight="1">
      <c r="A146" s="16">
        <f>IF(Produits!$A$16="","",Produits!$A$16&amp;" ("&amp;Produits!$C$16&amp;")")</f>
        <v/>
      </c>
      <c r="B146" s="19" t="n"/>
      <c r="C146" s="19" t="n"/>
      <c r="D146" s="19" t="n"/>
      <c r="E146" s="18">
        <f>IF(OR(C146="",D146=""),"",D146-C146)</f>
        <v/>
      </c>
    </row>
    <row r="147" ht="20" customHeight="1">
      <c r="A147" s="16">
        <f>IF(Produits!$A$17="","",Produits!$A$17&amp;" ("&amp;Produits!$C$17&amp;")")</f>
        <v/>
      </c>
      <c r="B147" s="19" t="n"/>
      <c r="C147" s="19" t="n"/>
      <c r="D147" s="19" t="n"/>
      <c r="E147" s="18">
        <f>IF(OR(C147="",D147=""),"",D147-C147)</f>
        <v/>
      </c>
    </row>
    <row r="148" ht="20" customHeight="1">
      <c r="A148" s="16">
        <f>IF(Produits!$A$18="","",Produits!$A$18&amp;" ("&amp;Produits!$C$18&amp;")")</f>
        <v/>
      </c>
      <c r="B148" s="19" t="n"/>
      <c r="C148" s="19" t="n"/>
      <c r="D148" s="19" t="n"/>
      <c r="E148" s="18">
        <f>IF(OR(C148="",D148=""),"",D148-C148)</f>
        <v/>
      </c>
    </row>
    <row r="149" ht="20" customHeight="1">
      <c r="A149" s="16">
        <f>IF(Produits!$A$19="","",Produits!$A$19&amp;" ("&amp;Produits!$C$19&amp;")")</f>
        <v/>
      </c>
      <c r="B149" s="19" t="n"/>
      <c r="C149" s="19" t="n"/>
      <c r="D149" s="19" t="n"/>
      <c r="E149" s="18">
        <f>IF(OR(C149="",D149=""),"",D149-C149)</f>
        <v/>
      </c>
    </row>
    <row r="150" ht="20" customHeight="1">
      <c r="A150" s="16">
        <f>IF(Produits!$A$20="","",Produits!$A$20&amp;" ("&amp;Produits!$C$20&amp;")")</f>
        <v/>
      </c>
      <c r="B150" s="19" t="n"/>
      <c r="C150" s="19" t="n"/>
      <c r="D150" s="19" t="n"/>
      <c r="E150" s="18">
        <f>IF(OR(C150="",D150=""),"",D150-C150)</f>
        <v/>
      </c>
    </row>
    <row r="151" ht="20" customHeight="1">
      <c r="A151" s="16">
        <f>IF(Produits!$A$21="","",Produits!$A$21&amp;" ("&amp;Produits!$C$21&amp;")")</f>
        <v/>
      </c>
      <c r="B151" s="19" t="n"/>
      <c r="C151" s="19" t="n"/>
      <c r="D151" s="19" t="n"/>
      <c r="E151" s="18">
        <f>IF(OR(C151="",D151=""),"",D151-C151)</f>
        <v/>
      </c>
    </row>
    <row r="152" ht="20" customHeight="1">
      <c r="A152" s="16">
        <f>IF(Produits!$A$22="","",Produits!$A$22&amp;" ("&amp;Produits!$C$22&amp;")")</f>
        <v/>
      </c>
      <c r="B152" s="19" t="n"/>
      <c r="C152" s="19" t="n"/>
      <c r="D152" s="19" t="n"/>
      <c r="E152" s="18">
        <f>IF(OR(C152="",D152=""),"",D152-C152)</f>
        <v/>
      </c>
    </row>
    <row r="153" ht="20" customHeight="1">
      <c r="A153" s="16">
        <f>IF(Produits!$A$23="","",Produits!$A$23&amp;" ("&amp;Produits!$C$23&amp;")")</f>
        <v/>
      </c>
      <c r="B153" s="19" t="n"/>
      <c r="C153" s="19" t="n"/>
      <c r="D153" s="19" t="n"/>
      <c r="E153" s="18">
        <f>IF(OR(C153="",D153=""),"",D153-C153)</f>
        <v/>
      </c>
    </row>
    <row r="154" ht="20" customHeight="1">
      <c r="A154" s="16">
        <f>IF(Produits!$A$24="","",Produits!$A$24&amp;" ("&amp;Produits!$C$24&amp;")")</f>
        <v/>
      </c>
      <c r="B154" s="19" t="n"/>
      <c r="C154" s="19" t="n"/>
      <c r="D154" s="19" t="n"/>
      <c r="E154" s="18">
        <f>IF(OR(C154="",D154=""),"",D154-C154)</f>
        <v/>
      </c>
    </row>
    <row r="155" ht="20" customHeight="1">
      <c r="A155" s="16">
        <f>IF(Produits!$A$25="","",Produits!$A$25&amp;" ("&amp;Produits!$C$25&amp;")")</f>
        <v/>
      </c>
      <c r="B155" s="19" t="n"/>
      <c r="C155" s="19" t="n"/>
      <c r="D155" s="19" t="n"/>
      <c r="E155" s="18">
        <f>IF(OR(C155="",D155=""),"",D155-C155)</f>
        <v/>
      </c>
    </row>
    <row r="156" ht="20" customHeight="1">
      <c r="A156" s="16">
        <f>IF(Produits!$A$26="","",Produits!$A$26&amp;" ("&amp;Produits!$C$26&amp;")")</f>
        <v/>
      </c>
      <c r="B156" s="19" t="n"/>
      <c r="C156" s="19" t="n"/>
      <c r="D156" s="19" t="n"/>
      <c r="E156" s="18">
        <f>IF(OR(C156="",D156=""),"",D156-C156)</f>
        <v/>
      </c>
    </row>
    <row r="157" ht="20" customHeight="1">
      <c r="A157" s="16">
        <f>IF(Produits!$A$27="","",Produits!$A$27&amp;" ("&amp;Produits!$C$27&amp;")")</f>
        <v/>
      </c>
      <c r="B157" s="19" t="n"/>
      <c r="C157" s="19" t="n"/>
      <c r="D157" s="19" t="n"/>
      <c r="E157" s="18">
        <f>IF(OR(C157="",D157=""),"",D157-C157)</f>
        <v/>
      </c>
    </row>
    <row r="158" ht="20" customHeight="1">
      <c r="A158" s="16">
        <f>IF(Produits!$A$28="","",Produits!$A$28&amp;" ("&amp;Produits!$C$28&amp;")")</f>
        <v/>
      </c>
      <c r="B158" s="19" t="n"/>
      <c r="C158" s="19" t="n"/>
      <c r="D158" s="19" t="n"/>
      <c r="E158" s="18">
        <f>IF(OR(C158="",D158=""),"",D158-C158)</f>
        <v/>
      </c>
    </row>
    <row r="159" ht="20" customHeight="1">
      <c r="A159" s="16">
        <f>IF(Produits!$A$29="","",Produits!$A$29&amp;" ("&amp;Produits!$C$29&amp;")")</f>
        <v/>
      </c>
      <c r="B159" s="19" t="n"/>
      <c r="C159" s="19" t="n"/>
      <c r="D159" s="19" t="n"/>
      <c r="E159" s="18">
        <f>IF(OR(C159="",D159=""),"",D159-C159)</f>
        <v/>
      </c>
    </row>
    <row r="160" ht="20" customHeight="1">
      <c r="A160" s="16">
        <f>IF(Produits!$A$30="","",Produits!$A$30&amp;" ("&amp;Produits!$C$30&amp;")")</f>
        <v/>
      </c>
      <c r="B160" s="19" t="n"/>
      <c r="C160" s="19" t="n"/>
      <c r="D160" s="19" t="n"/>
      <c r="E160" s="18">
        <f>IF(OR(C160="",D160=""),"",D160-C160)</f>
        <v/>
      </c>
    </row>
    <row r="161" ht="20" customHeight="1">
      <c r="A161" s="16">
        <f>IF(Produits!$A$31="","",Produits!$A$31&amp;" ("&amp;Produits!$C$31&amp;")")</f>
        <v/>
      </c>
      <c r="B161" s="19" t="n"/>
      <c r="C161" s="19" t="n"/>
      <c r="D161" s="19" t="n"/>
      <c r="E161" s="18">
        <f>IF(OR(C161="",D161=""),"",D161-C161)</f>
        <v/>
      </c>
    </row>
    <row r="162" ht="20" customHeight="1">
      <c r="A162" s="16">
        <f>IF(Produits!$A$32="","",Produits!$A$32&amp;" ("&amp;Produits!$C$32&amp;")")</f>
        <v/>
      </c>
      <c r="B162" s="19" t="n"/>
      <c r="C162" s="19" t="n"/>
      <c r="D162" s="19" t="n"/>
      <c r="E162" s="18">
        <f>IF(OR(C162="",D162=""),"",D162-C162)</f>
        <v/>
      </c>
    </row>
    <row r="163" ht="20" customHeight="1">
      <c r="A163" s="16">
        <f>IF(Produits!$A$33="","",Produits!$A$33&amp;" ("&amp;Produits!$C$33&amp;")")</f>
        <v/>
      </c>
      <c r="B163" s="19" t="n"/>
      <c r="C163" s="19" t="n"/>
      <c r="D163" s="19" t="n"/>
      <c r="E163" s="18">
        <f>IF(OR(C163="",D163=""),"",D163-C163)</f>
        <v/>
      </c>
    </row>
    <row r="164" ht="20" customHeight="1">
      <c r="A164" s="16">
        <f>IF(Produits!$A$34="","",Produits!$A$34&amp;" ("&amp;Produits!$C$34&amp;")")</f>
        <v/>
      </c>
      <c r="B164" s="19" t="n"/>
      <c r="C164" s="19" t="n"/>
      <c r="D164" s="19" t="n"/>
      <c r="E164" s="18">
        <f>IF(OR(C164="",D164=""),"",D164-C164)</f>
        <v/>
      </c>
    </row>
    <row r="165" ht="20" customHeight="1">
      <c r="A165" s="16">
        <f>IF(Produits!$A$35="","",Produits!$A$35&amp;" ("&amp;Produits!$C$35&amp;")")</f>
        <v/>
      </c>
      <c r="B165" s="19" t="n"/>
      <c r="C165" s="19" t="n"/>
      <c r="D165" s="19" t="n"/>
      <c r="E165" s="18">
        <f>IF(OR(C165="",D165=""),"",D165-C165)</f>
        <v/>
      </c>
    </row>
    <row r="166" ht="20" customHeight="1">
      <c r="A166" s="16">
        <f>IF(Produits!$A$36="","",Produits!$A$36&amp;" ("&amp;Produits!$C$36&amp;")")</f>
        <v/>
      </c>
      <c r="B166" s="19" t="n"/>
      <c r="C166" s="19" t="n"/>
      <c r="D166" s="19" t="n"/>
      <c r="E166" s="18">
        <f>IF(OR(C166="",D166=""),"",D166-C166)</f>
        <v/>
      </c>
    </row>
    <row r="167" ht="20" customHeight="1">
      <c r="A167" s="16">
        <f>IF(Produits!$A$37="","",Produits!$A$37&amp;" ("&amp;Produits!$C$37&amp;")")</f>
        <v/>
      </c>
      <c r="B167" s="19" t="n"/>
      <c r="C167" s="19" t="n"/>
      <c r="D167" s="19" t="n"/>
      <c r="E167" s="18">
        <f>IF(OR(C167="",D167=""),"",D167-C167)</f>
        <v/>
      </c>
    </row>
    <row r="168" ht="20" customHeight="1">
      <c r="A168" s="16">
        <f>IF(Produits!$A$38="","",Produits!$A$38&amp;" ("&amp;Produits!$C$38&amp;")")</f>
        <v/>
      </c>
      <c r="B168" s="19" t="n"/>
      <c r="C168" s="19" t="n"/>
      <c r="D168" s="19" t="n"/>
      <c r="E168" s="18">
        <f>IF(OR(C168="",D168=""),"",D168-C168)</f>
        <v/>
      </c>
    </row>
    <row r="169" ht="20" customHeight="1">
      <c r="A169" s="16">
        <f>IF(Produits!$A$39="","",Produits!$A$39&amp;" ("&amp;Produits!$C$39&amp;")")</f>
        <v/>
      </c>
      <c r="B169" s="19" t="n"/>
      <c r="C169" s="19" t="n"/>
      <c r="D169" s="19" t="n"/>
      <c r="E169" s="18">
        <f>IF(OR(C169="",D169=""),"",D169-C169)</f>
        <v/>
      </c>
    </row>
    <row r="170" ht="20" customHeight="1">
      <c r="A170" s="16">
        <f>IF(Produits!$A$40="","",Produits!$A$40&amp;" ("&amp;Produits!$C$40&amp;")")</f>
        <v/>
      </c>
      <c r="B170" s="19" t="n"/>
      <c r="C170" s="19" t="n"/>
      <c r="D170" s="19" t="n"/>
      <c r="E170" s="18">
        <f>IF(OR(C170="",D170=""),"",D170-C170)</f>
        <v/>
      </c>
    </row>
    <row r="171" ht="20" customHeight="1">
      <c r="A171" s="16">
        <f>IF(Produits!$A$41="","",Produits!$A$41&amp;" ("&amp;Produits!$C$41&amp;")")</f>
        <v/>
      </c>
      <c r="B171" s="19" t="n"/>
      <c r="C171" s="19" t="n"/>
      <c r="D171" s="19" t="n"/>
      <c r="E171" s="18">
        <f>IF(OR(C171="",D171=""),"",D171-C171)</f>
        <v/>
      </c>
    </row>
    <row r="172" ht="20" customHeight="1">
      <c r="A172" s="16">
        <f>IF(Produits!$A$42="","",Produits!$A$42&amp;" ("&amp;Produits!$C$42&amp;")")</f>
        <v/>
      </c>
      <c r="B172" s="19" t="n"/>
      <c r="C172" s="19" t="n"/>
      <c r="D172" s="19" t="n"/>
      <c r="E172" s="18">
        <f>IF(OR(C172="",D172=""),"",D172-C172)</f>
        <v/>
      </c>
    </row>
    <row r="173" ht="20" customHeight="1">
      <c r="A173" s="16">
        <f>IF(Produits!$A$43="","",Produits!$A$43&amp;" ("&amp;Produits!$C$43&amp;")")</f>
        <v/>
      </c>
      <c r="B173" s="19" t="n"/>
      <c r="C173" s="19" t="n"/>
      <c r="D173" s="19" t="n"/>
      <c r="E173" s="18">
        <f>IF(OR(C173="",D173=""),"",D173-C173)</f>
        <v/>
      </c>
    </row>
    <row r="174" ht="20" customHeight="1">
      <c r="A174" s="16">
        <f>IF(Produits!$A$44="","",Produits!$A$44&amp;" ("&amp;Produits!$C$44&amp;")")</f>
        <v/>
      </c>
      <c r="B174" s="19" t="n"/>
      <c r="C174" s="19" t="n"/>
      <c r="D174" s="19" t="n"/>
      <c r="E174" s="18">
        <f>IF(OR(C174="",D174=""),"",D174-C174)</f>
        <v/>
      </c>
    </row>
    <row r="176" ht="24" customHeight="1">
      <c r="A176" s="11" t="inlineStr">
        <is>
          <t>BILAN DU MOIS</t>
        </is>
      </c>
    </row>
    <row r="177">
      <c r="A177" s="15" t="inlineStr">
        <is>
          <t>Produit</t>
        </is>
      </c>
      <c r="B177" s="15" t="inlineStr">
        <is>
          <t>Dernier stock</t>
        </is>
      </c>
      <c r="C177" s="15" t="inlineStr">
        <is>
          <t>Commandé</t>
        </is>
      </c>
      <c r="D177" s="15" t="inlineStr">
        <is>
          <t>Reçu</t>
        </is>
      </c>
      <c r="E177" s="15" t="inlineStr">
        <is>
          <t>Manque</t>
        </is>
      </c>
    </row>
    <row r="178">
      <c r="A178" s="16">
        <f>A6</f>
        <v/>
      </c>
      <c r="B178" s="18">
        <f>IF(B135&lt;&gt;"",B135,IF(B92&lt;&gt;"",B92,IF(B49&lt;&gt;"",B49,IF(B6&lt;&gt;"",B6,""))))</f>
        <v/>
      </c>
      <c r="C178" s="18">
        <f>IF(COUNT(C6,C49,C92,C135)=0,"",SUM(C6,C49,C92,C135))</f>
        <v/>
      </c>
      <c r="D178" s="18">
        <f>IF(COUNT(D6,D49,D92,D135)=0,"",SUM(D6,D49,D92,D135))</f>
        <v/>
      </c>
      <c r="E178" s="18">
        <f>IF(OR(C178="",D178=""),"",D178-C178)</f>
        <v/>
      </c>
    </row>
    <row r="179">
      <c r="A179" s="16">
        <f>A7</f>
        <v/>
      </c>
      <c r="B179" s="18">
        <f>IF(B136&lt;&gt;"",B136,IF(B93&lt;&gt;"",B93,IF(B50&lt;&gt;"",B50,IF(B7&lt;&gt;"",B7,""))))</f>
        <v/>
      </c>
      <c r="C179" s="18">
        <f>IF(COUNT(C7,C50,C93,C136)=0,"",SUM(C7,C50,C93,C136))</f>
        <v/>
      </c>
      <c r="D179" s="18">
        <f>IF(COUNT(D7,D50,D93,D136)=0,"",SUM(D7,D50,D93,D136))</f>
        <v/>
      </c>
      <c r="E179" s="18">
        <f>IF(OR(C179="",D179=""),"",D179-C179)</f>
        <v/>
      </c>
    </row>
    <row r="180">
      <c r="A180" s="16">
        <f>A8</f>
        <v/>
      </c>
      <c r="B180" s="18">
        <f>IF(B137&lt;&gt;"",B137,IF(B94&lt;&gt;"",B94,IF(B51&lt;&gt;"",B51,IF(B8&lt;&gt;"",B8,""))))</f>
        <v/>
      </c>
      <c r="C180" s="18">
        <f>IF(COUNT(C8,C51,C94,C137)=0,"",SUM(C8,C51,C94,C137))</f>
        <v/>
      </c>
      <c r="D180" s="18">
        <f>IF(COUNT(D8,D51,D94,D137)=0,"",SUM(D8,D51,D94,D137))</f>
        <v/>
      </c>
      <c r="E180" s="18">
        <f>IF(OR(C180="",D180=""),"",D180-C180)</f>
        <v/>
      </c>
    </row>
    <row r="181">
      <c r="A181" s="16">
        <f>A9</f>
        <v/>
      </c>
      <c r="B181" s="18">
        <f>IF(B138&lt;&gt;"",B138,IF(B95&lt;&gt;"",B95,IF(B52&lt;&gt;"",B52,IF(B9&lt;&gt;"",B9,""))))</f>
        <v/>
      </c>
      <c r="C181" s="18">
        <f>IF(COUNT(C9,C52,C95,C138)=0,"",SUM(C9,C52,C95,C138))</f>
        <v/>
      </c>
      <c r="D181" s="18">
        <f>IF(COUNT(D9,D52,D95,D138)=0,"",SUM(D9,D52,D95,D138))</f>
        <v/>
      </c>
      <c r="E181" s="18">
        <f>IF(OR(C181="",D181=""),"",D181-C181)</f>
        <v/>
      </c>
    </row>
    <row r="182">
      <c r="A182" s="16">
        <f>A10</f>
        <v/>
      </c>
      <c r="B182" s="18">
        <f>IF(B139&lt;&gt;"",B139,IF(B96&lt;&gt;"",B96,IF(B53&lt;&gt;"",B53,IF(B10&lt;&gt;"",B10,""))))</f>
        <v/>
      </c>
      <c r="C182" s="18">
        <f>IF(COUNT(C10,C53,C96,C139)=0,"",SUM(C10,C53,C96,C139))</f>
        <v/>
      </c>
      <c r="D182" s="18">
        <f>IF(COUNT(D10,D53,D96,D139)=0,"",SUM(D10,D53,D96,D139))</f>
        <v/>
      </c>
      <c r="E182" s="18">
        <f>IF(OR(C182="",D182=""),"",D182-C182)</f>
        <v/>
      </c>
    </row>
    <row r="183">
      <c r="A183" s="16">
        <f>A11</f>
        <v/>
      </c>
      <c r="B183" s="18">
        <f>IF(B140&lt;&gt;"",B140,IF(B97&lt;&gt;"",B97,IF(B54&lt;&gt;"",B54,IF(B11&lt;&gt;"",B11,""))))</f>
        <v/>
      </c>
      <c r="C183" s="18">
        <f>IF(COUNT(C11,C54,C97,C140)=0,"",SUM(C11,C54,C97,C140))</f>
        <v/>
      </c>
      <c r="D183" s="18">
        <f>IF(COUNT(D11,D54,D97,D140)=0,"",SUM(D11,D54,D97,D140))</f>
        <v/>
      </c>
      <c r="E183" s="18">
        <f>IF(OR(C183="",D183=""),"",D183-C183)</f>
        <v/>
      </c>
    </row>
    <row r="184">
      <c r="A184" s="16">
        <f>A12</f>
        <v/>
      </c>
      <c r="B184" s="18">
        <f>IF(B141&lt;&gt;"",B141,IF(B98&lt;&gt;"",B98,IF(B55&lt;&gt;"",B55,IF(B12&lt;&gt;"",B12,""))))</f>
        <v/>
      </c>
      <c r="C184" s="18">
        <f>IF(COUNT(C12,C55,C98,C141)=0,"",SUM(C12,C55,C98,C141))</f>
        <v/>
      </c>
      <c r="D184" s="18">
        <f>IF(COUNT(D12,D55,D98,D141)=0,"",SUM(D12,D55,D98,D141))</f>
        <v/>
      </c>
      <c r="E184" s="18">
        <f>IF(OR(C184="",D184=""),"",D184-C184)</f>
        <v/>
      </c>
    </row>
    <row r="185">
      <c r="A185" s="16">
        <f>A13</f>
        <v/>
      </c>
      <c r="B185" s="18">
        <f>IF(B142&lt;&gt;"",B142,IF(B99&lt;&gt;"",B99,IF(B56&lt;&gt;"",B56,IF(B13&lt;&gt;"",B13,""))))</f>
        <v/>
      </c>
      <c r="C185" s="18">
        <f>IF(COUNT(C13,C56,C99,C142)=0,"",SUM(C13,C56,C99,C142))</f>
        <v/>
      </c>
      <c r="D185" s="18">
        <f>IF(COUNT(D13,D56,D99,D142)=0,"",SUM(D13,D56,D99,D142))</f>
        <v/>
      </c>
      <c r="E185" s="18">
        <f>IF(OR(C185="",D185=""),"",D185-C185)</f>
        <v/>
      </c>
    </row>
    <row r="186">
      <c r="A186" s="16">
        <f>A14</f>
        <v/>
      </c>
      <c r="B186" s="18">
        <f>IF(B143&lt;&gt;"",B143,IF(B100&lt;&gt;"",B100,IF(B57&lt;&gt;"",B57,IF(B14&lt;&gt;"",B14,""))))</f>
        <v/>
      </c>
      <c r="C186" s="18">
        <f>IF(COUNT(C14,C57,C100,C143)=0,"",SUM(C14,C57,C100,C143))</f>
        <v/>
      </c>
      <c r="D186" s="18">
        <f>IF(COUNT(D14,D57,D100,D143)=0,"",SUM(D14,D57,D100,D143))</f>
        <v/>
      </c>
      <c r="E186" s="18">
        <f>IF(OR(C186="",D186=""),"",D186-C186)</f>
        <v/>
      </c>
    </row>
    <row r="187">
      <c r="A187" s="16">
        <f>A15</f>
        <v/>
      </c>
      <c r="B187" s="18">
        <f>IF(B144&lt;&gt;"",B144,IF(B101&lt;&gt;"",B101,IF(B58&lt;&gt;"",B58,IF(B15&lt;&gt;"",B15,""))))</f>
        <v/>
      </c>
      <c r="C187" s="18">
        <f>IF(COUNT(C15,C58,C101,C144)=0,"",SUM(C15,C58,C101,C144))</f>
        <v/>
      </c>
      <c r="D187" s="18">
        <f>IF(COUNT(D15,D58,D101,D144)=0,"",SUM(D15,D58,D101,D144))</f>
        <v/>
      </c>
      <c r="E187" s="18">
        <f>IF(OR(C187="",D187=""),"",D187-C187)</f>
        <v/>
      </c>
    </row>
    <row r="188">
      <c r="A188" s="16">
        <f>A16</f>
        <v/>
      </c>
      <c r="B188" s="18">
        <f>IF(B145&lt;&gt;"",B145,IF(B102&lt;&gt;"",B102,IF(B59&lt;&gt;"",B59,IF(B16&lt;&gt;"",B16,""))))</f>
        <v/>
      </c>
      <c r="C188" s="18">
        <f>IF(COUNT(C16,C59,C102,C145)=0,"",SUM(C16,C59,C102,C145))</f>
        <v/>
      </c>
      <c r="D188" s="18">
        <f>IF(COUNT(D16,D59,D102,D145)=0,"",SUM(D16,D59,D102,D145))</f>
        <v/>
      </c>
      <c r="E188" s="18">
        <f>IF(OR(C188="",D188=""),"",D188-C188)</f>
        <v/>
      </c>
    </row>
    <row r="189">
      <c r="A189" s="16">
        <f>A17</f>
        <v/>
      </c>
      <c r="B189" s="18">
        <f>IF(B146&lt;&gt;"",B146,IF(B103&lt;&gt;"",B103,IF(B60&lt;&gt;"",B60,IF(B17&lt;&gt;"",B17,""))))</f>
        <v/>
      </c>
      <c r="C189" s="18">
        <f>IF(COUNT(C17,C60,C103,C146)=0,"",SUM(C17,C60,C103,C146))</f>
        <v/>
      </c>
      <c r="D189" s="18">
        <f>IF(COUNT(D17,D60,D103,D146)=0,"",SUM(D17,D60,D103,D146))</f>
        <v/>
      </c>
      <c r="E189" s="18">
        <f>IF(OR(C189="",D189=""),"",D189-C189)</f>
        <v/>
      </c>
    </row>
    <row r="190">
      <c r="A190" s="16">
        <f>A18</f>
        <v/>
      </c>
      <c r="B190" s="18">
        <f>IF(B147&lt;&gt;"",B147,IF(B104&lt;&gt;"",B104,IF(B61&lt;&gt;"",B61,IF(B18&lt;&gt;"",B18,""))))</f>
        <v/>
      </c>
      <c r="C190" s="18">
        <f>IF(COUNT(C18,C61,C104,C147)=0,"",SUM(C18,C61,C104,C147))</f>
        <v/>
      </c>
      <c r="D190" s="18">
        <f>IF(COUNT(D18,D61,D104,D147)=0,"",SUM(D18,D61,D104,D147))</f>
        <v/>
      </c>
      <c r="E190" s="18">
        <f>IF(OR(C190="",D190=""),"",D190-C190)</f>
        <v/>
      </c>
    </row>
    <row r="191">
      <c r="A191" s="16">
        <f>A19</f>
        <v/>
      </c>
      <c r="B191" s="18">
        <f>IF(B148&lt;&gt;"",B148,IF(B105&lt;&gt;"",B105,IF(B62&lt;&gt;"",B62,IF(B19&lt;&gt;"",B19,""))))</f>
        <v/>
      </c>
      <c r="C191" s="18">
        <f>IF(COUNT(C19,C62,C105,C148)=0,"",SUM(C19,C62,C105,C148))</f>
        <v/>
      </c>
      <c r="D191" s="18">
        <f>IF(COUNT(D19,D62,D105,D148)=0,"",SUM(D19,D62,D105,D148))</f>
        <v/>
      </c>
      <c r="E191" s="18">
        <f>IF(OR(C191="",D191=""),"",D191-C191)</f>
        <v/>
      </c>
    </row>
    <row r="192">
      <c r="A192" s="16">
        <f>A20</f>
        <v/>
      </c>
      <c r="B192" s="18">
        <f>IF(B149&lt;&gt;"",B149,IF(B106&lt;&gt;"",B106,IF(B63&lt;&gt;"",B63,IF(B20&lt;&gt;"",B20,""))))</f>
        <v/>
      </c>
      <c r="C192" s="18">
        <f>IF(COUNT(C20,C63,C106,C149)=0,"",SUM(C20,C63,C106,C149))</f>
        <v/>
      </c>
      <c r="D192" s="18">
        <f>IF(COUNT(D20,D63,D106,D149)=0,"",SUM(D20,D63,D106,D149))</f>
        <v/>
      </c>
      <c r="E192" s="18">
        <f>IF(OR(C192="",D192=""),"",D192-C192)</f>
        <v/>
      </c>
    </row>
    <row r="193">
      <c r="A193" s="16">
        <f>A21</f>
        <v/>
      </c>
      <c r="B193" s="18">
        <f>IF(B150&lt;&gt;"",B150,IF(B107&lt;&gt;"",B107,IF(B64&lt;&gt;"",B64,IF(B21&lt;&gt;"",B21,""))))</f>
        <v/>
      </c>
      <c r="C193" s="18">
        <f>IF(COUNT(C21,C64,C107,C150)=0,"",SUM(C21,C64,C107,C150))</f>
        <v/>
      </c>
      <c r="D193" s="18">
        <f>IF(COUNT(D21,D64,D107,D150)=0,"",SUM(D21,D64,D107,D150))</f>
        <v/>
      </c>
      <c r="E193" s="18">
        <f>IF(OR(C193="",D193=""),"",D193-C193)</f>
        <v/>
      </c>
    </row>
    <row r="194">
      <c r="A194" s="16">
        <f>A22</f>
        <v/>
      </c>
      <c r="B194" s="18">
        <f>IF(B151&lt;&gt;"",B151,IF(B108&lt;&gt;"",B108,IF(B65&lt;&gt;"",B65,IF(B22&lt;&gt;"",B22,""))))</f>
        <v/>
      </c>
      <c r="C194" s="18">
        <f>IF(COUNT(C22,C65,C108,C151)=0,"",SUM(C22,C65,C108,C151))</f>
        <v/>
      </c>
      <c r="D194" s="18">
        <f>IF(COUNT(D22,D65,D108,D151)=0,"",SUM(D22,D65,D108,D151))</f>
        <v/>
      </c>
      <c r="E194" s="18">
        <f>IF(OR(C194="",D194=""),"",D194-C194)</f>
        <v/>
      </c>
    </row>
    <row r="195">
      <c r="A195" s="16">
        <f>A23</f>
        <v/>
      </c>
      <c r="B195" s="18">
        <f>IF(B152&lt;&gt;"",B152,IF(B109&lt;&gt;"",B109,IF(B66&lt;&gt;"",B66,IF(B23&lt;&gt;"",B23,""))))</f>
        <v/>
      </c>
      <c r="C195" s="18">
        <f>IF(COUNT(C23,C66,C109,C152)=0,"",SUM(C23,C66,C109,C152))</f>
        <v/>
      </c>
      <c r="D195" s="18">
        <f>IF(COUNT(D23,D66,D109,D152)=0,"",SUM(D23,D66,D109,D152))</f>
        <v/>
      </c>
      <c r="E195" s="18">
        <f>IF(OR(C195="",D195=""),"",D195-C195)</f>
        <v/>
      </c>
    </row>
    <row r="196">
      <c r="A196" s="16">
        <f>A24</f>
        <v/>
      </c>
      <c r="B196" s="18">
        <f>IF(B153&lt;&gt;"",B153,IF(B110&lt;&gt;"",B110,IF(B67&lt;&gt;"",B67,IF(B24&lt;&gt;"",B24,""))))</f>
        <v/>
      </c>
      <c r="C196" s="18">
        <f>IF(COUNT(C24,C67,C110,C153)=0,"",SUM(C24,C67,C110,C153))</f>
        <v/>
      </c>
      <c r="D196" s="18">
        <f>IF(COUNT(D24,D67,D110,D153)=0,"",SUM(D24,D67,D110,D153))</f>
        <v/>
      </c>
      <c r="E196" s="18">
        <f>IF(OR(C196="",D196=""),"",D196-C196)</f>
        <v/>
      </c>
    </row>
    <row r="197">
      <c r="A197" s="16">
        <f>A25</f>
        <v/>
      </c>
      <c r="B197" s="18">
        <f>IF(B154&lt;&gt;"",B154,IF(B111&lt;&gt;"",B111,IF(B68&lt;&gt;"",B68,IF(B25&lt;&gt;"",B25,""))))</f>
        <v/>
      </c>
      <c r="C197" s="18">
        <f>IF(COUNT(C25,C68,C111,C154)=0,"",SUM(C25,C68,C111,C154))</f>
        <v/>
      </c>
      <c r="D197" s="18">
        <f>IF(COUNT(D25,D68,D111,D154)=0,"",SUM(D25,D68,D111,D154))</f>
        <v/>
      </c>
      <c r="E197" s="18">
        <f>IF(OR(C197="",D197=""),"",D197-C197)</f>
        <v/>
      </c>
    </row>
    <row r="198">
      <c r="A198" s="16">
        <f>A26</f>
        <v/>
      </c>
      <c r="B198" s="18">
        <f>IF(B155&lt;&gt;"",B155,IF(B112&lt;&gt;"",B112,IF(B69&lt;&gt;"",B69,IF(B26&lt;&gt;"",B26,""))))</f>
        <v/>
      </c>
      <c r="C198" s="18">
        <f>IF(COUNT(C26,C69,C112,C155)=0,"",SUM(C26,C69,C112,C155))</f>
        <v/>
      </c>
      <c r="D198" s="18">
        <f>IF(COUNT(D26,D69,D112,D155)=0,"",SUM(D26,D69,D112,D155))</f>
        <v/>
      </c>
      <c r="E198" s="18">
        <f>IF(OR(C198="",D198=""),"",D198-C198)</f>
        <v/>
      </c>
    </row>
    <row r="199">
      <c r="A199" s="16">
        <f>A27</f>
        <v/>
      </c>
      <c r="B199" s="18">
        <f>IF(B156&lt;&gt;"",B156,IF(B113&lt;&gt;"",B113,IF(B70&lt;&gt;"",B70,IF(B27&lt;&gt;"",B27,""))))</f>
        <v/>
      </c>
      <c r="C199" s="18">
        <f>IF(COUNT(C27,C70,C113,C156)=0,"",SUM(C27,C70,C113,C156))</f>
        <v/>
      </c>
      <c r="D199" s="18">
        <f>IF(COUNT(D27,D70,D113,D156)=0,"",SUM(D27,D70,D113,D156))</f>
        <v/>
      </c>
      <c r="E199" s="18">
        <f>IF(OR(C199="",D199=""),"",D199-C199)</f>
        <v/>
      </c>
    </row>
    <row r="200">
      <c r="A200" s="16">
        <f>A28</f>
        <v/>
      </c>
      <c r="B200" s="18">
        <f>IF(B157&lt;&gt;"",B157,IF(B114&lt;&gt;"",B114,IF(B71&lt;&gt;"",B71,IF(B28&lt;&gt;"",B28,""))))</f>
        <v/>
      </c>
      <c r="C200" s="18">
        <f>IF(COUNT(C28,C71,C114,C157)=0,"",SUM(C28,C71,C114,C157))</f>
        <v/>
      </c>
      <c r="D200" s="18">
        <f>IF(COUNT(D28,D71,D114,D157)=0,"",SUM(D28,D71,D114,D157))</f>
        <v/>
      </c>
      <c r="E200" s="18">
        <f>IF(OR(C200="",D200=""),"",D200-C200)</f>
        <v/>
      </c>
    </row>
    <row r="201">
      <c r="A201" s="16">
        <f>A29</f>
        <v/>
      </c>
      <c r="B201" s="18">
        <f>IF(B158&lt;&gt;"",B158,IF(B115&lt;&gt;"",B115,IF(B72&lt;&gt;"",B72,IF(B29&lt;&gt;"",B29,""))))</f>
        <v/>
      </c>
      <c r="C201" s="18">
        <f>IF(COUNT(C29,C72,C115,C158)=0,"",SUM(C29,C72,C115,C158))</f>
        <v/>
      </c>
      <c r="D201" s="18">
        <f>IF(COUNT(D29,D72,D115,D158)=0,"",SUM(D29,D72,D115,D158))</f>
        <v/>
      </c>
      <c r="E201" s="18">
        <f>IF(OR(C201="",D201=""),"",D201-C201)</f>
        <v/>
      </c>
    </row>
    <row r="202">
      <c r="A202" s="16">
        <f>A30</f>
        <v/>
      </c>
      <c r="B202" s="18">
        <f>IF(B159&lt;&gt;"",B159,IF(B116&lt;&gt;"",B116,IF(B73&lt;&gt;"",B73,IF(B30&lt;&gt;"",B30,""))))</f>
        <v/>
      </c>
      <c r="C202" s="18">
        <f>IF(COUNT(C30,C73,C116,C159)=0,"",SUM(C30,C73,C116,C159))</f>
        <v/>
      </c>
      <c r="D202" s="18">
        <f>IF(COUNT(D30,D73,D116,D159)=0,"",SUM(D30,D73,D116,D159))</f>
        <v/>
      </c>
      <c r="E202" s="18">
        <f>IF(OR(C202="",D202=""),"",D202-C202)</f>
        <v/>
      </c>
    </row>
    <row r="203">
      <c r="A203" s="16">
        <f>A31</f>
        <v/>
      </c>
      <c r="B203" s="18">
        <f>IF(B160&lt;&gt;"",B160,IF(B117&lt;&gt;"",B117,IF(B74&lt;&gt;"",B74,IF(B31&lt;&gt;"",B31,""))))</f>
        <v/>
      </c>
      <c r="C203" s="18">
        <f>IF(COUNT(C31,C74,C117,C160)=0,"",SUM(C31,C74,C117,C160))</f>
        <v/>
      </c>
      <c r="D203" s="18">
        <f>IF(COUNT(D31,D74,D117,D160)=0,"",SUM(D31,D74,D117,D160))</f>
        <v/>
      </c>
      <c r="E203" s="18">
        <f>IF(OR(C203="",D203=""),"",D203-C203)</f>
        <v/>
      </c>
    </row>
    <row r="204">
      <c r="A204" s="16">
        <f>A32</f>
        <v/>
      </c>
      <c r="B204" s="18">
        <f>IF(B161&lt;&gt;"",B161,IF(B118&lt;&gt;"",B118,IF(B75&lt;&gt;"",B75,IF(B32&lt;&gt;"",B32,""))))</f>
        <v/>
      </c>
      <c r="C204" s="18">
        <f>IF(COUNT(C32,C75,C118,C161)=0,"",SUM(C32,C75,C118,C161))</f>
        <v/>
      </c>
      <c r="D204" s="18">
        <f>IF(COUNT(D32,D75,D118,D161)=0,"",SUM(D32,D75,D118,D161))</f>
        <v/>
      </c>
      <c r="E204" s="18">
        <f>IF(OR(C204="",D204=""),"",D204-C204)</f>
        <v/>
      </c>
    </row>
    <row r="205">
      <c r="A205" s="16">
        <f>A33</f>
        <v/>
      </c>
      <c r="B205" s="18">
        <f>IF(B162&lt;&gt;"",B162,IF(B119&lt;&gt;"",B119,IF(B76&lt;&gt;"",B76,IF(B33&lt;&gt;"",B33,""))))</f>
        <v/>
      </c>
      <c r="C205" s="18">
        <f>IF(COUNT(C33,C76,C119,C162)=0,"",SUM(C33,C76,C119,C162))</f>
        <v/>
      </c>
      <c r="D205" s="18">
        <f>IF(COUNT(D33,D76,D119,D162)=0,"",SUM(D33,D76,D119,D162))</f>
        <v/>
      </c>
      <c r="E205" s="18">
        <f>IF(OR(C205="",D205=""),"",D205-C205)</f>
        <v/>
      </c>
    </row>
    <row r="206">
      <c r="A206" s="16">
        <f>A34</f>
        <v/>
      </c>
      <c r="B206" s="18">
        <f>IF(B163&lt;&gt;"",B163,IF(B120&lt;&gt;"",B120,IF(B77&lt;&gt;"",B77,IF(B34&lt;&gt;"",B34,""))))</f>
        <v/>
      </c>
      <c r="C206" s="18">
        <f>IF(COUNT(C34,C77,C120,C163)=0,"",SUM(C34,C77,C120,C163))</f>
        <v/>
      </c>
      <c r="D206" s="18">
        <f>IF(COUNT(D34,D77,D120,D163)=0,"",SUM(D34,D77,D120,D163))</f>
        <v/>
      </c>
      <c r="E206" s="18">
        <f>IF(OR(C206="",D206=""),"",D206-C206)</f>
        <v/>
      </c>
    </row>
    <row r="207">
      <c r="A207" s="16">
        <f>A35</f>
        <v/>
      </c>
      <c r="B207" s="18">
        <f>IF(B164&lt;&gt;"",B164,IF(B121&lt;&gt;"",B121,IF(B78&lt;&gt;"",B78,IF(B35&lt;&gt;"",B35,""))))</f>
        <v/>
      </c>
      <c r="C207" s="18">
        <f>IF(COUNT(C35,C78,C121,C164)=0,"",SUM(C35,C78,C121,C164))</f>
        <v/>
      </c>
      <c r="D207" s="18">
        <f>IF(COUNT(D35,D78,D121,D164)=0,"",SUM(D35,D78,D121,D164))</f>
        <v/>
      </c>
      <c r="E207" s="18">
        <f>IF(OR(C207="",D207=""),"",D207-C207)</f>
        <v/>
      </c>
    </row>
    <row r="208">
      <c r="A208" s="16">
        <f>A36</f>
        <v/>
      </c>
      <c r="B208" s="18">
        <f>IF(B165&lt;&gt;"",B165,IF(B122&lt;&gt;"",B122,IF(B79&lt;&gt;"",B79,IF(B36&lt;&gt;"",B36,""))))</f>
        <v/>
      </c>
      <c r="C208" s="18">
        <f>IF(COUNT(C36,C79,C122,C165)=0,"",SUM(C36,C79,C122,C165))</f>
        <v/>
      </c>
      <c r="D208" s="18">
        <f>IF(COUNT(D36,D79,D122,D165)=0,"",SUM(D36,D79,D122,D165))</f>
        <v/>
      </c>
      <c r="E208" s="18">
        <f>IF(OR(C208="",D208=""),"",D208-C208)</f>
        <v/>
      </c>
    </row>
    <row r="209">
      <c r="A209" s="16">
        <f>A37</f>
        <v/>
      </c>
      <c r="B209" s="18">
        <f>IF(B166&lt;&gt;"",B166,IF(B123&lt;&gt;"",B123,IF(B80&lt;&gt;"",B80,IF(B37&lt;&gt;"",B37,""))))</f>
        <v/>
      </c>
      <c r="C209" s="18">
        <f>IF(COUNT(C37,C80,C123,C166)=0,"",SUM(C37,C80,C123,C166))</f>
        <v/>
      </c>
      <c r="D209" s="18">
        <f>IF(COUNT(D37,D80,D123,D166)=0,"",SUM(D37,D80,D123,D166))</f>
        <v/>
      </c>
      <c r="E209" s="18">
        <f>IF(OR(C209="",D209=""),"",D209-C209)</f>
        <v/>
      </c>
    </row>
    <row r="210">
      <c r="A210" s="16">
        <f>A38</f>
        <v/>
      </c>
      <c r="B210" s="18">
        <f>IF(B167&lt;&gt;"",B167,IF(B124&lt;&gt;"",B124,IF(B81&lt;&gt;"",B81,IF(B38&lt;&gt;"",B38,""))))</f>
        <v/>
      </c>
      <c r="C210" s="18">
        <f>IF(COUNT(C38,C81,C124,C167)=0,"",SUM(C38,C81,C124,C167))</f>
        <v/>
      </c>
      <c r="D210" s="18">
        <f>IF(COUNT(D38,D81,D124,D167)=0,"",SUM(D38,D81,D124,D167))</f>
        <v/>
      </c>
      <c r="E210" s="18">
        <f>IF(OR(C210="",D210=""),"",D210-C210)</f>
        <v/>
      </c>
    </row>
    <row r="211">
      <c r="A211" s="16">
        <f>A39</f>
        <v/>
      </c>
      <c r="B211" s="18">
        <f>IF(B168&lt;&gt;"",B168,IF(B125&lt;&gt;"",B125,IF(B82&lt;&gt;"",B82,IF(B39&lt;&gt;"",B39,""))))</f>
        <v/>
      </c>
      <c r="C211" s="18">
        <f>IF(COUNT(C39,C82,C125,C168)=0,"",SUM(C39,C82,C125,C168))</f>
        <v/>
      </c>
      <c r="D211" s="18">
        <f>IF(COUNT(D39,D82,D125,D168)=0,"",SUM(D39,D82,D125,D168))</f>
        <v/>
      </c>
      <c r="E211" s="18">
        <f>IF(OR(C211="",D211=""),"",D211-C211)</f>
        <v/>
      </c>
    </row>
    <row r="212">
      <c r="A212" s="16">
        <f>A40</f>
        <v/>
      </c>
      <c r="B212" s="18">
        <f>IF(B169&lt;&gt;"",B169,IF(B126&lt;&gt;"",B126,IF(B83&lt;&gt;"",B83,IF(B40&lt;&gt;"",B40,""))))</f>
        <v/>
      </c>
      <c r="C212" s="18">
        <f>IF(COUNT(C40,C83,C126,C169)=0,"",SUM(C40,C83,C126,C169))</f>
        <v/>
      </c>
      <c r="D212" s="18">
        <f>IF(COUNT(D40,D83,D126,D169)=0,"",SUM(D40,D83,D126,D169))</f>
        <v/>
      </c>
      <c r="E212" s="18">
        <f>IF(OR(C212="",D212=""),"",D212-C212)</f>
        <v/>
      </c>
    </row>
    <row r="213">
      <c r="A213" s="16">
        <f>A41</f>
        <v/>
      </c>
      <c r="B213" s="18">
        <f>IF(B170&lt;&gt;"",B170,IF(B127&lt;&gt;"",B127,IF(B84&lt;&gt;"",B84,IF(B41&lt;&gt;"",B41,""))))</f>
        <v/>
      </c>
      <c r="C213" s="18">
        <f>IF(COUNT(C41,C84,C127,C170)=0,"",SUM(C41,C84,C127,C170))</f>
        <v/>
      </c>
      <c r="D213" s="18">
        <f>IF(COUNT(D41,D84,D127,D170)=0,"",SUM(D41,D84,D127,D170))</f>
        <v/>
      </c>
      <c r="E213" s="18">
        <f>IF(OR(C213="",D213=""),"",D213-C213)</f>
        <v/>
      </c>
    </row>
    <row r="214">
      <c r="A214" s="16">
        <f>A42</f>
        <v/>
      </c>
      <c r="B214" s="18">
        <f>IF(B171&lt;&gt;"",B171,IF(B128&lt;&gt;"",B128,IF(B85&lt;&gt;"",B85,IF(B42&lt;&gt;"",B42,""))))</f>
        <v/>
      </c>
      <c r="C214" s="18">
        <f>IF(COUNT(C42,C85,C128,C171)=0,"",SUM(C42,C85,C128,C171))</f>
        <v/>
      </c>
      <c r="D214" s="18">
        <f>IF(COUNT(D42,D85,D128,D171)=0,"",SUM(D42,D85,D128,D171))</f>
        <v/>
      </c>
      <c r="E214" s="18">
        <f>IF(OR(C214="",D214=""),"",D214-C214)</f>
        <v/>
      </c>
    </row>
    <row r="215">
      <c r="A215" s="16">
        <f>A43</f>
        <v/>
      </c>
      <c r="B215" s="18">
        <f>IF(B172&lt;&gt;"",B172,IF(B129&lt;&gt;"",B129,IF(B86&lt;&gt;"",B86,IF(B43&lt;&gt;"",B43,""))))</f>
        <v/>
      </c>
      <c r="C215" s="18">
        <f>IF(COUNT(C43,C86,C129,C172)=0,"",SUM(C43,C86,C129,C172))</f>
        <v/>
      </c>
      <c r="D215" s="18">
        <f>IF(COUNT(D43,D86,D129,D172)=0,"",SUM(D43,D86,D129,D172))</f>
        <v/>
      </c>
      <c r="E215" s="18">
        <f>IF(OR(C215="",D215=""),"",D215-C215)</f>
        <v/>
      </c>
    </row>
    <row r="216">
      <c r="A216" s="16">
        <f>A44</f>
        <v/>
      </c>
      <c r="B216" s="18">
        <f>IF(B173&lt;&gt;"",B173,IF(B130&lt;&gt;"",B130,IF(B87&lt;&gt;"",B87,IF(B44&lt;&gt;"",B44,""))))</f>
        <v/>
      </c>
      <c r="C216" s="18">
        <f>IF(COUNT(C44,C87,C130,C173)=0,"",SUM(C44,C87,C130,C173))</f>
        <v/>
      </c>
      <c r="D216" s="18">
        <f>IF(COUNT(D44,D87,D130,D173)=0,"",SUM(D44,D87,D130,D173))</f>
        <v/>
      </c>
      <c r="E216" s="18">
        <f>IF(OR(C216="",D216=""),"",D216-C216)</f>
        <v/>
      </c>
    </row>
    <row r="217">
      <c r="A217" s="16">
        <f>A45</f>
        <v/>
      </c>
      <c r="B217" s="18">
        <f>IF(B174&lt;&gt;"",B174,IF(B131&lt;&gt;"",B131,IF(B88&lt;&gt;"",B88,IF(B45&lt;&gt;"",B45,""))))</f>
        <v/>
      </c>
      <c r="C217" s="18">
        <f>IF(COUNT(C45,C88,C131,C174)=0,"",SUM(C45,C88,C131,C174))</f>
        <v/>
      </c>
      <c r="D217" s="18">
        <f>IF(COUNT(D45,D88,D131,D174)=0,"",SUM(D45,D88,D131,D174))</f>
        <v/>
      </c>
      <c r="E217" s="18">
        <f>IF(OR(C217="",D217=""),"",D217-C217)</f>
        <v/>
      </c>
    </row>
  </sheetData>
  <mergeCells count="9">
    <mergeCell ref="D47:E47"/>
    <mergeCell ref="A90:C90"/>
    <mergeCell ref="A47:C47"/>
    <mergeCell ref="A133:C133"/>
    <mergeCell ref="D90:E90"/>
    <mergeCell ref="D133:E133"/>
    <mergeCell ref="D4:E4"/>
    <mergeCell ref="A4:C4"/>
    <mergeCell ref="A176:E176"/>
  </mergeCells>
  <conditionalFormatting sqref="E6:E45">
    <cfRule type="expression" priority="1" dxfId="0">
      <formula>AND(ISNUMBER(E6),E6&lt;0)</formula>
    </cfRule>
  </conditionalFormatting>
  <conditionalFormatting sqref="E49:E88">
    <cfRule type="expression" priority="2" dxfId="0">
      <formula>AND(ISNUMBER(E49),E49&lt;0)</formula>
    </cfRule>
  </conditionalFormatting>
  <conditionalFormatting sqref="E92:E131">
    <cfRule type="expression" priority="3" dxfId="0">
      <formula>AND(ISNUMBER(E92),E92&lt;0)</formula>
    </cfRule>
  </conditionalFormatting>
  <conditionalFormatting sqref="E135:E174">
    <cfRule type="expression" priority="4" dxfId="0">
      <formula>AND(ISNUMBER(E135),E135&lt;0)</formula>
    </cfRule>
  </conditionalFormatting>
  <conditionalFormatting sqref="E178:E217">
    <cfRule type="expression" priority="5" dxfId="0">
      <formula>AND(ISNUMBER(E178),E178&lt;0)</formula>
    </cfRule>
  </conditionalFormatting>
  <dataValidations count="4">
    <dataValidation sqref="B6:D45" showDropDown="0" showInputMessage="0" showErrorMessage="1" allowBlank="1" errorTitle="Valeur invalide" error="Entre un nombre positif (ou laisse vide)." type="decimal" operator="greaterThanOrEqual">
      <formula1>0</formula1>
    </dataValidation>
    <dataValidation sqref="B49:D88" showDropDown="0" showInputMessage="0" showErrorMessage="1" allowBlank="1" errorTitle="Valeur invalide" error="Entre un nombre positif (ou laisse vide)." type="decimal" operator="greaterThanOrEqual">
      <formula1>0</formula1>
    </dataValidation>
    <dataValidation sqref="B92:D131" showDropDown="0" showInputMessage="0" showErrorMessage="1" allowBlank="1" errorTitle="Valeur invalide" error="Entre un nombre positif (ou laisse vide)." type="decimal" operator="greaterThanOrEqual">
      <formula1>0</formula1>
    </dataValidation>
    <dataValidation sqref="B135:D174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2026-09-24T19:35:42Z</dcterms:created>
  <dcterms:modified xmlns:dcterms="http://purl.org/dc/terms/" xmlns:xsi="http://www.w3.org/2001/XMLSchema-instance" xsi:type="dcterms:W3CDTF">2026-09-24T19:35:42Z</dcterms:modified>
</cp:coreProperties>
</file>