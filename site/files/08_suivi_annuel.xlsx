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Année 2026" sheetId="2" state="visible" r:id="rId2"/>
    <sheet xmlns:r="http://schemas.openxmlformats.org/officeDocument/2006/relationships" name="Produits" sheetId="3" state="visible" r:id="rId3"/>
    <sheet xmlns:r="http://schemas.openxmlformats.org/officeDocument/2006/relationships" name="Janvier" sheetId="4" state="visible" r:id="rId4"/>
    <sheet xmlns:r="http://schemas.openxmlformats.org/officeDocument/2006/relationships" name="Février" sheetId="5" state="visible" r:id="rId5"/>
    <sheet xmlns:r="http://schemas.openxmlformats.org/officeDocument/2006/relationships" name="Mars" sheetId="6" state="visible" r:id="rId6"/>
    <sheet xmlns:r="http://schemas.openxmlformats.org/officeDocument/2006/relationships" name="Avril" sheetId="7" state="visible" r:id="rId7"/>
    <sheet xmlns:r="http://schemas.openxmlformats.org/officeDocument/2006/relationships" name="Mai" sheetId="8" state="visible" r:id="rId8"/>
    <sheet xmlns:r="http://schemas.openxmlformats.org/officeDocument/2006/relationships" name="Juin" sheetId="9" state="visible" r:id="rId9"/>
    <sheet xmlns:r="http://schemas.openxmlformats.org/officeDocument/2006/relationships" name="Juillet" sheetId="10" state="visible" r:id="rId10"/>
    <sheet xmlns:r="http://schemas.openxmlformats.org/officeDocument/2006/relationships" name="Août" sheetId="11" state="visible" r:id="rId11"/>
    <sheet xmlns:r="http://schemas.openxmlformats.org/officeDocument/2006/relationships" name="Septembre" sheetId="12" state="visible" r:id="rId12"/>
    <sheet xmlns:r="http://schemas.openxmlformats.org/officeDocument/2006/relationships" name="Octobre" sheetId="13" state="visible" r:id="rId13"/>
    <sheet xmlns:r="http://schemas.openxmlformats.org/officeDocument/2006/relationships" name="Novembre" sheetId="14" state="visible" r:id="rId14"/>
    <sheet xmlns:r="http://schemas.openxmlformats.org/officeDocument/2006/relationships" name="Décembre" sheetId="15" state="visible" r:id="rId15"/>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2E6B3F"/>
      <sz val="16"/>
    </font>
    <font>
      <name val="Arial"/>
      <i val="1"/>
      <color rgb="00666666"/>
      <sz val="9"/>
    </font>
    <font>
      <name val="Arial"/>
      <b val="1"/>
      <color rgb="002E6B3F"/>
    </font>
    <font>
      <name val="Arial"/>
    </font>
    <font>
      <name val="Arial"/>
      <b val="1"/>
      <color rgb="00FFFFFF"/>
      <sz val="10"/>
    </font>
    <font>
      <name val="Arial"/>
      <color rgb="00000000"/>
      <sz val="10"/>
    </font>
    <font>
      <name val="Arial"/>
      <color rgb="001F4FD1"/>
    </font>
    <font>
      <name val="Arial"/>
      <b val="1"/>
      <color rgb="00000000"/>
      <sz val="10"/>
    </font>
    <font>
      <name val="Arial"/>
      <color rgb="00555555"/>
      <sz val="10"/>
    </font>
  </fonts>
  <fills count="5">
    <fill>
      <patternFill/>
    </fill>
    <fill>
      <patternFill patternType="gray125"/>
    </fill>
    <fill>
      <patternFill patternType="solid">
        <fgColor rgb="002E6B3F"/>
      </patternFill>
    </fill>
    <fill>
      <patternFill patternType="solid">
        <fgColor rgb="00FFF6D5"/>
      </patternFill>
    </fill>
    <fill>
      <patternFill patternType="solid">
        <fgColor rgb="00D5E1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5" fillId="2" borderId="1" applyAlignment="1" pivotButton="0" quotePrefix="0" xfId="0">
      <alignment horizontal="center" vertical="center" wrapText="1"/>
    </xf>
    <xf numFmtId="0" fontId="8" fillId="0" borderId="1" applyAlignment="1" pivotButton="0" quotePrefix="0" xfId="0">
      <alignment horizontal="left" vertical="center"/>
    </xf>
    <xf numFmtId="0" fontId="9" fillId="0" borderId="1" applyAlignment="1" pivotButton="0" quotePrefix="0" xfId="0">
      <alignment horizontal="center" vertical="center"/>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0" fillId="2" borderId="1" pivotButton="0" quotePrefix="0" xfId="0"/>
    <xf numFmtId="164" fontId="6" fillId="3" borderId="1" applyAlignment="1" pivotButton="0" quotePrefix="0" xfId="0">
      <alignment horizontal="center" vertical="center"/>
    </xf>
    <xf numFmtId="0" fontId="0" fillId="3" borderId="1" pivotButton="0" quotePrefix="0" xfId="0"/>
    <xf numFmtId="0" fontId="8" fillId="4" borderId="1" applyAlignment="1" pivotButton="0" quotePrefix="0" xfId="0">
      <alignment horizontal="center" vertical="center" wrapText="1"/>
    </xf>
    <xf numFmtId="0" fontId="9" fillId="0" borderId="1" applyAlignment="1" pivotButton="0" quotePrefix="0" xfId="0">
      <alignment horizontal="left" vertical="center"/>
    </xf>
  </cellXfs>
  <cellStyles count="1">
    <cellStyle name="Normal" xfId="0" builtinId="0" hidden="0"/>
  </cellStyles>
  <dxfs count="1">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2.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3.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4.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5.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6.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7.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8.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9.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10.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11.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comments/comment12.xml><?xml version="1.0" encoding="utf-8"?>
<comments xmlns="http://schemas.openxmlformats.org/spreadsheetml/2006/main">
  <authors>
    <author>lele_auto</author>
  </authors>
  <commentList>
    <comment ref="D5" authorId="0" shapeId="0">
      <text>
        <t>Date du comptage (facultatif)</t>
      </text>
    </comment>
    <comment ref="G5" authorId="0" shapeId="0">
      <text>
        <t>Date du comptage (facultatif)</t>
      </text>
    </comment>
    <comment ref="J5" authorId="0" shapeId="0">
      <text>
        <t>Date du comptage (facultatif)</t>
      </text>
    </comment>
    <comment ref="M5" authorId="0" shapeId="0">
      <text>
        <t>Date du comptage (facultatif)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16" customWidth="1" min="1" max="1"/>
    <col width="100" customWidth="1" min="2" max="2"/>
  </cols>
  <sheetData>
    <row r="1" ht="26" customHeight="1">
      <c r="A1" s="1" t="inlineStr">
        <is>
          <t>8 · Suivi sur l'année</t>
        </is>
      </c>
    </row>
    <row r="2">
      <c r="A2" s="2" t="inlineStr">
        <is>
          <t>Proposition de tableau de gestion des stocks — Excel et Google Sheets</t>
        </is>
      </c>
    </row>
    <row r="4">
      <c r="A4" s="3" t="inlineStr">
        <is>
          <t>L'idée</t>
        </is>
      </c>
      <c r="B4" s="4" t="inlineStr">
        <is>
          <t>Un fichier pour toute l'année : un onglet par mois (déjà prêts), et un onglet Année qui montre, produit par produit, combien tu as reçu chaque mois, ta moyenne mensuelle et ton plus gros mois. C'est ce qui permet de voir combien tu rachètes en général de chaque produit.</t>
        </is>
      </c>
    </row>
    <row r="5">
      <c r="A5" s="5" t="inlineStr"/>
      <c r="B5" s="4" t="inlineStr"/>
    </row>
    <row r="6">
      <c r="A6" s="5" t="inlineStr">
        <is>
          <t>Comment faire</t>
        </is>
      </c>
      <c r="B6" s="4" t="inlineStr">
        <is>
          <t>1. Remplis l'onglet Produits une seule fois.</t>
        </is>
      </c>
    </row>
    <row r="7">
      <c r="A7" s="5" t="inlineStr"/>
      <c r="B7" s="4" t="inlineStr">
        <is>
          <t>2. Chaque semaine : dans l'onglet du mois en cours, Stock, Commandé, Reçu.</t>
        </is>
      </c>
    </row>
    <row r="8">
      <c r="A8" s="5" t="inlineStr"/>
      <c r="B8" s="4" t="inlineStr">
        <is>
          <t>3. L'onglet Année se remplit tout seul au fil des mois.</t>
        </is>
      </c>
    </row>
    <row r="9">
      <c r="A9" s="5" t="inlineStr"/>
      <c r="B9" s="4" t="inlineStr">
        <is>
          <t>4. Rien à dupliquer : les 12 mois sont déjà là.</t>
        </is>
      </c>
    </row>
    <row r="10">
      <c r="A10" s="5" t="inlineStr"/>
      <c r="B10" s="4" t="inlineStr"/>
    </row>
    <row r="11">
      <c r="A11" s="5" t="inlineStr">
        <is>
          <t>Les onglets</t>
        </is>
      </c>
      <c r="B11" s="4" t="inlineStr">
        <is>
          <t>Année 2026 — reçu par mois, moyenne, maximum.</t>
        </is>
      </c>
    </row>
    <row r="12">
      <c r="A12" s="5" t="inlineStr"/>
      <c r="B12" s="4" t="inlineStr">
        <is>
          <t>Produits — ta liste.</t>
        </is>
      </c>
    </row>
    <row r="13">
      <c r="A13" s="5" t="inlineStr"/>
      <c r="B13" s="4" t="inlineStr">
        <is>
          <t>Janvier à Décembre — un onglet par mois.</t>
        </is>
      </c>
    </row>
    <row r="14">
      <c r="A14" s="5" t="inlineStr"/>
      <c r="B14" s="4" t="inlineStr"/>
    </row>
    <row r="15">
      <c r="A15" s="5" t="inlineStr">
        <is>
          <t>Couleurs</t>
        </is>
      </c>
      <c r="B15" s="4" t="inlineStr">
        <is>
          <t>Cases jaunes = à remplir. Cases blanches = calculées toutes seules, ne pas y toucher.</t>
        </is>
      </c>
    </row>
    <row r="16">
      <c r="A16" s="5" t="inlineStr"/>
      <c r="B16" s="4" t="inlineStr">
        <is>
          <t>Chiffres en bleu = exemple pour montrer le fonctionnement, à effacer.</t>
        </is>
      </c>
    </row>
    <row r="17">
      <c r="A17" s="5" t="inlineStr"/>
      <c r="B17" s="4" t="inlineStr">
        <is>
          <t>Rouge = il manque quelque chose (livraison incomplète, stock trop bas).</t>
        </is>
      </c>
    </row>
    <row r="18">
      <c r="A18" s="5" t="inlineStr"/>
      <c r="B18" s="4" t="inlineStr"/>
    </row>
    <row r="19">
      <c r="A19" s="5" t="inlineStr">
        <is>
          <t>Google Sheets</t>
        </is>
      </c>
      <c r="B19" s="4" t="inlineStr">
        <is>
          <t>Fichier &gt; Importer &gt; Importer ce fichier. Tout fonctionne pareil, y compris sur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10" customWidth="1" min="15" max="15"/>
    <col width="16" customWidth="1" min="16" max="16"/>
    <col width="16" customWidth="1" min="17" max="17"/>
  </cols>
  <sheetData>
    <row r="1" ht="26" customHeight="1">
      <c r="A1" s="1" t="inlineStr">
        <is>
          <t>Année 2026 — quantités reçues par mois</t>
        </is>
      </c>
    </row>
    <row r="2">
      <c r="A2" s="2" t="inlineStr">
        <is>
          <t>Calculé à partir des 12 onglets mensuels — rien à remplir</t>
        </is>
      </c>
    </row>
    <row r="4">
      <c r="A4" s="6" t="inlineStr">
        <is>
          <t>Produit</t>
        </is>
      </c>
      <c r="B4" s="6" t="inlineStr">
        <is>
          <t>Unité</t>
        </is>
      </c>
      <c r="C4" s="6" t="inlineStr">
        <is>
          <t>Janv.</t>
        </is>
      </c>
      <c r="D4" s="6" t="inlineStr">
        <is>
          <t>Févr.</t>
        </is>
      </c>
      <c r="E4" s="6" t="inlineStr">
        <is>
          <t>Mars</t>
        </is>
      </c>
      <c r="F4" s="6" t="inlineStr">
        <is>
          <t>Avr.</t>
        </is>
      </c>
      <c r="G4" s="6" t="inlineStr">
        <is>
          <t>Mai</t>
        </is>
      </c>
      <c r="H4" s="6" t="inlineStr">
        <is>
          <t>Juin</t>
        </is>
      </c>
      <c r="I4" s="6" t="inlineStr">
        <is>
          <t>Juil.</t>
        </is>
      </c>
      <c r="J4" s="6" t="inlineStr">
        <is>
          <t>Août</t>
        </is>
      </c>
      <c r="K4" s="6" t="inlineStr">
        <is>
          <t>Sept.</t>
        </is>
      </c>
      <c r="L4" s="6" t="inlineStr">
        <is>
          <t>Oct.</t>
        </is>
      </c>
      <c r="M4" s="6" t="inlineStr">
        <is>
          <t>Nov.</t>
        </is>
      </c>
      <c r="N4" s="6" t="inlineStr">
        <is>
          <t>Déc.</t>
        </is>
      </c>
      <c r="O4" s="6" t="inlineStr">
        <is>
          <t>Total</t>
        </is>
      </c>
      <c r="P4" s="6" t="inlineStr">
        <is>
          <t>Moyenne / mois</t>
        </is>
      </c>
      <c r="Q4" s="6" t="inlineStr">
        <is>
          <t>Plus gros mois</t>
        </is>
      </c>
    </row>
    <row r="5">
      <c r="A5" s="7">
        <f>IF(Produits!$A$5="","",Produits!$A$5)</f>
        <v/>
      </c>
      <c r="B5" s="8">
        <f>IF(Produits!$A$5="","",Produits!$C$5)</f>
        <v/>
      </c>
      <c r="C5" s="9">
        <f>IF(N('Janvier'!Q7)=0,"",N('Janvier'!Q7))</f>
        <v/>
      </c>
      <c r="D5" s="9">
        <f>IF(N('Février'!Q7)=0,"",N('Février'!Q7))</f>
        <v/>
      </c>
      <c r="E5" s="9">
        <f>IF(N('Mars'!Q7)=0,"",N('Mars'!Q7))</f>
        <v/>
      </c>
      <c r="F5" s="9">
        <f>IF(N('Avril'!Q7)=0,"",N('Avril'!Q7))</f>
        <v/>
      </c>
      <c r="G5" s="9">
        <f>IF(N('Mai'!Q7)=0,"",N('Mai'!Q7))</f>
        <v/>
      </c>
      <c r="H5" s="9">
        <f>IF(N('Juin'!Q7)=0,"",N('Juin'!Q7))</f>
        <v/>
      </c>
      <c r="I5" s="9">
        <f>IF(N('Juillet'!Q7)=0,"",N('Juillet'!Q7))</f>
        <v/>
      </c>
      <c r="J5" s="9">
        <f>IF(N('Août'!Q7)=0,"",N('Août'!Q7))</f>
        <v/>
      </c>
      <c r="K5" s="9">
        <f>IF(N('Septembre'!Q7)=0,"",N('Septembre'!Q7))</f>
        <v/>
      </c>
      <c r="L5" s="9">
        <f>IF(N('Octobre'!Q7)=0,"",N('Octobre'!Q7))</f>
        <v/>
      </c>
      <c r="M5" s="9">
        <f>IF(N('Novembre'!Q7)=0,"",N('Novembre'!Q7))</f>
        <v/>
      </c>
      <c r="N5" s="9">
        <f>IF(N('Décembre'!Q7)=0,"",N('Décembre'!Q7))</f>
        <v/>
      </c>
      <c r="O5" s="10">
        <f>IF(COUNT(C5:N5)=0,"",SUM(C5:N5))</f>
        <v/>
      </c>
      <c r="P5" s="10">
        <f>IF(COUNT(C5:N5)=0,"",ROUND(AVERAGE(C5:N5),1))</f>
        <v/>
      </c>
      <c r="Q5" s="9">
        <f>IF(COUNT(C5:N5)=0,"",MAX(C5:N5))</f>
        <v/>
      </c>
    </row>
    <row r="6">
      <c r="A6" s="7">
        <f>IF(Produits!$A$6="","",Produits!$A$6)</f>
        <v/>
      </c>
      <c r="B6" s="8">
        <f>IF(Produits!$A$6="","",Produits!$C$6)</f>
        <v/>
      </c>
      <c r="C6" s="9">
        <f>IF(N('Janvier'!Q8)=0,"",N('Janvier'!Q8))</f>
        <v/>
      </c>
      <c r="D6" s="9">
        <f>IF(N('Février'!Q8)=0,"",N('Février'!Q8))</f>
        <v/>
      </c>
      <c r="E6" s="9">
        <f>IF(N('Mars'!Q8)=0,"",N('Mars'!Q8))</f>
        <v/>
      </c>
      <c r="F6" s="9">
        <f>IF(N('Avril'!Q8)=0,"",N('Avril'!Q8))</f>
        <v/>
      </c>
      <c r="G6" s="9">
        <f>IF(N('Mai'!Q8)=0,"",N('Mai'!Q8))</f>
        <v/>
      </c>
      <c r="H6" s="9">
        <f>IF(N('Juin'!Q8)=0,"",N('Juin'!Q8))</f>
        <v/>
      </c>
      <c r="I6" s="9">
        <f>IF(N('Juillet'!Q8)=0,"",N('Juillet'!Q8))</f>
        <v/>
      </c>
      <c r="J6" s="9">
        <f>IF(N('Août'!Q8)=0,"",N('Août'!Q8))</f>
        <v/>
      </c>
      <c r="K6" s="9">
        <f>IF(N('Septembre'!Q8)=0,"",N('Septembre'!Q8))</f>
        <v/>
      </c>
      <c r="L6" s="9">
        <f>IF(N('Octobre'!Q8)=0,"",N('Octobre'!Q8))</f>
        <v/>
      </c>
      <c r="M6" s="9">
        <f>IF(N('Novembre'!Q8)=0,"",N('Novembre'!Q8))</f>
        <v/>
      </c>
      <c r="N6" s="9">
        <f>IF(N('Décembre'!Q8)=0,"",N('Décembre'!Q8))</f>
        <v/>
      </c>
      <c r="O6" s="10">
        <f>IF(COUNT(C6:N6)=0,"",SUM(C6:N6))</f>
        <v/>
      </c>
      <c r="P6" s="10">
        <f>IF(COUNT(C6:N6)=0,"",ROUND(AVERAGE(C6:N6),1))</f>
        <v/>
      </c>
      <c r="Q6" s="9">
        <f>IF(COUNT(C6:N6)=0,"",MAX(C6:N6))</f>
        <v/>
      </c>
    </row>
    <row r="7">
      <c r="A7" s="7">
        <f>IF(Produits!$A$7="","",Produits!$A$7)</f>
        <v/>
      </c>
      <c r="B7" s="8">
        <f>IF(Produits!$A$7="","",Produits!$C$7)</f>
        <v/>
      </c>
      <c r="C7" s="9">
        <f>IF(N('Janvier'!Q9)=0,"",N('Janvier'!Q9))</f>
        <v/>
      </c>
      <c r="D7" s="9">
        <f>IF(N('Février'!Q9)=0,"",N('Février'!Q9))</f>
        <v/>
      </c>
      <c r="E7" s="9">
        <f>IF(N('Mars'!Q9)=0,"",N('Mars'!Q9))</f>
        <v/>
      </c>
      <c r="F7" s="9">
        <f>IF(N('Avril'!Q9)=0,"",N('Avril'!Q9))</f>
        <v/>
      </c>
      <c r="G7" s="9">
        <f>IF(N('Mai'!Q9)=0,"",N('Mai'!Q9))</f>
        <v/>
      </c>
      <c r="H7" s="9">
        <f>IF(N('Juin'!Q9)=0,"",N('Juin'!Q9))</f>
        <v/>
      </c>
      <c r="I7" s="9">
        <f>IF(N('Juillet'!Q9)=0,"",N('Juillet'!Q9))</f>
        <v/>
      </c>
      <c r="J7" s="9">
        <f>IF(N('Août'!Q9)=0,"",N('Août'!Q9))</f>
        <v/>
      </c>
      <c r="K7" s="9">
        <f>IF(N('Septembre'!Q9)=0,"",N('Septembre'!Q9))</f>
        <v/>
      </c>
      <c r="L7" s="9">
        <f>IF(N('Octobre'!Q9)=0,"",N('Octobre'!Q9))</f>
        <v/>
      </c>
      <c r="M7" s="9">
        <f>IF(N('Novembre'!Q9)=0,"",N('Novembre'!Q9))</f>
        <v/>
      </c>
      <c r="N7" s="9">
        <f>IF(N('Décembre'!Q9)=0,"",N('Décembre'!Q9))</f>
        <v/>
      </c>
      <c r="O7" s="10">
        <f>IF(COUNT(C7:N7)=0,"",SUM(C7:N7))</f>
        <v/>
      </c>
      <c r="P7" s="10">
        <f>IF(COUNT(C7:N7)=0,"",ROUND(AVERAGE(C7:N7),1))</f>
        <v/>
      </c>
      <c r="Q7" s="9">
        <f>IF(COUNT(C7:N7)=0,"",MAX(C7:N7))</f>
        <v/>
      </c>
    </row>
    <row r="8">
      <c r="A8" s="7">
        <f>IF(Produits!$A$8="","",Produits!$A$8)</f>
        <v/>
      </c>
      <c r="B8" s="8">
        <f>IF(Produits!$A$8="","",Produits!$C$8)</f>
        <v/>
      </c>
      <c r="C8" s="9">
        <f>IF(N('Janvier'!Q10)=0,"",N('Janvier'!Q10))</f>
        <v/>
      </c>
      <c r="D8" s="9">
        <f>IF(N('Février'!Q10)=0,"",N('Février'!Q10))</f>
        <v/>
      </c>
      <c r="E8" s="9">
        <f>IF(N('Mars'!Q10)=0,"",N('Mars'!Q10))</f>
        <v/>
      </c>
      <c r="F8" s="9">
        <f>IF(N('Avril'!Q10)=0,"",N('Avril'!Q10))</f>
        <v/>
      </c>
      <c r="G8" s="9">
        <f>IF(N('Mai'!Q10)=0,"",N('Mai'!Q10))</f>
        <v/>
      </c>
      <c r="H8" s="9">
        <f>IF(N('Juin'!Q10)=0,"",N('Juin'!Q10))</f>
        <v/>
      </c>
      <c r="I8" s="9">
        <f>IF(N('Juillet'!Q10)=0,"",N('Juillet'!Q10))</f>
        <v/>
      </c>
      <c r="J8" s="9">
        <f>IF(N('Août'!Q10)=0,"",N('Août'!Q10))</f>
        <v/>
      </c>
      <c r="K8" s="9">
        <f>IF(N('Septembre'!Q10)=0,"",N('Septembre'!Q10))</f>
        <v/>
      </c>
      <c r="L8" s="9">
        <f>IF(N('Octobre'!Q10)=0,"",N('Octobre'!Q10))</f>
        <v/>
      </c>
      <c r="M8" s="9">
        <f>IF(N('Novembre'!Q10)=0,"",N('Novembre'!Q10))</f>
        <v/>
      </c>
      <c r="N8" s="9">
        <f>IF(N('Décembre'!Q10)=0,"",N('Décembre'!Q10))</f>
        <v/>
      </c>
      <c r="O8" s="10">
        <f>IF(COUNT(C8:N8)=0,"",SUM(C8:N8))</f>
        <v/>
      </c>
      <c r="P8" s="10">
        <f>IF(COUNT(C8:N8)=0,"",ROUND(AVERAGE(C8:N8),1))</f>
        <v/>
      </c>
      <c r="Q8" s="9">
        <f>IF(COUNT(C8:N8)=0,"",MAX(C8:N8))</f>
        <v/>
      </c>
    </row>
    <row r="9">
      <c r="A9" s="7">
        <f>IF(Produits!$A$9="","",Produits!$A$9)</f>
        <v/>
      </c>
      <c r="B9" s="8">
        <f>IF(Produits!$A$9="","",Produits!$C$9)</f>
        <v/>
      </c>
      <c r="C9" s="9">
        <f>IF(N('Janvier'!Q11)=0,"",N('Janvier'!Q11))</f>
        <v/>
      </c>
      <c r="D9" s="9">
        <f>IF(N('Février'!Q11)=0,"",N('Février'!Q11))</f>
        <v/>
      </c>
      <c r="E9" s="9">
        <f>IF(N('Mars'!Q11)=0,"",N('Mars'!Q11))</f>
        <v/>
      </c>
      <c r="F9" s="9">
        <f>IF(N('Avril'!Q11)=0,"",N('Avril'!Q11))</f>
        <v/>
      </c>
      <c r="G9" s="9">
        <f>IF(N('Mai'!Q11)=0,"",N('Mai'!Q11))</f>
        <v/>
      </c>
      <c r="H9" s="9">
        <f>IF(N('Juin'!Q11)=0,"",N('Juin'!Q11))</f>
        <v/>
      </c>
      <c r="I9" s="9">
        <f>IF(N('Juillet'!Q11)=0,"",N('Juillet'!Q11))</f>
        <v/>
      </c>
      <c r="J9" s="9">
        <f>IF(N('Août'!Q11)=0,"",N('Août'!Q11))</f>
        <v/>
      </c>
      <c r="K9" s="9">
        <f>IF(N('Septembre'!Q11)=0,"",N('Septembre'!Q11))</f>
        <v/>
      </c>
      <c r="L9" s="9">
        <f>IF(N('Octobre'!Q11)=0,"",N('Octobre'!Q11))</f>
        <v/>
      </c>
      <c r="M9" s="9">
        <f>IF(N('Novembre'!Q11)=0,"",N('Novembre'!Q11))</f>
        <v/>
      </c>
      <c r="N9" s="9">
        <f>IF(N('Décembre'!Q11)=0,"",N('Décembre'!Q11))</f>
        <v/>
      </c>
      <c r="O9" s="10">
        <f>IF(COUNT(C9:N9)=0,"",SUM(C9:N9))</f>
        <v/>
      </c>
      <c r="P9" s="10">
        <f>IF(COUNT(C9:N9)=0,"",ROUND(AVERAGE(C9:N9),1))</f>
        <v/>
      </c>
      <c r="Q9" s="9">
        <f>IF(COUNT(C9:N9)=0,"",MAX(C9:N9))</f>
        <v/>
      </c>
    </row>
    <row r="10">
      <c r="A10" s="7">
        <f>IF(Produits!$A$10="","",Produits!$A$10)</f>
        <v/>
      </c>
      <c r="B10" s="8">
        <f>IF(Produits!$A$10="","",Produits!$C$10)</f>
        <v/>
      </c>
      <c r="C10" s="9">
        <f>IF(N('Janvier'!Q12)=0,"",N('Janvier'!Q12))</f>
        <v/>
      </c>
      <c r="D10" s="9">
        <f>IF(N('Février'!Q12)=0,"",N('Février'!Q12))</f>
        <v/>
      </c>
      <c r="E10" s="9">
        <f>IF(N('Mars'!Q12)=0,"",N('Mars'!Q12))</f>
        <v/>
      </c>
      <c r="F10" s="9">
        <f>IF(N('Avril'!Q12)=0,"",N('Avril'!Q12))</f>
        <v/>
      </c>
      <c r="G10" s="9">
        <f>IF(N('Mai'!Q12)=0,"",N('Mai'!Q12))</f>
        <v/>
      </c>
      <c r="H10" s="9">
        <f>IF(N('Juin'!Q12)=0,"",N('Juin'!Q12))</f>
        <v/>
      </c>
      <c r="I10" s="9">
        <f>IF(N('Juillet'!Q12)=0,"",N('Juillet'!Q12))</f>
        <v/>
      </c>
      <c r="J10" s="9">
        <f>IF(N('Août'!Q12)=0,"",N('Août'!Q12))</f>
        <v/>
      </c>
      <c r="K10" s="9">
        <f>IF(N('Septembre'!Q12)=0,"",N('Septembre'!Q12))</f>
        <v/>
      </c>
      <c r="L10" s="9">
        <f>IF(N('Octobre'!Q12)=0,"",N('Octobre'!Q12))</f>
        <v/>
      </c>
      <c r="M10" s="9">
        <f>IF(N('Novembre'!Q12)=0,"",N('Novembre'!Q12))</f>
        <v/>
      </c>
      <c r="N10" s="9">
        <f>IF(N('Décembre'!Q12)=0,"",N('Décembre'!Q12))</f>
        <v/>
      </c>
      <c r="O10" s="10">
        <f>IF(COUNT(C10:N10)=0,"",SUM(C10:N10))</f>
        <v/>
      </c>
      <c r="P10" s="10">
        <f>IF(COUNT(C10:N10)=0,"",ROUND(AVERAGE(C10:N10),1))</f>
        <v/>
      </c>
      <c r="Q10" s="9">
        <f>IF(COUNT(C10:N10)=0,"",MAX(C10:N10))</f>
        <v/>
      </c>
    </row>
    <row r="11">
      <c r="A11" s="7">
        <f>IF(Produits!$A$11="","",Produits!$A$11)</f>
        <v/>
      </c>
      <c r="B11" s="8">
        <f>IF(Produits!$A$11="","",Produits!$C$11)</f>
        <v/>
      </c>
      <c r="C11" s="9">
        <f>IF(N('Janvier'!Q13)=0,"",N('Janvier'!Q13))</f>
        <v/>
      </c>
      <c r="D11" s="9">
        <f>IF(N('Février'!Q13)=0,"",N('Février'!Q13))</f>
        <v/>
      </c>
      <c r="E11" s="9">
        <f>IF(N('Mars'!Q13)=0,"",N('Mars'!Q13))</f>
        <v/>
      </c>
      <c r="F11" s="9">
        <f>IF(N('Avril'!Q13)=0,"",N('Avril'!Q13))</f>
        <v/>
      </c>
      <c r="G11" s="9">
        <f>IF(N('Mai'!Q13)=0,"",N('Mai'!Q13))</f>
        <v/>
      </c>
      <c r="H11" s="9">
        <f>IF(N('Juin'!Q13)=0,"",N('Juin'!Q13))</f>
        <v/>
      </c>
      <c r="I11" s="9">
        <f>IF(N('Juillet'!Q13)=0,"",N('Juillet'!Q13))</f>
        <v/>
      </c>
      <c r="J11" s="9">
        <f>IF(N('Août'!Q13)=0,"",N('Août'!Q13))</f>
        <v/>
      </c>
      <c r="K11" s="9">
        <f>IF(N('Septembre'!Q13)=0,"",N('Septembre'!Q13))</f>
        <v/>
      </c>
      <c r="L11" s="9">
        <f>IF(N('Octobre'!Q13)=0,"",N('Octobre'!Q13))</f>
        <v/>
      </c>
      <c r="M11" s="9">
        <f>IF(N('Novembre'!Q13)=0,"",N('Novembre'!Q13))</f>
        <v/>
      </c>
      <c r="N11" s="9">
        <f>IF(N('Décembre'!Q13)=0,"",N('Décembre'!Q13))</f>
        <v/>
      </c>
      <c r="O11" s="10">
        <f>IF(COUNT(C11:N11)=0,"",SUM(C11:N11))</f>
        <v/>
      </c>
      <c r="P11" s="10">
        <f>IF(COUNT(C11:N11)=0,"",ROUND(AVERAGE(C11:N11),1))</f>
        <v/>
      </c>
      <c r="Q11" s="9">
        <f>IF(COUNT(C11:N11)=0,"",MAX(C11:N11))</f>
        <v/>
      </c>
    </row>
    <row r="12">
      <c r="A12" s="7">
        <f>IF(Produits!$A$12="","",Produits!$A$12)</f>
        <v/>
      </c>
      <c r="B12" s="8">
        <f>IF(Produits!$A$12="","",Produits!$C$12)</f>
        <v/>
      </c>
      <c r="C12" s="9">
        <f>IF(N('Janvier'!Q14)=0,"",N('Janvier'!Q14))</f>
        <v/>
      </c>
      <c r="D12" s="9">
        <f>IF(N('Février'!Q14)=0,"",N('Février'!Q14))</f>
        <v/>
      </c>
      <c r="E12" s="9">
        <f>IF(N('Mars'!Q14)=0,"",N('Mars'!Q14))</f>
        <v/>
      </c>
      <c r="F12" s="9">
        <f>IF(N('Avril'!Q14)=0,"",N('Avril'!Q14))</f>
        <v/>
      </c>
      <c r="G12" s="9">
        <f>IF(N('Mai'!Q14)=0,"",N('Mai'!Q14))</f>
        <v/>
      </c>
      <c r="H12" s="9">
        <f>IF(N('Juin'!Q14)=0,"",N('Juin'!Q14))</f>
        <v/>
      </c>
      <c r="I12" s="9">
        <f>IF(N('Juillet'!Q14)=0,"",N('Juillet'!Q14))</f>
        <v/>
      </c>
      <c r="J12" s="9">
        <f>IF(N('Août'!Q14)=0,"",N('Août'!Q14))</f>
        <v/>
      </c>
      <c r="K12" s="9">
        <f>IF(N('Septembre'!Q14)=0,"",N('Septembre'!Q14))</f>
        <v/>
      </c>
      <c r="L12" s="9">
        <f>IF(N('Octobre'!Q14)=0,"",N('Octobre'!Q14))</f>
        <v/>
      </c>
      <c r="M12" s="9">
        <f>IF(N('Novembre'!Q14)=0,"",N('Novembre'!Q14))</f>
        <v/>
      </c>
      <c r="N12" s="9">
        <f>IF(N('Décembre'!Q14)=0,"",N('Décembre'!Q14))</f>
        <v/>
      </c>
      <c r="O12" s="10">
        <f>IF(COUNT(C12:N12)=0,"",SUM(C12:N12))</f>
        <v/>
      </c>
      <c r="P12" s="10">
        <f>IF(COUNT(C12:N12)=0,"",ROUND(AVERAGE(C12:N12),1))</f>
        <v/>
      </c>
      <c r="Q12" s="9">
        <f>IF(COUNT(C12:N12)=0,"",MAX(C12:N12))</f>
        <v/>
      </c>
    </row>
    <row r="13">
      <c r="A13" s="7">
        <f>IF(Produits!$A$13="","",Produits!$A$13)</f>
        <v/>
      </c>
      <c r="B13" s="8">
        <f>IF(Produits!$A$13="","",Produits!$C$13)</f>
        <v/>
      </c>
      <c r="C13" s="9">
        <f>IF(N('Janvier'!Q15)=0,"",N('Janvier'!Q15))</f>
        <v/>
      </c>
      <c r="D13" s="9">
        <f>IF(N('Février'!Q15)=0,"",N('Février'!Q15))</f>
        <v/>
      </c>
      <c r="E13" s="9">
        <f>IF(N('Mars'!Q15)=0,"",N('Mars'!Q15))</f>
        <v/>
      </c>
      <c r="F13" s="9">
        <f>IF(N('Avril'!Q15)=0,"",N('Avril'!Q15))</f>
        <v/>
      </c>
      <c r="G13" s="9">
        <f>IF(N('Mai'!Q15)=0,"",N('Mai'!Q15))</f>
        <v/>
      </c>
      <c r="H13" s="9">
        <f>IF(N('Juin'!Q15)=0,"",N('Juin'!Q15))</f>
        <v/>
      </c>
      <c r="I13" s="9">
        <f>IF(N('Juillet'!Q15)=0,"",N('Juillet'!Q15))</f>
        <v/>
      </c>
      <c r="J13" s="9">
        <f>IF(N('Août'!Q15)=0,"",N('Août'!Q15))</f>
        <v/>
      </c>
      <c r="K13" s="9">
        <f>IF(N('Septembre'!Q15)=0,"",N('Septembre'!Q15))</f>
        <v/>
      </c>
      <c r="L13" s="9">
        <f>IF(N('Octobre'!Q15)=0,"",N('Octobre'!Q15))</f>
        <v/>
      </c>
      <c r="M13" s="9">
        <f>IF(N('Novembre'!Q15)=0,"",N('Novembre'!Q15))</f>
        <v/>
      </c>
      <c r="N13" s="9">
        <f>IF(N('Décembre'!Q15)=0,"",N('Décembre'!Q15))</f>
        <v/>
      </c>
      <c r="O13" s="10">
        <f>IF(COUNT(C13:N13)=0,"",SUM(C13:N13))</f>
        <v/>
      </c>
      <c r="P13" s="10">
        <f>IF(COUNT(C13:N13)=0,"",ROUND(AVERAGE(C13:N13),1))</f>
        <v/>
      </c>
      <c r="Q13" s="9">
        <f>IF(COUNT(C13:N13)=0,"",MAX(C13:N13))</f>
        <v/>
      </c>
    </row>
    <row r="14">
      <c r="A14" s="7">
        <f>IF(Produits!$A$14="","",Produits!$A$14)</f>
        <v/>
      </c>
      <c r="B14" s="8">
        <f>IF(Produits!$A$14="","",Produits!$C$14)</f>
        <v/>
      </c>
      <c r="C14" s="9">
        <f>IF(N('Janvier'!Q16)=0,"",N('Janvier'!Q16))</f>
        <v/>
      </c>
      <c r="D14" s="9">
        <f>IF(N('Février'!Q16)=0,"",N('Février'!Q16))</f>
        <v/>
      </c>
      <c r="E14" s="9">
        <f>IF(N('Mars'!Q16)=0,"",N('Mars'!Q16))</f>
        <v/>
      </c>
      <c r="F14" s="9">
        <f>IF(N('Avril'!Q16)=0,"",N('Avril'!Q16))</f>
        <v/>
      </c>
      <c r="G14" s="9">
        <f>IF(N('Mai'!Q16)=0,"",N('Mai'!Q16))</f>
        <v/>
      </c>
      <c r="H14" s="9">
        <f>IF(N('Juin'!Q16)=0,"",N('Juin'!Q16))</f>
        <v/>
      </c>
      <c r="I14" s="9">
        <f>IF(N('Juillet'!Q16)=0,"",N('Juillet'!Q16))</f>
        <v/>
      </c>
      <c r="J14" s="9">
        <f>IF(N('Août'!Q16)=0,"",N('Août'!Q16))</f>
        <v/>
      </c>
      <c r="K14" s="9">
        <f>IF(N('Septembre'!Q16)=0,"",N('Septembre'!Q16))</f>
        <v/>
      </c>
      <c r="L14" s="9">
        <f>IF(N('Octobre'!Q16)=0,"",N('Octobre'!Q16))</f>
        <v/>
      </c>
      <c r="M14" s="9">
        <f>IF(N('Novembre'!Q16)=0,"",N('Novembre'!Q16))</f>
        <v/>
      </c>
      <c r="N14" s="9">
        <f>IF(N('Décembre'!Q16)=0,"",N('Décembre'!Q16))</f>
        <v/>
      </c>
      <c r="O14" s="10">
        <f>IF(COUNT(C14:N14)=0,"",SUM(C14:N14))</f>
        <v/>
      </c>
      <c r="P14" s="10">
        <f>IF(COUNT(C14:N14)=0,"",ROUND(AVERAGE(C14:N14),1))</f>
        <v/>
      </c>
      <c r="Q14" s="9">
        <f>IF(COUNT(C14:N14)=0,"",MAX(C14:N14))</f>
        <v/>
      </c>
    </row>
    <row r="15">
      <c r="A15" s="7">
        <f>IF(Produits!$A$15="","",Produits!$A$15)</f>
        <v/>
      </c>
      <c r="B15" s="8">
        <f>IF(Produits!$A$15="","",Produits!$C$15)</f>
        <v/>
      </c>
      <c r="C15" s="9">
        <f>IF(N('Janvier'!Q17)=0,"",N('Janvier'!Q17))</f>
        <v/>
      </c>
      <c r="D15" s="9">
        <f>IF(N('Février'!Q17)=0,"",N('Février'!Q17))</f>
        <v/>
      </c>
      <c r="E15" s="9">
        <f>IF(N('Mars'!Q17)=0,"",N('Mars'!Q17))</f>
        <v/>
      </c>
      <c r="F15" s="9">
        <f>IF(N('Avril'!Q17)=0,"",N('Avril'!Q17))</f>
        <v/>
      </c>
      <c r="G15" s="9">
        <f>IF(N('Mai'!Q17)=0,"",N('Mai'!Q17))</f>
        <v/>
      </c>
      <c r="H15" s="9">
        <f>IF(N('Juin'!Q17)=0,"",N('Juin'!Q17))</f>
        <v/>
      </c>
      <c r="I15" s="9">
        <f>IF(N('Juillet'!Q17)=0,"",N('Juillet'!Q17))</f>
        <v/>
      </c>
      <c r="J15" s="9">
        <f>IF(N('Août'!Q17)=0,"",N('Août'!Q17))</f>
        <v/>
      </c>
      <c r="K15" s="9">
        <f>IF(N('Septembre'!Q17)=0,"",N('Septembre'!Q17))</f>
        <v/>
      </c>
      <c r="L15" s="9">
        <f>IF(N('Octobre'!Q17)=0,"",N('Octobre'!Q17))</f>
        <v/>
      </c>
      <c r="M15" s="9">
        <f>IF(N('Novembre'!Q17)=0,"",N('Novembre'!Q17))</f>
        <v/>
      </c>
      <c r="N15" s="9">
        <f>IF(N('Décembre'!Q17)=0,"",N('Décembre'!Q17))</f>
        <v/>
      </c>
      <c r="O15" s="10">
        <f>IF(COUNT(C15:N15)=0,"",SUM(C15:N15))</f>
        <v/>
      </c>
      <c r="P15" s="10">
        <f>IF(COUNT(C15:N15)=0,"",ROUND(AVERAGE(C15:N15),1))</f>
        <v/>
      </c>
      <c r="Q15" s="9">
        <f>IF(COUNT(C15:N15)=0,"",MAX(C15:N15))</f>
        <v/>
      </c>
    </row>
    <row r="16">
      <c r="A16" s="7">
        <f>IF(Produits!$A$16="","",Produits!$A$16)</f>
        <v/>
      </c>
      <c r="B16" s="8">
        <f>IF(Produits!$A$16="","",Produits!$C$16)</f>
        <v/>
      </c>
      <c r="C16" s="9">
        <f>IF(N('Janvier'!Q18)=0,"",N('Janvier'!Q18))</f>
        <v/>
      </c>
      <c r="D16" s="9">
        <f>IF(N('Février'!Q18)=0,"",N('Février'!Q18))</f>
        <v/>
      </c>
      <c r="E16" s="9">
        <f>IF(N('Mars'!Q18)=0,"",N('Mars'!Q18))</f>
        <v/>
      </c>
      <c r="F16" s="9">
        <f>IF(N('Avril'!Q18)=0,"",N('Avril'!Q18))</f>
        <v/>
      </c>
      <c r="G16" s="9">
        <f>IF(N('Mai'!Q18)=0,"",N('Mai'!Q18))</f>
        <v/>
      </c>
      <c r="H16" s="9">
        <f>IF(N('Juin'!Q18)=0,"",N('Juin'!Q18))</f>
        <v/>
      </c>
      <c r="I16" s="9">
        <f>IF(N('Juillet'!Q18)=0,"",N('Juillet'!Q18))</f>
        <v/>
      </c>
      <c r="J16" s="9">
        <f>IF(N('Août'!Q18)=0,"",N('Août'!Q18))</f>
        <v/>
      </c>
      <c r="K16" s="9">
        <f>IF(N('Septembre'!Q18)=0,"",N('Septembre'!Q18))</f>
        <v/>
      </c>
      <c r="L16" s="9">
        <f>IF(N('Octobre'!Q18)=0,"",N('Octobre'!Q18))</f>
        <v/>
      </c>
      <c r="M16" s="9">
        <f>IF(N('Novembre'!Q18)=0,"",N('Novembre'!Q18))</f>
        <v/>
      </c>
      <c r="N16" s="9">
        <f>IF(N('Décembre'!Q18)=0,"",N('Décembre'!Q18))</f>
        <v/>
      </c>
      <c r="O16" s="10">
        <f>IF(COUNT(C16:N16)=0,"",SUM(C16:N16))</f>
        <v/>
      </c>
      <c r="P16" s="10">
        <f>IF(COUNT(C16:N16)=0,"",ROUND(AVERAGE(C16:N16),1))</f>
        <v/>
      </c>
      <c r="Q16" s="9">
        <f>IF(COUNT(C16:N16)=0,"",MAX(C16:N16))</f>
        <v/>
      </c>
    </row>
    <row r="17">
      <c r="A17" s="7">
        <f>IF(Produits!$A$17="","",Produits!$A$17)</f>
        <v/>
      </c>
      <c r="B17" s="8">
        <f>IF(Produits!$A$17="","",Produits!$C$17)</f>
        <v/>
      </c>
      <c r="C17" s="9">
        <f>IF(N('Janvier'!Q19)=0,"",N('Janvier'!Q19))</f>
        <v/>
      </c>
      <c r="D17" s="9">
        <f>IF(N('Février'!Q19)=0,"",N('Février'!Q19))</f>
        <v/>
      </c>
      <c r="E17" s="9">
        <f>IF(N('Mars'!Q19)=0,"",N('Mars'!Q19))</f>
        <v/>
      </c>
      <c r="F17" s="9">
        <f>IF(N('Avril'!Q19)=0,"",N('Avril'!Q19))</f>
        <v/>
      </c>
      <c r="G17" s="9">
        <f>IF(N('Mai'!Q19)=0,"",N('Mai'!Q19))</f>
        <v/>
      </c>
      <c r="H17" s="9">
        <f>IF(N('Juin'!Q19)=0,"",N('Juin'!Q19))</f>
        <v/>
      </c>
      <c r="I17" s="9">
        <f>IF(N('Juillet'!Q19)=0,"",N('Juillet'!Q19))</f>
        <v/>
      </c>
      <c r="J17" s="9">
        <f>IF(N('Août'!Q19)=0,"",N('Août'!Q19))</f>
        <v/>
      </c>
      <c r="K17" s="9">
        <f>IF(N('Septembre'!Q19)=0,"",N('Septembre'!Q19))</f>
        <v/>
      </c>
      <c r="L17" s="9">
        <f>IF(N('Octobre'!Q19)=0,"",N('Octobre'!Q19))</f>
        <v/>
      </c>
      <c r="M17" s="9">
        <f>IF(N('Novembre'!Q19)=0,"",N('Novembre'!Q19))</f>
        <v/>
      </c>
      <c r="N17" s="9">
        <f>IF(N('Décembre'!Q19)=0,"",N('Décembre'!Q19))</f>
        <v/>
      </c>
      <c r="O17" s="10">
        <f>IF(COUNT(C17:N17)=0,"",SUM(C17:N17))</f>
        <v/>
      </c>
      <c r="P17" s="10">
        <f>IF(COUNT(C17:N17)=0,"",ROUND(AVERAGE(C17:N17),1))</f>
        <v/>
      </c>
      <c r="Q17" s="9">
        <f>IF(COUNT(C17:N17)=0,"",MAX(C17:N17))</f>
        <v/>
      </c>
    </row>
    <row r="18">
      <c r="A18" s="7">
        <f>IF(Produits!$A$18="","",Produits!$A$18)</f>
        <v/>
      </c>
      <c r="B18" s="8">
        <f>IF(Produits!$A$18="","",Produits!$C$18)</f>
        <v/>
      </c>
      <c r="C18" s="9">
        <f>IF(N('Janvier'!Q20)=0,"",N('Janvier'!Q20))</f>
        <v/>
      </c>
      <c r="D18" s="9">
        <f>IF(N('Février'!Q20)=0,"",N('Février'!Q20))</f>
        <v/>
      </c>
      <c r="E18" s="9">
        <f>IF(N('Mars'!Q20)=0,"",N('Mars'!Q20))</f>
        <v/>
      </c>
      <c r="F18" s="9">
        <f>IF(N('Avril'!Q20)=0,"",N('Avril'!Q20))</f>
        <v/>
      </c>
      <c r="G18" s="9">
        <f>IF(N('Mai'!Q20)=0,"",N('Mai'!Q20))</f>
        <v/>
      </c>
      <c r="H18" s="9">
        <f>IF(N('Juin'!Q20)=0,"",N('Juin'!Q20))</f>
        <v/>
      </c>
      <c r="I18" s="9">
        <f>IF(N('Juillet'!Q20)=0,"",N('Juillet'!Q20))</f>
        <v/>
      </c>
      <c r="J18" s="9">
        <f>IF(N('Août'!Q20)=0,"",N('Août'!Q20))</f>
        <v/>
      </c>
      <c r="K18" s="9">
        <f>IF(N('Septembre'!Q20)=0,"",N('Septembre'!Q20))</f>
        <v/>
      </c>
      <c r="L18" s="9">
        <f>IF(N('Octobre'!Q20)=0,"",N('Octobre'!Q20))</f>
        <v/>
      </c>
      <c r="M18" s="9">
        <f>IF(N('Novembre'!Q20)=0,"",N('Novembre'!Q20))</f>
        <v/>
      </c>
      <c r="N18" s="9">
        <f>IF(N('Décembre'!Q20)=0,"",N('Décembre'!Q20))</f>
        <v/>
      </c>
      <c r="O18" s="10">
        <f>IF(COUNT(C18:N18)=0,"",SUM(C18:N18))</f>
        <v/>
      </c>
      <c r="P18" s="10">
        <f>IF(COUNT(C18:N18)=0,"",ROUND(AVERAGE(C18:N18),1))</f>
        <v/>
      </c>
      <c r="Q18" s="9">
        <f>IF(COUNT(C18:N18)=0,"",MAX(C18:N18))</f>
        <v/>
      </c>
    </row>
    <row r="19">
      <c r="A19" s="7">
        <f>IF(Produits!$A$19="","",Produits!$A$19)</f>
        <v/>
      </c>
      <c r="B19" s="8">
        <f>IF(Produits!$A$19="","",Produits!$C$19)</f>
        <v/>
      </c>
      <c r="C19" s="9">
        <f>IF(N('Janvier'!Q21)=0,"",N('Janvier'!Q21))</f>
        <v/>
      </c>
      <c r="D19" s="9">
        <f>IF(N('Février'!Q21)=0,"",N('Février'!Q21))</f>
        <v/>
      </c>
      <c r="E19" s="9">
        <f>IF(N('Mars'!Q21)=0,"",N('Mars'!Q21))</f>
        <v/>
      </c>
      <c r="F19" s="9">
        <f>IF(N('Avril'!Q21)=0,"",N('Avril'!Q21))</f>
        <v/>
      </c>
      <c r="G19" s="9">
        <f>IF(N('Mai'!Q21)=0,"",N('Mai'!Q21))</f>
        <v/>
      </c>
      <c r="H19" s="9">
        <f>IF(N('Juin'!Q21)=0,"",N('Juin'!Q21))</f>
        <v/>
      </c>
      <c r="I19" s="9">
        <f>IF(N('Juillet'!Q21)=0,"",N('Juillet'!Q21))</f>
        <v/>
      </c>
      <c r="J19" s="9">
        <f>IF(N('Août'!Q21)=0,"",N('Août'!Q21))</f>
        <v/>
      </c>
      <c r="K19" s="9">
        <f>IF(N('Septembre'!Q21)=0,"",N('Septembre'!Q21))</f>
        <v/>
      </c>
      <c r="L19" s="9">
        <f>IF(N('Octobre'!Q21)=0,"",N('Octobre'!Q21))</f>
        <v/>
      </c>
      <c r="M19" s="9">
        <f>IF(N('Novembre'!Q21)=0,"",N('Novembre'!Q21))</f>
        <v/>
      </c>
      <c r="N19" s="9">
        <f>IF(N('Décembre'!Q21)=0,"",N('Décembre'!Q21))</f>
        <v/>
      </c>
      <c r="O19" s="10">
        <f>IF(COUNT(C19:N19)=0,"",SUM(C19:N19))</f>
        <v/>
      </c>
      <c r="P19" s="10">
        <f>IF(COUNT(C19:N19)=0,"",ROUND(AVERAGE(C19:N19),1))</f>
        <v/>
      </c>
      <c r="Q19" s="9">
        <f>IF(COUNT(C19:N19)=0,"",MAX(C19:N19))</f>
        <v/>
      </c>
    </row>
    <row r="20">
      <c r="A20" s="7">
        <f>IF(Produits!$A$20="","",Produits!$A$20)</f>
        <v/>
      </c>
      <c r="B20" s="8">
        <f>IF(Produits!$A$20="","",Produits!$C$20)</f>
        <v/>
      </c>
      <c r="C20" s="9">
        <f>IF(N('Janvier'!Q22)=0,"",N('Janvier'!Q22))</f>
        <v/>
      </c>
      <c r="D20" s="9">
        <f>IF(N('Février'!Q22)=0,"",N('Février'!Q22))</f>
        <v/>
      </c>
      <c r="E20" s="9">
        <f>IF(N('Mars'!Q22)=0,"",N('Mars'!Q22))</f>
        <v/>
      </c>
      <c r="F20" s="9">
        <f>IF(N('Avril'!Q22)=0,"",N('Avril'!Q22))</f>
        <v/>
      </c>
      <c r="G20" s="9">
        <f>IF(N('Mai'!Q22)=0,"",N('Mai'!Q22))</f>
        <v/>
      </c>
      <c r="H20" s="9">
        <f>IF(N('Juin'!Q22)=0,"",N('Juin'!Q22))</f>
        <v/>
      </c>
      <c r="I20" s="9">
        <f>IF(N('Juillet'!Q22)=0,"",N('Juillet'!Q22))</f>
        <v/>
      </c>
      <c r="J20" s="9">
        <f>IF(N('Août'!Q22)=0,"",N('Août'!Q22))</f>
        <v/>
      </c>
      <c r="K20" s="9">
        <f>IF(N('Septembre'!Q22)=0,"",N('Septembre'!Q22))</f>
        <v/>
      </c>
      <c r="L20" s="9">
        <f>IF(N('Octobre'!Q22)=0,"",N('Octobre'!Q22))</f>
        <v/>
      </c>
      <c r="M20" s="9">
        <f>IF(N('Novembre'!Q22)=0,"",N('Novembre'!Q22))</f>
        <v/>
      </c>
      <c r="N20" s="9">
        <f>IF(N('Décembre'!Q22)=0,"",N('Décembre'!Q22))</f>
        <v/>
      </c>
      <c r="O20" s="10">
        <f>IF(COUNT(C20:N20)=0,"",SUM(C20:N20))</f>
        <v/>
      </c>
      <c r="P20" s="10">
        <f>IF(COUNT(C20:N20)=0,"",ROUND(AVERAGE(C20:N20),1))</f>
        <v/>
      </c>
      <c r="Q20" s="9">
        <f>IF(COUNT(C20:N20)=0,"",MAX(C20:N20))</f>
        <v/>
      </c>
    </row>
    <row r="21">
      <c r="A21" s="7">
        <f>IF(Produits!$A$21="","",Produits!$A$21)</f>
        <v/>
      </c>
      <c r="B21" s="8">
        <f>IF(Produits!$A$21="","",Produits!$C$21)</f>
        <v/>
      </c>
      <c r="C21" s="9">
        <f>IF(N('Janvier'!Q23)=0,"",N('Janvier'!Q23))</f>
        <v/>
      </c>
      <c r="D21" s="9">
        <f>IF(N('Février'!Q23)=0,"",N('Février'!Q23))</f>
        <v/>
      </c>
      <c r="E21" s="9">
        <f>IF(N('Mars'!Q23)=0,"",N('Mars'!Q23))</f>
        <v/>
      </c>
      <c r="F21" s="9">
        <f>IF(N('Avril'!Q23)=0,"",N('Avril'!Q23))</f>
        <v/>
      </c>
      <c r="G21" s="9">
        <f>IF(N('Mai'!Q23)=0,"",N('Mai'!Q23))</f>
        <v/>
      </c>
      <c r="H21" s="9">
        <f>IF(N('Juin'!Q23)=0,"",N('Juin'!Q23))</f>
        <v/>
      </c>
      <c r="I21" s="9">
        <f>IF(N('Juillet'!Q23)=0,"",N('Juillet'!Q23))</f>
        <v/>
      </c>
      <c r="J21" s="9">
        <f>IF(N('Août'!Q23)=0,"",N('Août'!Q23))</f>
        <v/>
      </c>
      <c r="K21" s="9">
        <f>IF(N('Septembre'!Q23)=0,"",N('Septembre'!Q23))</f>
        <v/>
      </c>
      <c r="L21" s="9">
        <f>IF(N('Octobre'!Q23)=0,"",N('Octobre'!Q23))</f>
        <v/>
      </c>
      <c r="M21" s="9">
        <f>IF(N('Novembre'!Q23)=0,"",N('Novembre'!Q23))</f>
        <v/>
      </c>
      <c r="N21" s="9">
        <f>IF(N('Décembre'!Q23)=0,"",N('Décembre'!Q23))</f>
        <v/>
      </c>
      <c r="O21" s="10">
        <f>IF(COUNT(C21:N21)=0,"",SUM(C21:N21))</f>
        <v/>
      </c>
      <c r="P21" s="10">
        <f>IF(COUNT(C21:N21)=0,"",ROUND(AVERAGE(C21:N21),1))</f>
        <v/>
      </c>
      <c r="Q21" s="9">
        <f>IF(COUNT(C21:N21)=0,"",MAX(C21:N21))</f>
        <v/>
      </c>
    </row>
    <row r="22">
      <c r="A22" s="7">
        <f>IF(Produits!$A$22="","",Produits!$A$22)</f>
        <v/>
      </c>
      <c r="B22" s="8">
        <f>IF(Produits!$A$22="","",Produits!$C$22)</f>
        <v/>
      </c>
      <c r="C22" s="9">
        <f>IF(N('Janvier'!Q24)=0,"",N('Janvier'!Q24))</f>
        <v/>
      </c>
      <c r="D22" s="9">
        <f>IF(N('Février'!Q24)=0,"",N('Février'!Q24))</f>
        <v/>
      </c>
      <c r="E22" s="9">
        <f>IF(N('Mars'!Q24)=0,"",N('Mars'!Q24))</f>
        <v/>
      </c>
      <c r="F22" s="9">
        <f>IF(N('Avril'!Q24)=0,"",N('Avril'!Q24))</f>
        <v/>
      </c>
      <c r="G22" s="9">
        <f>IF(N('Mai'!Q24)=0,"",N('Mai'!Q24))</f>
        <v/>
      </c>
      <c r="H22" s="9">
        <f>IF(N('Juin'!Q24)=0,"",N('Juin'!Q24))</f>
        <v/>
      </c>
      <c r="I22" s="9">
        <f>IF(N('Juillet'!Q24)=0,"",N('Juillet'!Q24))</f>
        <v/>
      </c>
      <c r="J22" s="9">
        <f>IF(N('Août'!Q24)=0,"",N('Août'!Q24))</f>
        <v/>
      </c>
      <c r="K22" s="9">
        <f>IF(N('Septembre'!Q24)=0,"",N('Septembre'!Q24))</f>
        <v/>
      </c>
      <c r="L22" s="9">
        <f>IF(N('Octobre'!Q24)=0,"",N('Octobre'!Q24))</f>
        <v/>
      </c>
      <c r="M22" s="9">
        <f>IF(N('Novembre'!Q24)=0,"",N('Novembre'!Q24))</f>
        <v/>
      </c>
      <c r="N22" s="9">
        <f>IF(N('Décembre'!Q24)=0,"",N('Décembre'!Q24))</f>
        <v/>
      </c>
      <c r="O22" s="10">
        <f>IF(COUNT(C22:N22)=0,"",SUM(C22:N22))</f>
        <v/>
      </c>
      <c r="P22" s="10">
        <f>IF(COUNT(C22:N22)=0,"",ROUND(AVERAGE(C22:N22),1))</f>
        <v/>
      </c>
      <c r="Q22" s="9">
        <f>IF(COUNT(C22:N22)=0,"",MAX(C22:N22))</f>
        <v/>
      </c>
    </row>
    <row r="23">
      <c r="A23" s="7">
        <f>IF(Produits!$A$23="","",Produits!$A$23)</f>
        <v/>
      </c>
      <c r="B23" s="8">
        <f>IF(Produits!$A$23="","",Produits!$C$23)</f>
        <v/>
      </c>
      <c r="C23" s="9">
        <f>IF(N('Janvier'!Q25)=0,"",N('Janvier'!Q25))</f>
        <v/>
      </c>
      <c r="D23" s="9">
        <f>IF(N('Février'!Q25)=0,"",N('Février'!Q25))</f>
        <v/>
      </c>
      <c r="E23" s="9">
        <f>IF(N('Mars'!Q25)=0,"",N('Mars'!Q25))</f>
        <v/>
      </c>
      <c r="F23" s="9">
        <f>IF(N('Avril'!Q25)=0,"",N('Avril'!Q25))</f>
        <v/>
      </c>
      <c r="G23" s="9">
        <f>IF(N('Mai'!Q25)=0,"",N('Mai'!Q25))</f>
        <v/>
      </c>
      <c r="H23" s="9">
        <f>IF(N('Juin'!Q25)=0,"",N('Juin'!Q25))</f>
        <v/>
      </c>
      <c r="I23" s="9">
        <f>IF(N('Juillet'!Q25)=0,"",N('Juillet'!Q25))</f>
        <v/>
      </c>
      <c r="J23" s="9">
        <f>IF(N('Août'!Q25)=0,"",N('Août'!Q25))</f>
        <v/>
      </c>
      <c r="K23" s="9">
        <f>IF(N('Septembre'!Q25)=0,"",N('Septembre'!Q25))</f>
        <v/>
      </c>
      <c r="L23" s="9">
        <f>IF(N('Octobre'!Q25)=0,"",N('Octobre'!Q25))</f>
        <v/>
      </c>
      <c r="M23" s="9">
        <f>IF(N('Novembre'!Q25)=0,"",N('Novembre'!Q25))</f>
        <v/>
      </c>
      <c r="N23" s="9">
        <f>IF(N('Décembre'!Q25)=0,"",N('Décembre'!Q25))</f>
        <v/>
      </c>
      <c r="O23" s="10">
        <f>IF(COUNT(C23:N23)=0,"",SUM(C23:N23))</f>
        <v/>
      </c>
      <c r="P23" s="10">
        <f>IF(COUNT(C23:N23)=0,"",ROUND(AVERAGE(C23:N23),1))</f>
        <v/>
      </c>
      <c r="Q23" s="9">
        <f>IF(COUNT(C23:N23)=0,"",MAX(C23:N23))</f>
        <v/>
      </c>
    </row>
    <row r="24">
      <c r="A24" s="7">
        <f>IF(Produits!$A$24="","",Produits!$A$24)</f>
        <v/>
      </c>
      <c r="B24" s="8">
        <f>IF(Produits!$A$24="","",Produits!$C$24)</f>
        <v/>
      </c>
      <c r="C24" s="9">
        <f>IF(N('Janvier'!Q26)=0,"",N('Janvier'!Q26))</f>
        <v/>
      </c>
      <c r="D24" s="9">
        <f>IF(N('Février'!Q26)=0,"",N('Février'!Q26))</f>
        <v/>
      </c>
      <c r="E24" s="9">
        <f>IF(N('Mars'!Q26)=0,"",N('Mars'!Q26))</f>
        <v/>
      </c>
      <c r="F24" s="9">
        <f>IF(N('Avril'!Q26)=0,"",N('Avril'!Q26))</f>
        <v/>
      </c>
      <c r="G24" s="9">
        <f>IF(N('Mai'!Q26)=0,"",N('Mai'!Q26))</f>
        <v/>
      </c>
      <c r="H24" s="9">
        <f>IF(N('Juin'!Q26)=0,"",N('Juin'!Q26))</f>
        <v/>
      </c>
      <c r="I24" s="9">
        <f>IF(N('Juillet'!Q26)=0,"",N('Juillet'!Q26))</f>
        <v/>
      </c>
      <c r="J24" s="9">
        <f>IF(N('Août'!Q26)=0,"",N('Août'!Q26))</f>
        <v/>
      </c>
      <c r="K24" s="9">
        <f>IF(N('Septembre'!Q26)=0,"",N('Septembre'!Q26))</f>
        <v/>
      </c>
      <c r="L24" s="9">
        <f>IF(N('Octobre'!Q26)=0,"",N('Octobre'!Q26))</f>
        <v/>
      </c>
      <c r="M24" s="9">
        <f>IF(N('Novembre'!Q26)=0,"",N('Novembre'!Q26))</f>
        <v/>
      </c>
      <c r="N24" s="9">
        <f>IF(N('Décembre'!Q26)=0,"",N('Décembre'!Q26))</f>
        <v/>
      </c>
      <c r="O24" s="10">
        <f>IF(COUNT(C24:N24)=0,"",SUM(C24:N24))</f>
        <v/>
      </c>
      <c r="P24" s="10">
        <f>IF(COUNT(C24:N24)=0,"",ROUND(AVERAGE(C24:N24),1))</f>
        <v/>
      </c>
      <c r="Q24" s="9">
        <f>IF(COUNT(C24:N24)=0,"",MAX(C24:N24))</f>
        <v/>
      </c>
    </row>
    <row r="25">
      <c r="A25" s="7">
        <f>IF(Produits!$A$25="","",Produits!$A$25)</f>
        <v/>
      </c>
      <c r="B25" s="8">
        <f>IF(Produits!$A$25="","",Produits!$C$25)</f>
        <v/>
      </c>
      <c r="C25" s="9">
        <f>IF(N('Janvier'!Q27)=0,"",N('Janvier'!Q27))</f>
        <v/>
      </c>
      <c r="D25" s="9">
        <f>IF(N('Février'!Q27)=0,"",N('Février'!Q27))</f>
        <v/>
      </c>
      <c r="E25" s="9">
        <f>IF(N('Mars'!Q27)=0,"",N('Mars'!Q27))</f>
        <v/>
      </c>
      <c r="F25" s="9">
        <f>IF(N('Avril'!Q27)=0,"",N('Avril'!Q27))</f>
        <v/>
      </c>
      <c r="G25" s="9">
        <f>IF(N('Mai'!Q27)=0,"",N('Mai'!Q27))</f>
        <v/>
      </c>
      <c r="H25" s="9">
        <f>IF(N('Juin'!Q27)=0,"",N('Juin'!Q27))</f>
        <v/>
      </c>
      <c r="I25" s="9">
        <f>IF(N('Juillet'!Q27)=0,"",N('Juillet'!Q27))</f>
        <v/>
      </c>
      <c r="J25" s="9">
        <f>IF(N('Août'!Q27)=0,"",N('Août'!Q27))</f>
        <v/>
      </c>
      <c r="K25" s="9">
        <f>IF(N('Septembre'!Q27)=0,"",N('Septembre'!Q27))</f>
        <v/>
      </c>
      <c r="L25" s="9">
        <f>IF(N('Octobre'!Q27)=0,"",N('Octobre'!Q27))</f>
        <v/>
      </c>
      <c r="M25" s="9">
        <f>IF(N('Novembre'!Q27)=0,"",N('Novembre'!Q27))</f>
        <v/>
      </c>
      <c r="N25" s="9">
        <f>IF(N('Décembre'!Q27)=0,"",N('Décembre'!Q27))</f>
        <v/>
      </c>
      <c r="O25" s="10">
        <f>IF(COUNT(C25:N25)=0,"",SUM(C25:N25))</f>
        <v/>
      </c>
      <c r="P25" s="10">
        <f>IF(COUNT(C25:N25)=0,"",ROUND(AVERAGE(C25:N25),1))</f>
        <v/>
      </c>
      <c r="Q25" s="9">
        <f>IF(COUNT(C25:N25)=0,"",MAX(C25:N25))</f>
        <v/>
      </c>
    </row>
    <row r="26">
      <c r="A26" s="7">
        <f>IF(Produits!$A$26="","",Produits!$A$26)</f>
        <v/>
      </c>
      <c r="B26" s="8">
        <f>IF(Produits!$A$26="","",Produits!$C$26)</f>
        <v/>
      </c>
      <c r="C26" s="9">
        <f>IF(N('Janvier'!Q28)=0,"",N('Janvier'!Q28))</f>
        <v/>
      </c>
      <c r="D26" s="9">
        <f>IF(N('Février'!Q28)=0,"",N('Février'!Q28))</f>
        <v/>
      </c>
      <c r="E26" s="9">
        <f>IF(N('Mars'!Q28)=0,"",N('Mars'!Q28))</f>
        <v/>
      </c>
      <c r="F26" s="9">
        <f>IF(N('Avril'!Q28)=0,"",N('Avril'!Q28))</f>
        <v/>
      </c>
      <c r="G26" s="9">
        <f>IF(N('Mai'!Q28)=0,"",N('Mai'!Q28))</f>
        <v/>
      </c>
      <c r="H26" s="9">
        <f>IF(N('Juin'!Q28)=0,"",N('Juin'!Q28))</f>
        <v/>
      </c>
      <c r="I26" s="9">
        <f>IF(N('Juillet'!Q28)=0,"",N('Juillet'!Q28))</f>
        <v/>
      </c>
      <c r="J26" s="9">
        <f>IF(N('Août'!Q28)=0,"",N('Août'!Q28))</f>
        <v/>
      </c>
      <c r="K26" s="9">
        <f>IF(N('Septembre'!Q28)=0,"",N('Septembre'!Q28))</f>
        <v/>
      </c>
      <c r="L26" s="9">
        <f>IF(N('Octobre'!Q28)=0,"",N('Octobre'!Q28))</f>
        <v/>
      </c>
      <c r="M26" s="9">
        <f>IF(N('Novembre'!Q28)=0,"",N('Novembre'!Q28))</f>
        <v/>
      </c>
      <c r="N26" s="9">
        <f>IF(N('Décembre'!Q28)=0,"",N('Décembre'!Q28))</f>
        <v/>
      </c>
      <c r="O26" s="10">
        <f>IF(COUNT(C26:N26)=0,"",SUM(C26:N26))</f>
        <v/>
      </c>
      <c r="P26" s="10">
        <f>IF(COUNT(C26:N26)=0,"",ROUND(AVERAGE(C26:N26),1))</f>
        <v/>
      </c>
      <c r="Q26" s="9">
        <f>IF(COUNT(C26:N26)=0,"",MAX(C26:N26))</f>
        <v/>
      </c>
    </row>
    <row r="27">
      <c r="A27" s="7">
        <f>IF(Produits!$A$27="","",Produits!$A$27)</f>
        <v/>
      </c>
      <c r="B27" s="8">
        <f>IF(Produits!$A$27="","",Produits!$C$27)</f>
        <v/>
      </c>
      <c r="C27" s="9">
        <f>IF(N('Janvier'!Q29)=0,"",N('Janvier'!Q29))</f>
        <v/>
      </c>
      <c r="D27" s="9">
        <f>IF(N('Février'!Q29)=0,"",N('Février'!Q29))</f>
        <v/>
      </c>
      <c r="E27" s="9">
        <f>IF(N('Mars'!Q29)=0,"",N('Mars'!Q29))</f>
        <v/>
      </c>
      <c r="F27" s="9">
        <f>IF(N('Avril'!Q29)=0,"",N('Avril'!Q29))</f>
        <v/>
      </c>
      <c r="G27" s="9">
        <f>IF(N('Mai'!Q29)=0,"",N('Mai'!Q29))</f>
        <v/>
      </c>
      <c r="H27" s="9">
        <f>IF(N('Juin'!Q29)=0,"",N('Juin'!Q29))</f>
        <v/>
      </c>
      <c r="I27" s="9">
        <f>IF(N('Juillet'!Q29)=0,"",N('Juillet'!Q29))</f>
        <v/>
      </c>
      <c r="J27" s="9">
        <f>IF(N('Août'!Q29)=0,"",N('Août'!Q29))</f>
        <v/>
      </c>
      <c r="K27" s="9">
        <f>IF(N('Septembre'!Q29)=0,"",N('Septembre'!Q29))</f>
        <v/>
      </c>
      <c r="L27" s="9">
        <f>IF(N('Octobre'!Q29)=0,"",N('Octobre'!Q29))</f>
        <v/>
      </c>
      <c r="M27" s="9">
        <f>IF(N('Novembre'!Q29)=0,"",N('Novembre'!Q29))</f>
        <v/>
      </c>
      <c r="N27" s="9">
        <f>IF(N('Décembre'!Q29)=0,"",N('Décembre'!Q29))</f>
        <v/>
      </c>
      <c r="O27" s="10">
        <f>IF(COUNT(C27:N27)=0,"",SUM(C27:N27))</f>
        <v/>
      </c>
      <c r="P27" s="10">
        <f>IF(COUNT(C27:N27)=0,"",ROUND(AVERAGE(C27:N27),1))</f>
        <v/>
      </c>
      <c r="Q27" s="9">
        <f>IF(COUNT(C27:N27)=0,"",MAX(C27:N27))</f>
        <v/>
      </c>
    </row>
    <row r="28">
      <c r="A28" s="7">
        <f>IF(Produits!$A$28="","",Produits!$A$28)</f>
        <v/>
      </c>
      <c r="B28" s="8">
        <f>IF(Produits!$A$28="","",Produits!$C$28)</f>
        <v/>
      </c>
      <c r="C28" s="9">
        <f>IF(N('Janvier'!Q30)=0,"",N('Janvier'!Q30))</f>
        <v/>
      </c>
      <c r="D28" s="9">
        <f>IF(N('Février'!Q30)=0,"",N('Février'!Q30))</f>
        <v/>
      </c>
      <c r="E28" s="9">
        <f>IF(N('Mars'!Q30)=0,"",N('Mars'!Q30))</f>
        <v/>
      </c>
      <c r="F28" s="9">
        <f>IF(N('Avril'!Q30)=0,"",N('Avril'!Q30))</f>
        <v/>
      </c>
      <c r="G28" s="9">
        <f>IF(N('Mai'!Q30)=0,"",N('Mai'!Q30))</f>
        <v/>
      </c>
      <c r="H28" s="9">
        <f>IF(N('Juin'!Q30)=0,"",N('Juin'!Q30))</f>
        <v/>
      </c>
      <c r="I28" s="9">
        <f>IF(N('Juillet'!Q30)=0,"",N('Juillet'!Q30))</f>
        <v/>
      </c>
      <c r="J28" s="9">
        <f>IF(N('Août'!Q30)=0,"",N('Août'!Q30))</f>
        <v/>
      </c>
      <c r="K28" s="9">
        <f>IF(N('Septembre'!Q30)=0,"",N('Septembre'!Q30))</f>
        <v/>
      </c>
      <c r="L28" s="9">
        <f>IF(N('Octobre'!Q30)=0,"",N('Octobre'!Q30))</f>
        <v/>
      </c>
      <c r="M28" s="9">
        <f>IF(N('Novembre'!Q30)=0,"",N('Novembre'!Q30))</f>
        <v/>
      </c>
      <c r="N28" s="9">
        <f>IF(N('Décembre'!Q30)=0,"",N('Décembre'!Q30))</f>
        <v/>
      </c>
      <c r="O28" s="10">
        <f>IF(COUNT(C28:N28)=0,"",SUM(C28:N28))</f>
        <v/>
      </c>
      <c r="P28" s="10">
        <f>IF(COUNT(C28:N28)=0,"",ROUND(AVERAGE(C28:N28),1))</f>
        <v/>
      </c>
      <c r="Q28" s="9">
        <f>IF(COUNT(C28:N28)=0,"",MAX(C28:N28))</f>
        <v/>
      </c>
    </row>
    <row r="29">
      <c r="A29" s="7">
        <f>IF(Produits!$A$29="","",Produits!$A$29)</f>
        <v/>
      </c>
      <c r="B29" s="8">
        <f>IF(Produits!$A$29="","",Produits!$C$29)</f>
        <v/>
      </c>
      <c r="C29" s="9">
        <f>IF(N('Janvier'!Q31)=0,"",N('Janvier'!Q31))</f>
        <v/>
      </c>
      <c r="D29" s="9">
        <f>IF(N('Février'!Q31)=0,"",N('Février'!Q31))</f>
        <v/>
      </c>
      <c r="E29" s="9">
        <f>IF(N('Mars'!Q31)=0,"",N('Mars'!Q31))</f>
        <v/>
      </c>
      <c r="F29" s="9">
        <f>IF(N('Avril'!Q31)=0,"",N('Avril'!Q31))</f>
        <v/>
      </c>
      <c r="G29" s="9">
        <f>IF(N('Mai'!Q31)=0,"",N('Mai'!Q31))</f>
        <v/>
      </c>
      <c r="H29" s="9">
        <f>IF(N('Juin'!Q31)=0,"",N('Juin'!Q31))</f>
        <v/>
      </c>
      <c r="I29" s="9">
        <f>IF(N('Juillet'!Q31)=0,"",N('Juillet'!Q31))</f>
        <v/>
      </c>
      <c r="J29" s="9">
        <f>IF(N('Août'!Q31)=0,"",N('Août'!Q31))</f>
        <v/>
      </c>
      <c r="K29" s="9">
        <f>IF(N('Septembre'!Q31)=0,"",N('Septembre'!Q31))</f>
        <v/>
      </c>
      <c r="L29" s="9">
        <f>IF(N('Octobre'!Q31)=0,"",N('Octobre'!Q31))</f>
        <v/>
      </c>
      <c r="M29" s="9">
        <f>IF(N('Novembre'!Q31)=0,"",N('Novembre'!Q31))</f>
        <v/>
      </c>
      <c r="N29" s="9">
        <f>IF(N('Décembre'!Q31)=0,"",N('Décembre'!Q31))</f>
        <v/>
      </c>
      <c r="O29" s="10">
        <f>IF(COUNT(C29:N29)=0,"",SUM(C29:N29))</f>
        <v/>
      </c>
      <c r="P29" s="10">
        <f>IF(COUNT(C29:N29)=0,"",ROUND(AVERAGE(C29:N29),1))</f>
        <v/>
      </c>
      <c r="Q29" s="9">
        <f>IF(COUNT(C29:N29)=0,"",MAX(C29:N29))</f>
        <v/>
      </c>
    </row>
    <row r="30">
      <c r="A30" s="7">
        <f>IF(Produits!$A$30="","",Produits!$A$30)</f>
        <v/>
      </c>
      <c r="B30" s="8">
        <f>IF(Produits!$A$30="","",Produits!$C$30)</f>
        <v/>
      </c>
      <c r="C30" s="9">
        <f>IF(N('Janvier'!Q32)=0,"",N('Janvier'!Q32))</f>
        <v/>
      </c>
      <c r="D30" s="9">
        <f>IF(N('Février'!Q32)=0,"",N('Février'!Q32))</f>
        <v/>
      </c>
      <c r="E30" s="9">
        <f>IF(N('Mars'!Q32)=0,"",N('Mars'!Q32))</f>
        <v/>
      </c>
      <c r="F30" s="9">
        <f>IF(N('Avril'!Q32)=0,"",N('Avril'!Q32))</f>
        <v/>
      </c>
      <c r="G30" s="9">
        <f>IF(N('Mai'!Q32)=0,"",N('Mai'!Q32))</f>
        <v/>
      </c>
      <c r="H30" s="9">
        <f>IF(N('Juin'!Q32)=0,"",N('Juin'!Q32))</f>
        <v/>
      </c>
      <c r="I30" s="9">
        <f>IF(N('Juillet'!Q32)=0,"",N('Juillet'!Q32))</f>
        <v/>
      </c>
      <c r="J30" s="9">
        <f>IF(N('Août'!Q32)=0,"",N('Août'!Q32))</f>
        <v/>
      </c>
      <c r="K30" s="9">
        <f>IF(N('Septembre'!Q32)=0,"",N('Septembre'!Q32))</f>
        <v/>
      </c>
      <c r="L30" s="9">
        <f>IF(N('Octobre'!Q32)=0,"",N('Octobre'!Q32))</f>
        <v/>
      </c>
      <c r="M30" s="9">
        <f>IF(N('Novembre'!Q32)=0,"",N('Novembre'!Q32))</f>
        <v/>
      </c>
      <c r="N30" s="9">
        <f>IF(N('Décembre'!Q32)=0,"",N('Décembre'!Q32))</f>
        <v/>
      </c>
      <c r="O30" s="10">
        <f>IF(COUNT(C30:N30)=0,"",SUM(C30:N30))</f>
        <v/>
      </c>
      <c r="P30" s="10">
        <f>IF(COUNT(C30:N30)=0,"",ROUND(AVERAGE(C30:N30),1))</f>
        <v/>
      </c>
      <c r="Q30" s="9">
        <f>IF(COUNT(C30:N30)=0,"",MAX(C30:N30))</f>
        <v/>
      </c>
    </row>
    <row r="31">
      <c r="A31" s="7">
        <f>IF(Produits!$A$31="","",Produits!$A$31)</f>
        <v/>
      </c>
      <c r="B31" s="8">
        <f>IF(Produits!$A$31="","",Produits!$C$31)</f>
        <v/>
      </c>
      <c r="C31" s="9">
        <f>IF(N('Janvier'!Q33)=0,"",N('Janvier'!Q33))</f>
        <v/>
      </c>
      <c r="D31" s="9">
        <f>IF(N('Février'!Q33)=0,"",N('Février'!Q33))</f>
        <v/>
      </c>
      <c r="E31" s="9">
        <f>IF(N('Mars'!Q33)=0,"",N('Mars'!Q33))</f>
        <v/>
      </c>
      <c r="F31" s="9">
        <f>IF(N('Avril'!Q33)=0,"",N('Avril'!Q33))</f>
        <v/>
      </c>
      <c r="G31" s="9">
        <f>IF(N('Mai'!Q33)=0,"",N('Mai'!Q33))</f>
        <v/>
      </c>
      <c r="H31" s="9">
        <f>IF(N('Juin'!Q33)=0,"",N('Juin'!Q33))</f>
        <v/>
      </c>
      <c r="I31" s="9">
        <f>IF(N('Juillet'!Q33)=0,"",N('Juillet'!Q33))</f>
        <v/>
      </c>
      <c r="J31" s="9">
        <f>IF(N('Août'!Q33)=0,"",N('Août'!Q33))</f>
        <v/>
      </c>
      <c r="K31" s="9">
        <f>IF(N('Septembre'!Q33)=0,"",N('Septembre'!Q33))</f>
        <v/>
      </c>
      <c r="L31" s="9">
        <f>IF(N('Octobre'!Q33)=0,"",N('Octobre'!Q33))</f>
        <v/>
      </c>
      <c r="M31" s="9">
        <f>IF(N('Novembre'!Q33)=0,"",N('Novembre'!Q33))</f>
        <v/>
      </c>
      <c r="N31" s="9">
        <f>IF(N('Décembre'!Q33)=0,"",N('Décembre'!Q33))</f>
        <v/>
      </c>
      <c r="O31" s="10">
        <f>IF(COUNT(C31:N31)=0,"",SUM(C31:N31))</f>
        <v/>
      </c>
      <c r="P31" s="10">
        <f>IF(COUNT(C31:N31)=0,"",ROUND(AVERAGE(C31:N31),1))</f>
        <v/>
      </c>
      <c r="Q31" s="9">
        <f>IF(COUNT(C31:N31)=0,"",MAX(C31:N31))</f>
        <v/>
      </c>
    </row>
    <row r="32">
      <c r="A32" s="7">
        <f>IF(Produits!$A$32="","",Produits!$A$32)</f>
        <v/>
      </c>
      <c r="B32" s="8">
        <f>IF(Produits!$A$32="","",Produits!$C$32)</f>
        <v/>
      </c>
      <c r="C32" s="9">
        <f>IF(N('Janvier'!Q34)=0,"",N('Janvier'!Q34))</f>
        <v/>
      </c>
      <c r="D32" s="9">
        <f>IF(N('Février'!Q34)=0,"",N('Février'!Q34))</f>
        <v/>
      </c>
      <c r="E32" s="9">
        <f>IF(N('Mars'!Q34)=0,"",N('Mars'!Q34))</f>
        <v/>
      </c>
      <c r="F32" s="9">
        <f>IF(N('Avril'!Q34)=0,"",N('Avril'!Q34))</f>
        <v/>
      </c>
      <c r="G32" s="9">
        <f>IF(N('Mai'!Q34)=0,"",N('Mai'!Q34))</f>
        <v/>
      </c>
      <c r="H32" s="9">
        <f>IF(N('Juin'!Q34)=0,"",N('Juin'!Q34))</f>
        <v/>
      </c>
      <c r="I32" s="9">
        <f>IF(N('Juillet'!Q34)=0,"",N('Juillet'!Q34))</f>
        <v/>
      </c>
      <c r="J32" s="9">
        <f>IF(N('Août'!Q34)=0,"",N('Août'!Q34))</f>
        <v/>
      </c>
      <c r="K32" s="9">
        <f>IF(N('Septembre'!Q34)=0,"",N('Septembre'!Q34))</f>
        <v/>
      </c>
      <c r="L32" s="9">
        <f>IF(N('Octobre'!Q34)=0,"",N('Octobre'!Q34))</f>
        <v/>
      </c>
      <c r="M32" s="9">
        <f>IF(N('Novembre'!Q34)=0,"",N('Novembre'!Q34))</f>
        <v/>
      </c>
      <c r="N32" s="9">
        <f>IF(N('Décembre'!Q34)=0,"",N('Décembre'!Q34))</f>
        <v/>
      </c>
      <c r="O32" s="10">
        <f>IF(COUNT(C32:N32)=0,"",SUM(C32:N32))</f>
        <v/>
      </c>
      <c r="P32" s="10">
        <f>IF(COUNT(C32:N32)=0,"",ROUND(AVERAGE(C32:N32),1))</f>
        <v/>
      </c>
      <c r="Q32" s="9">
        <f>IF(COUNT(C32:N32)=0,"",MAX(C32:N32))</f>
        <v/>
      </c>
    </row>
    <row r="33">
      <c r="A33" s="7">
        <f>IF(Produits!$A$33="","",Produits!$A$33)</f>
        <v/>
      </c>
      <c r="B33" s="8">
        <f>IF(Produits!$A$33="","",Produits!$C$33)</f>
        <v/>
      </c>
      <c r="C33" s="9">
        <f>IF(N('Janvier'!Q35)=0,"",N('Janvier'!Q35))</f>
        <v/>
      </c>
      <c r="D33" s="9">
        <f>IF(N('Février'!Q35)=0,"",N('Février'!Q35))</f>
        <v/>
      </c>
      <c r="E33" s="9">
        <f>IF(N('Mars'!Q35)=0,"",N('Mars'!Q35))</f>
        <v/>
      </c>
      <c r="F33" s="9">
        <f>IF(N('Avril'!Q35)=0,"",N('Avril'!Q35))</f>
        <v/>
      </c>
      <c r="G33" s="9">
        <f>IF(N('Mai'!Q35)=0,"",N('Mai'!Q35))</f>
        <v/>
      </c>
      <c r="H33" s="9">
        <f>IF(N('Juin'!Q35)=0,"",N('Juin'!Q35))</f>
        <v/>
      </c>
      <c r="I33" s="9">
        <f>IF(N('Juillet'!Q35)=0,"",N('Juillet'!Q35))</f>
        <v/>
      </c>
      <c r="J33" s="9">
        <f>IF(N('Août'!Q35)=0,"",N('Août'!Q35))</f>
        <v/>
      </c>
      <c r="K33" s="9">
        <f>IF(N('Septembre'!Q35)=0,"",N('Septembre'!Q35))</f>
        <v/>
      </c>
      <c r="L33" s="9">
        <f>IF(N('Octobre'!Q35)=0,"",N('Octobre'!Q35))</f>
        <v/>
      </c>
      <c r="M33" s="9">
        <f>IF(N('Novembre'!Q35)=0,"",N('Novembre'!Q35))</f>
        <v/>
      </c>
      <c r="N33" s="9">
        <f>IF(N('Décembre'!Q35)=0,"",N('Décembre'!Q35))</f>
        <v/>
      </c>
      <c r="O33" s="10">
        <f>IF(COUNT(C33:N33)=0,"",SUM(C33:N33))</f>
        <v/>
      </c>
      <c r="P33" s="10">
        <f>IF(COUNT(C33:N33)=0,"",ROUND(AVERAGE(C33:N33),1))</f>
        <v/>
      </c>
      <c r="Q33" s="9">
        <f>IF(COUNT(C33:N33)=0,"",MAX(C33:N33))</f>
        <v/>
      </c>
    </row>
    <row r="34">
      <c r="A34" s="7">
        <f>IF(Produits!$A$34="","",Produits!$A$34)</f>
        <v/>
      </c>
      <c r="B34" s="8">
        <f>IF(Produits!$A$34="","",Produits!$C$34)</f>
        <v/>
      </c>
      <c r="C34" s="9">
        <f>IF(N('Janvier'!Q36)=0,"",N('Janvier'!Q36))</f>
        <v/>
      </c>
      <c r="D34" s="9">
        <f>IF(N('Février'!Q36)=0,"",N('Février'!Q36))</f>
        <v/>
      </c>
      <c r="E34" s="9">
        <f>IF(N('Mars'!Q36)=0,"",N('Mars'!Q36))</f>
        <v/>
      </c>
      <c r="F34" s="9">
        <f>IF(N('Avril'!Q36)=0,"",N('Avril'!Q36))</f>
        <v/>
      </c>
      <c r="G34" s="9">
        <f>IF(N('Mai'!Q36)=0,"",N('Mai'!Q36))</f>
        <v/>
      </c>
      <c r="H34" s="9">
        <f>IF(N('Juin'!Q36)=0,"",N('Juin'!Q36))</f>
        <v/>
      </c>
      <c r="I34" s="9">
        <f>IF(N('Juillet'!Q36)=0,"",N('Juillet'!Q36))</f>
        <v/>
      </c>
      <c r="J34" s="9">
        <f>IF(N('Août'!Q36)=0,"",N('Août'!Q36))</f>
        <v/>
      </c>
      <c r="K34" s="9">
        <f>IF(N('Septembre'!Q36)=0,"",N('Septembre'!Q36))</f>
        <v/>
      </c>
      <c r="L34" s="9">
        <f>IF(N('Octobre'!Q36)=0,"",N('Octobre'!Q36))</f>
        <v/>
      </c>
      <c r="M34" s="9">
        <f>IF(N('Novembre'!Q36)=0,"",N('Novembre'!Q36))</f>
        <v/>
      </c>
      <c r="N34" s="9">
        <f>IF(N('Décembre'!Q36)=0,"",N('Décembre'!Q36))</f>
        <v/>
      </c>
      <c r="O34" s="10">
        <f>IF(COUNT(C34:N34)=0,"",SUM(C34:N34))</f>
        <v/>
      </c>
      <c r="P34" s="10">
        <f>IF(COUNT(C34:N34)=0,"",ROUND(AVERAGE(C34:N34),1))</f>
        <v/>
      </c>
      <c r="Q34" s="9">
        <f>IF(COUNT(C34:N34)=0,"",MAX(C34:N34))</f>
        <v/>
      </c>
    </row>
    <row r="35">
      <c r="A35" s="7">
        <f>IF(Produits!$A$35="","",Produits!$A$35)</f>
        <v/>
      </c>
      <c r="B35" s="8">
        <f>IF(Produits!$A$35="","",Produits!$C$35)</f>
        <v/>
      </c>
      <c r="C35" s="9">
        <f>IF(N('Janvier'!Q37)=0,"",N('Janvier'!Q37))</f>
        <v/>
      </c>
      <c r="D35" s="9">
        <f>IF(N('Février'!Q37)=0,"",N('Février'!Q37))</f>
        <v/>
      </c>
      <c r="E35" s="9">
        <f>IF(N('Mars'!Q37)=0,"",N('Mars'!Q37))</f>
        <v/>
      </c>
      <c r="F35" s="9">
        <f>IF(N('Avril'!Q37)=0,"",N('Avril'!Q37))</f>
        <v/>
      </c>
      <c r="G35" s="9">
        <f>IF(N('Mai'!Q37)=0,"",N('Mai'!Q37))</f>
        <v/>
      </c>
      <c r="H35" s="9">
        <f>IF(N('Juin'!Q37)=0,"",N('Juin'!Q37))</f>
        <v/>
      </c>
      <c r="I35" s="9">
        <f>IF(N('Juillet'!Q37)=0,"",N('Juillet'!Q37))</f>
        <v/>
      </c>
      <c r="J35" s="9">
        <f>IF(N('Août'!Q37)=0,"",N('Août'!Q37))</f>
        <v/>
      </c>
      <c r="K35" s="9">
        <f>IF(N('Septembre'!Q37)=0,"",N('Septembre'!Q37))</f>
        <v/>
      </c>
      <c r="L35" s="9">
        <f>IF(N('Octobre'!Q37)=0,"",N('Octobre'!Q37))</f>
        <v/>
      </c>
      <c r="M35" s="9">
        <f>IF(N('Novembre'!Q37)=0,"",N('Novembre'!Q37))</f>
        <v/>
      </c>
      <c r="N35" s="9">
        <f>IF(N('Décembre'!Q37)=0,"",N('Décembre'!Q37))</f>
        <v/>
      </c>
      <c r="O35" s="10">
        <f>IF(COUNT(C35:N35)=0,"",SUM(C35:N35))</f>
        <v/>
      </c>
      <c r="P35" s="10">
        <f>IF(COUNT(C35:N35)=0,"",ROUND(AVERAGE(C35:N35),1))</f>
        <v/>
      </c>
      <c r="Q35" s="9">
        <f>IF(COUNT(C35:N35)=0,"",MAX(C35:N35))</f>
        <v/>
      </c>
    </row>
    <row r="36">
      <c r="A36" s="7">
        <f>IF(Produits!$A$36="","",Produits!$A$36)</f>
        <v/>
      </c>
      <c r="B36" s="8">
        <f>IF(Produits!$A$36="","",Produits!$C$36)</f>
        <v/>
      </c>
      <c r="C36" s="9">
        <f>IF(N('Janvier'!Q38)=0,"",N('Janvier'!Q38))</f>
        <v/>
      </c>
      <c r="D36" s="9">
        <f>IF(N('Février'!Q38)=0,"",N('Février'!Q38))</f>
        <v/>
      </c>
      <c r="E36" s="9">
        <f>IF(N('Mars'!Q38)=0,"",N('Mars'!Q38))</f>
        <v/>
      </c>
      <c r="F36" s="9">
        <f>IF(N('Avril'!Q38)=0,"",N('Avril'!Q38))</f>
        <v/>
      </c>
      <c r="G36" s="9">
        <f>IF(N('Mai'!Q38)=0,"",N('Mai'!Q38))</f>
        <v/>
      </c>
      <c r="H36" s="9">
        <f>IF(N('Juin'!Q38)=0,"",N('Juin'!Q38))</f>
        <v/>
      </c>
      <c r="I36" s="9">
        <f>IF(N('Juillet'!Q38)=0,"",N('Juillet'!Q38))</f>
        <v/>
      </c>
      <c r="J36" s="9">
        <f>IF(N('Août'!Q38)=0,"",N('Août'!Q38))</f>
        <v/>
      </c>
      <c r="K36" s="9">
        <f>IF(N('Septembre'!Q38)=0,"",N('Septembre'!Q38))</f>
        <v/>
      </c>
      <c r="L36" s="9">
        <f>IF(N('Octobre'!Q38)=0,"",N('Octobre'!Q38))</f>
        <v/>
      </c>
      <c r="M36" s="9">
        <f>IF(N('Novembre'!Q38)=0,"",N('Novembre'!Q38))</f>
        <v/>
      </c>
      <c r="N36" s="9">
        <f>IF(N('Décembre'!Q38)=0,"",N('Décembre'!Q38))</f>
        <v/>
      </c>
      <c r="O36" s="10">
        <f>IF(COUNT(C36:N36)=0,"",SUM(C36:N36))</f>
        <v/>
      </c>
      <c r="P36" s="10">
        <f>IF(COUNT(C36:N36)=0,"",ROUND(AVERAGE(C36:N36),1))</f>
        <v/>
      </c>
      <c r="Q36" s="9">
        <f>IF(COUNT(C36:N36)=0,"",MAX(C36:N36))</f>
        <v/>
      </c>
    </row>
    <row r="37">
      <c r="A37" s="7">
        <f>IF(Produits!$A$37="","",Produits!$A$37)</f>
        <v/>
      </c>
      <c r="B37" s="8">
        <f>IF(Produits!$A$37="","",Produits!$C$37)</f>
        <v/>
      </c>
      <c r="C37" s="9">
        <f>IF(N('Janvier'!Q39)=0,"",N('Janvier'!Q39))</f>
        <v/>
      </c>
      <c r="D37" s="9">
        <f>IF(N('Février'!Q39)=0,"",N('Février'!Q39))</f>
        <v/>
      </c>
      <c r="E37" s="9">
        <f>IF(N('Mars'!Q39)=0,"",N('Mars'!Q39))</f>
        <v/>
      </c>
      <c r="F37" s="9">
        <f>IF(N('Avril'!Q39)=0,"",N('Avril'!Q39))</f>
        <v/>
      </c>
      <c r="G37" s="9">
        <f>IF(N('Mai'!Q39)=0,"",N('Mai'!Q39))</f>
        <v/>
      </c>
      <c r="H37" s="9">
        <f>IF(N('Juin'!Q39)=0,"",N('Juin'!Q39))</f>
        <v/>
      </c>
      <c r="I37" s="9">
        <f>IF(N('Juillet'!Q39)=0,"",N('Juillet'!Q39))</f>
        <v/>
      </c>
      <c r="J37" s="9">
        <f>IF(N('Août'!Q39)=0,"",N('Août'!Q39))</f>
        <v/>
      </c>
      <c r="K37" s="9">
        <f>IF(N('Septembre'!Q39)=0,"",N('Septembre'!Q39))</f>
        <v/>
      </c>
      <c r="L37" s="9">
        <f>IF(N('Octobre'!Q39)=0,"",N('Octobre'!Q39))</f>
        <v/>
      </c>
      <c r="M37" s="9">
        <f>IF(N('Novembre'!Q39)=0,"",N('Novembre'!Q39))</f>
        <v/>
      </c>
      <c r="N37" s="9">
        <f>IF(N('Décembre'!Q39)=0,"",N('Décembre'!Q39))</f>
        <v/>
      </c>
      <c r="O37" s="10">
        <f>IF(COUNT(C37:N37)=0,"",SUM(C37:N37))</f>
        <v/>
      </c>
      <c r="P37" s="10">
        <f>IF(COUNT(C37:N37)=0,"",ROUND(AVERAGE(C37:N37),1))</f>
        <v/>
      </c>
      <c r="Q37" s="9">
        <f>IF(COUNT(C37:N37)=0,"",MAX(C37:N37))</f>
        <v/>
      </c>
    </row>
    <row r="38">
      <c r="A38" s="7">
        <f>IF(Produits!$A$38="","",Produits!$A$38)</f>
        <v/>
      </c>
      <c r="B38" s="8">
        <f>IF(Produits!$A$38="","",Produits!$C$38)</f>
        <v/>
      </c>
      <c r="C38" s="9">
        <f>IF(N('Janvier'!Q40)=0,"",N('Janvier'!Q40))</f>
        <v/>
      </c>
      <c r="D38" s="9">
        <f>IF(N('Février'!Q40)=0,"",N('Février'!Q40))</f>
        <v/>
      </c>
      <c r="E38" s="9">
        <f>IF(N('Mars'!Q40)=0,"",N('Mars'!Q40))</f>
        <v/>
      </c>
      <c r="F38" s="9">
        <f>IF(N('Avril'!Q40)=0,"",N('Avril'!Q40))</f>
        <v/>
      </c>
      <c r="G38" s="9">
        <f>IF(N('Mai'!Q40)=0,"",N('Mai'!Q40))</f>
        <v/>
      </c>
      <c r="H38" s="9">
        <f>IF(N('Juin'!Q40)=0,"",N('Juin'!Q40))</f>
        <v/>
      </c>
      <c r="I38" s="9">
        <f>IF(N('Juillet'!Q40)=0,"",N('Juillet'!Q40))</f>
        <v/>
      </c>
      <c r="J38" s="9">
        <f>IF(N('Août'!Q40)=0,"",N('Août'!Q40))</f>
        <v/>
      </c>
      <c r="K38" s="9">
        <f>IF(N('Septembre'!Q40)=0,"",N('Septembre'!Q40))</f>
        <v/>
      </c>
      <c r="L38" s="9">
        <f>IF(N('Octobre'!Q40)=0,"",N('Octobre'!Q40))</f>
        <v/>
      </c>
      <c r="M38" s="9">
        <f>IF(N('Novembre'!Q40)=0,"",N('Novembre'!Q40))</f>
        <v/>
      </c>
      <c r="N38" s="9">
        <f>IF(N('Décembre'!Q40)=0,"",N('Décembre'!Q40))</f>
        <v/>
      </c>
      <c r="O38" s="10">
        <f>IF(COUNT(C38:N38)=0,"",SUM(C38:N38))</f>
        <v/>
      </c>
      <c r="P38" s="10">
        <f>IF(COUNT(C38:N38)=0,"",ROUND(AVERAGE(C38:N38),1))</f>
        <v/>
      </c>
      <c r="Q38" s="9">
        <f>IF(COUNT(C38:N38)=0,"",MAX(C38:N38))</f>
        <v/>
      </c>
    </row>
    <row r="39">
      <c r="A39" s="7">
        <f>IF(Produits!$A$39="","",Produits!$A$39)</f>
        <v/>
      </c>
      <c r="B39" s="8">
        <f>IF(Produits!$A$39="","",Produits!$C$39)</f>
        <v/>
      </c>
      <c r="C39" s="9">
        <f>IF(N('Janvier'!Q41)=0,"",N('Janvier'!Q41))</f>
        <v/>
      </c>
      <c r="D39" s="9">
        <f>IF(N('Février'!Q41)=0,"",N('Février'!Q41))</f>
        <v/>
      </c>
      <c r="E39" s="9">
        <f>IF(N('Mars'!Q41)=0,"",N('Mars'!Q41))</f>
        <v/>
      </c>
      <c r="F39" s="9">
        <f>IF(N('Avril'!Q41)=0,"",N('Avril'!Q41))</f>
        <v/>
      </c>
      <c r="G39" s="9">
        <f>IF(N('Mai'!Q41)=0,"",N('Mai'!Q41))</f>
        <v/>
      </c>
      <c r="H39" s="9">
        <f>IF(N('Juin'!Q41)=0,"",N('Juin'!Q41))</f>
        <v/>
      </c>
      <c r="I39" s="9">
        <f>IF(N('Juillet'!Q41)=0,"",N('Juillet'!Q41))</f>
        <v/>
      </c>
      <c r="J39" s="9">
        <f>IF(N('Août'!Q41)=0,"",N('Août'!Q41))</f>
        <v/>
      </c>
      <c r="K39" s="9">
        <f>IF(N('Septembre'!Q41)=0,"",N('Septembre'!Q41))</f>
        <v/>
      </c>
      <c r="L39" s="9">
        <f>IF(N('Octobre'!Q41)=0,"",N('Octobre'!Q41))</f>
        <v/>
      </c>
      <c r="M39" s="9">
        <f>IF(N('Novembre'!Q41)=0,"",N('Novembre'!Q41))</f>
        <v/>
      </c>
      <c r="N39" s="9">
        <f>IF(N('Décembre'!Q41)=0,"",N('Décembre'!Q41))</f>
        <v/>
      </c>
      <c r="O39" s="10">
        <f>IF(COUNT(C39:N39)=0,"",SUM(C39:N39))</f>
        <v/>
      </c>
      <c r="P39" s="10">
        <f>IF(COUNT(C39:N39)=0,"",ROUND(AVERAGE(C39:N39),1))</f>
        <v/>
      </c>
      <c r="Q39" s="9">
        <f>IF(COUNT(C39:N39)=0,"",MAX(C39:N39))</f>
        <v/>
      </c>
    </row>
    <row r="40">
      <c r="A40" s="7">
        <f>IF(Produits!$A$40="","",Produits!$A$40)</f>
        <v/>
      </c>
      <c r="B40" s="8">
        <f>IF(Produits!$A$40="","",Produits!$C$40)</f>
        <v/>
      </c>
      <c r="C40" s="9">
        <f>IF(N('Janvier'!Q42)=0,"",N('Janvier'!Q42))</f>
        <v/>
      </c>
      <c r="D40" s="9">
        <f>IF(N('Février'!Q42)=0,"",N('Février'!Q42))</f>
        <v/>
      </c>
      <c r="E40" s="9">
        <f>IF(N('Mars'!Q42)=0,"",N('Mars'!Q42))</f>
        <v/>
      </c>
      <c r="F40" s="9">
        <f>IF(N('Avril'!Q42)=0,"",N('Avril'!Q42))</f>
        <v/>
      </c>
      <c r="G40" s="9">
        <f>IF(N('Mai'!Q42)=0,"",N('Mai'!Q42))</f>
        <v/>
      </c>
      <c r="H40" s="9">
        <f>IF(N('Juin'!Q42)=0,"",N('Juin'!Q42))</f>
        <v/>
      </c>
      <c r="I40" s="9">
        <f>IF(N('Juillet'!Q42)=0,"",N('Juillet'!Q42))</f>
        <v/>
      </c>
      <c r="J40" s="9">
        <f>IF(N('Août'!Q42)=0,"",N('Août'!Q42))</f>
        <v/>
      </c>
      <c r="K40" s="9">
        <f>IF(N('Septembre'!Q42)=0,"",N('Septembre'!Q42))</f>
        <v/>
      </c>
      <c r="L40" s="9">
        <f>IF(N('Octobre'!Q42)=0,"",N('Octobre'!Q42))</f>
        <v/>
      </c>
      <c r="M40" s="9">
        <f>IF(N('Novembre'!Q42)=0,"",N('Novembre'!Q42))</f>
        <v/>
      </c>
      <c r="N40" s="9">
        <f>IF(N('Décembre'!Q42)=0,"",N('Décembre'!Q42))</f>
        <v/>
      </c>
      <c r="O40" s="10">
        <f>IF(COUNT(C40:N40)=0,"",SUM(C40:N40))</f>
        <v/>
      </c>
      <c r="P40" s="10">
        <f>IF(COUNT(C40:N40)=0,"",ROUND(AVERAGE(C40:N40),1))</f>
        <v/>
      </c>
      <c r="Q40" s="9">
        <f>IF(COUNT(C40:N40)=0,"",MAX(C40:N40))</f>
        <v/>
      </c>
    </row>
    <row r="41">
      <c r="A41" s="7">
        <f>IF(Produits!$A$41="","",Produits!$A$41)</f>
        <v/>
      </c>
      <c r="B41" s="8">
        <f>IF(Produits!$A$41="","",Produits!$C$41)</f>
        <v/>
      </c>
      <c r="C41" s="9">
        <f>IF(N('Janvier'!Q43)=0,"",N('Janvier'!Q43))</f>
        <v/>
      </c>
      <c r="D41" s="9">
        <f>IF(N('Février'!Q43)=0,"",N('Février'!Q43))</f>
        <v/>
      </c>
      <c r="E41" s="9">
        <f>IF(N('Mars'!Q43)=0,"",N('Mars'!Q43))</f>
        <v/>
      </c>
      <c r="F41" s="9">
        <f>IF(N('Avril'!Q43)=0,"",N('Avril'!Q43))</f>
        <v/>
      </c>
      <c r="G41" s="9">
        <f>IF(N('Mai'!Q43)=0,"",N('Mai'!Q43))</f>
        <v/>
      </c>
      <c r="H41" s="9">
        <f>IF(N('Juin'!Q43)=0,"",N('Juin'!Q43))</f>
        <v/>
      </c>
      <c r="I41" s="9">
        <f>IF(N('Juillet'!Q43)=0,"",N('Juillet'!Q43))</f>
        <v/>
      </c>
      <c r="J41" s="9">
        <f>IF(N('Août'!Q43)=0,"",N('Août'!Q43))</f>
        <v/>
      </c>
      <c r="K41" s="9">
        <f>IF(N('Septembre'!Q43)=0,"",N('Septembre'!Q43))</f>
        <v/>
      </c>
      <c r="L41" s="9">
        <f>IF(N('Octobre'!Q43)=0,"",N('Octobre'!Q43))</f>
        <v/>
      </c>
      <c r="M41" s="9">
        <f>IF(N('Novembre'!Q43)=0,"",N('Novembre'!Q43))</f>
        <v/>
      </c>
      <c r="N41" s="9">
        <f>IF(N('Décembre'!Q43)=0,"",N('Décembre'!Q43))</f>
        <v/>
      </c>
      <c r="O41" s="10">
        <f>IF(COUNT(C41:N41)=0,"",SUM(C41:N41))</f>
        <v/>
      </c>
      <c r="P41" s="10">
        <f>IF(COUNT(C41:N41)=0,"",ROUND(AVERAGE(C41:N41),1))</f>
        <v/>
      </c>
      <c r="Q41" s="9">
        <f>IF(COUNT(C41:N41)=0,"",MAX(C41:N41))</f>
        <v/>
      </c>
    </row>
    <row r="42">
      <c r="A42" s="7">
        <f>IF(Produits!$A$42="","",Produits!$A$42)</f>
        <v/>
      </c>
      <c r="B42" s="8">
        <f>IF(Produits!$A$42="","",Produits!$C$42)</f>
        <v/>
      </c>
      <c r="C42" s="9">
        <f>IF(N('Janvier'!Q44)=0,"",N('Janvier'!Q44))</f>
        <v/>
      </c>
      <c r="D42" s="9">
        <f>IF(N('Février'!Q44)=0,"",N('Février'!Q44))</f>
        <v/>
      </c>
      <c r="E42" s="9">
        <f>IF(N('Mars'!Q44)=0,"",N('Mars'!Q44))</f>
        <v/>
      </c>
      <c r="F42" s="9">
        <f>IF(N('Avril'!Q44)=0,"",N('Avril'!Q44))</f>
        <v/>
      </c>
      <c r="G42" s="9">
        <f>IF(N('Mai'!Q44)=0,"",N('Mai'!Q44))</f>
        <v/>
      </c>
      <c r="H42" s="9">
        <f>IF(N('Juin'!Q44)=0,"",N('Juin'!Q44))</f>
        <v/>
      </c>
      <c r="I42" s="9">
        <f>IF(N('Juillet'!Q44)=0,"",N('Juillet'!Q44))</f>
        <v/>
      </c>
      <c r="J42" s="9">
        <f>IF(N('Août'!Q44)=0,"",N('Août'!Q44))</f>
        <v/>
      </c>
      <c r="K42" s="9">
        <f>IF(N('Septembre'!Q44)=0,"",N('Septembre'!Q44))</f>
        <v/>
      </c>
      <c r="L42" s="9">
        <f>IF(N('Octobre'!Q44)=0,"",N('Octobre'!Q44))</f>
        <v/>
      </c>
      <c r="M42" s="9">
        <f>IF(N('Novembre'!Q44)=0,"",N('Novembre'!Q44))</f>
        <v/>
      </c>
      <c r="N42" s="9">
        <f>IF(N('Décembre'!Q44)=0,"",N('Décembre'!Q44))</f>
        <v/>
      </c>
      <c r="O42" s="10">
        <f>IF(COUNT(C42:N42)=0,"",SUM(C42:N42))</f>
        <v/>
      </c>
      <c r="P42" s="10">
        <f>IF(COUNT(C42:N42)=0,"",ROUND(AVERAGE(C42:N42),1))</f>
        <v/>
      </c>
      <c r="Q42" s="9">
        <f>IF(COUNT(C42:N42)=0,"",MAX(C42:N42))</f>
        <v/>
      </c>
    </row>
    <row r="43">
      <c r="A43" s="7">
        <f>IF(Produits!$A$43="","",Produits!$A$43)</f>
        <v/>
      </c>
      <c r="B43" s="8">
        <f>IF(Produits!$A$43="","",Produits!$C$43)</f>
        <v/>
      </c>
      <c r="C43" s="9">
        <f>IF(N('Janvier'!Q45)=0,"",N('Janvier'!Q45))</f>
        <v/>
      </c>
      <c r="D43" s="9">
        <f>IF(N('Février'!Q45)=0,"",N('Février'!Q45))</f>
        <v/>
      </c>
      <c r="E43" s="9">
        <f>IF(N('Mars'!Q45)=0,"",N('Mars'!Q45))</f>
        <v/>
      </c>
      <c r="F43" s="9">
        <f>IF(N('Avril'!Q45)=0,"",N('Avril'!Q45))</f>
        <v/>
      </c>
      <c r="G43" s="9">
        <f>IF(N('Mai'!Q45)=0,"",N('Mai'!Q45))</f>
        <v/>
      </c>
      <c r="H43" s="9">
        <f>IF(N('Juin'!Q45)=0,"",N('Juin'!Q45))</f>
        <v/>
      </c>
      <c r="I43" s="9">
        <f>IF(N('Juillet'!Q45)=0,"",N('Juillet'!Q45))</f>
        <v/>
      </c>
      <c r="J43" s="9">
        <f>IF(N('Août'!Q45)=0,"",N('Août'!Q45))</f>
        <v/>
      </c>
      <c r="K43" s="9">
        <f>IF(N('Septembre'!Q45)=0,"",N('Septembre'!Q45))</f>
        <v/>
      </c>
      <c r="L43" s="9">
        <f>IF(N('Octobre'!Q45)=0,"",N('Octobre'!Q45))</f>
        <v/>
      </c>
      <c r="M43" s="9">
        <f>IF(N('Novembre'!Q45)=0,"",N('Novembre'!Q45))</f>
        <v/>
      </c>
      <c r="N43" s="9">
        <f>IF(N('Décembre'!Q45)=0,"",N('Décembre'!Q45))</f>
        <v/>
      </c>
      <c r="O43" s="10">
        <f>IF(COUNT(C43:N43)=0,"",SUM(C43:N43))</f>
        <v/>
      </c>
      <c r="P43" s="10">
        <f>IF(COUNT(C43:N43)=0,"",ROUND(AVERAGE(C43:N43),1))</f>
        <v/>
      </c>
      <c r="Q43" s="9">
        <f>IF(COUNT(C43:N43)=0,"",MAX(C43:N43))</f>
        <v/>
      </c>
    </row>
    <row r="44">
      <c r="A44" s="7">
        <f>IF(Produits!$A$44="","",Produits!$A$44)</f>
        <v/>
      </c>
      <c r="B44" s="8">
        <f>IF(Produits!$A$44="","",Produits!$C$44)</f>
        <v/>
      </c>
      <c r="C44" s="9">
        <f>IF(N('Janvier'!Q46)=0,"",N('Janvier'!Q46))</f>
        <v/>
      </c>
      <c r="D44" s="9">
        <f>IF(N('Février'!Q46)=0,"",N('Février'!Q46))</f>
        <v/>
      </c>
      <c r="E44" s="9">
        <f>IF(N('Mars'!Q46)=0,"",N('Mars'!Q46))</f>
        <v/>
      </c>
      <c r="F44" s="9">
        <f>IF(N('Avril'!Q46)=0,"",N('Avril'!Q46))</f>
        <v/>
      </c>
      <c r="G44" s="9">
        <f>IF(N('Mai'!Q46)=0,"",N('Mai'!Q46))</f>
        <v/>
      </c>
      <c r="H44" s="9">
        <f>IF(N('Juin'!Q46)=0,"",N('Juin'!Q46))</f>
        <v/>
      </c>
      <c r="I44" s="9">
        <f>IF(N('Juillet'!Q46)=0,"",N('Juillet'!Q46))</f>
        <v/>
      </c>
      <c r="J44" s="9">
        <f>IF(N('Août'!Q46)=0,"",N('Août'!Q46))</f>
        <v/>
      </c>
      <c r="K44" s="9">
        <f>IF(N('Septembre'!Q46)=0,"",N('Septembre'!Q46))</f>
        <v/>
      </c>
      <c r="L44" s="9">
        <f>IF(N('Octobre'!Q46)=0,"",N('Octobre'!Q46))</f>
        <v/>
      </c>
      <c r="M44" s="9">
        <f>IF(N('Novembre'!Q46)=0,"",N('Novembre'!Q46))</f>
        <v/>
      </c>
      <c r="N44" s="9">
        <f>IF(N('Décembre'!Q46)=0,"",N('Décembre'!Q46))</f>
        <v/>
      </c>
      <c r="O44" s="10">
        <f>IF(COUNT(C44:N44)=0,"",SUM(C44:N44))</f>
        <v/>
      </c>
      <c r="P44" s="10">
        <f>IF(COUNT(C44:N44)=0,"",ROUND(AVERAGE(C44:N44),1))</f>
        <v/>
      </c>
      <c r="Q44" s="9">
        <f>IF(COUNT(C44:N44)=0,"",MAX(C44:N44))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9" customWidth="1" min="3" max="3"/>
  </cols>
  <sheetData>
    <row r="1" ht="26" customHeight="1">
      <c r="A1" s="1" t="inlineStr">
        <is>
          <t>Mes produits</t>
        </is>
      </c>
    </row>
    <row r="2">
      <c r="A2" s="2" t="inlineStr">
        <is>
          <t>Une ligne par produit. Tout le reste du fichier se remplit à partir de cette liste.</t>
        </is>
      </c>
    </row>
    <row r="4">
      <c r="A4" s="6" t="inlineStr">
        <is>
          <t>Produit</t>
        </is>
      </c>
      <c r="B4" s="6" t="inlineStr">
        <is>
          <t>Fournisseur</t>
        </is>
      </c>
      <c r="C4" s="6" t="inlineStr">
        <is>
          <t>Unité</t>
        </is>
      </c>
    </row>
    <row r="5">
      <c r="A5" s="11" t="inlineStr">
        <is>
          <t>Farine T55</t>
        </is>
      </c>
      <c r="B5" s="11" t="inlineStr">
        <is>
          <t>Metro</t>
        </is>
      </c>
      <c r="C5" s="12" t="inlineStr">
        <is>
          <t>kg</t>
        </is>
      </c>
    </row>
    <row r="6">
      <c r="A6" s="11" t="inlineStr">
        <is>
          <t>Farine T45</t>
        </is>
      </c>
      <c r="B6" s="11" t="inlineStr">
        <is>
          <t>Metro</t>
        </is>
      </c>
      <c r="C6" s="12" t="inlineStr">
        <is>
          <t>kg</t>
        </is>
      </c>
    </row>
    <row r="7">
      <c r="A7" s="11" t="inlineStr">
        <is>
          <t>Sucre semoule</t>
        </is>
      </c>
      <c r="B7" s="11" t="inlineStr">
        <is>
          <t>Metro</t>
        </is>
      </c>
      <c r="C7" s="12" t="inlineStr">
        <is>
          <t>kg</t>
        </is>
      </c>
    </row>
    <row r="8">
      <c r="A8" s="11" t="inlineStr">
        <is>
          <t>Sucre glace</t>
        </is>
      </c>
      <c r="B8" s="11" t="inlineStr">
        <is>
          <t>Metro</t>
        </is>
      </c>
      <c r="C8" s="12" t="inlineStr">
        <is>
          <t>kg</t>
        </is>
      </c>
    </row>
    <row r="9">
      <c r="A9" s="11" t="inlineStr">
        <is>
          <t>Beurre doux</t>
        </is>
      </c>
      <c r="B9" s="11" t="inlineStr">
        <is>
          <t>Crèmerie</t>
        </is>
      </c>
      <c r="C9" s="12" t="inlineStr">
        <is>
          <t>kg</t>
        </is>
      </c>
    </row>
    <row r="10">
      <c r="A10" s="11" t="inlineStr">
        <is>
          <t>Crème liquide 35%</t>
        </is>
      </c>
      <c r="B10" s="11" t="inlineStr">
        <is>
          <t>Crèmerie</t>
        </is>
      </c>
      <c r="C10" s="12" t="inlineStr">
        <is>
          <t>L</t>
        </is>
      </c>
    </row>
    <row r="11">
      <c r="A11" s="11" t="inlineStr">
        <is>
          <t>Lait entier</t>
        </is>
      </c>
      <c r="B11" s="11" t="inlineStr">
        <is>
          <t>Crèmerie</t>
        </is>
      </c>
      <c r="C11" s="12" t="inlineStr">
        <is>
          <t>L</t>
        </is>
      </c>
    </row>
    <row r="12">
      <c r="A12" s="11" t="inlineStr">
        <is>
          <t>Oeufs</t>
        </is>
      </c>
      <c r="B12" s="11" t="inlineStr">
        <is>
          <t>Crèmerie</t>
        </is>
      </c>
      <c r="C12" s="12" t="inlineStr">
        <is>
          <t>pièce</t>
        </is>
      </c>
    </row>
    <row r="13">
      <c r="A13" s="11" t="inlineStr">
        <is>
          <t>Chocolat blanc</t>
        </is>
      </c>
      <c r="B13" s="11" t="inlineStr">
        <is>
          <t>Transgourmet</t>
        </is>
      </c>
      <c r="C13" s="12" t="inlineStr">
        <is>
          <t>kg</t>
        </is>
      </c>
    </row>
    <row r="14">
      <c r="A14" s="11" t="inlineStr">
        <is>
          <t>Chocolat noir 70%</t>
        </is>
      </c>
      <c r="B14" s="11" t="inlineStr">
        <is>
          <t>Transgourmet</t>
        </is>
      </c>
      <c r="C14" s="12" t="inlineStr">
        <is>
          <t>kg</t>
        </is>
      </c>
    </row>
    <row r="15">
      <c r="A15" s="11" t="inlineStr">
        <is>
          <t>Levure chimique</t>
        </is>
      </c>
      <c r="B15" s="11" t="inlineStr">
        <is>
          <t>Transgourmet</t>
        </is>
      </c>
      <c r="C15" s="12" t="inlineStr">
        <is>
          <t>kg</t>
        </is>
      </c>
    </row>
    <row r="16">
      <c r="A16" s="11" t="inlineStr">
        <is>
          <t>Vanille (gousse)</t>
        </is>
      </c>
      <c r="B16" s="11" t="inlineStr">
        <is>
          <t>Transgourmet</t>
        </is>
      </c>
      <c r="C16" s="12" t="inlineStr">
        <is>
          <t>pièce</t>
        </is>
      </c>
    </row>
    <row r="17">
      <c r="A17" s="13" t="n"/>
      <c r="B17" s="13" t="n"/>
      <c r="C17" s="14" t="n"/>
    </row>
    <row r="18">
      <c r="A18" s="13" t="n"/>
      <c r="B18" s="13" t="n"/>
      <c r="C18" s="14" t="n"/>
    </row>
    <row r="19">
      <c r="A19" s="13" t="n"/>
      <c r="B19" s="13" t="n"/>
      <c r="C19" s="14" t="n"/>
    </row>
    <row r="20">
      <c r="A20" s="13" t="n"/>
      <c r="B20" s="13" t="n"/>
      <c r="C20" s="14" t="n"/>
    </row>
    <row r="21">
      <c r="A21" s="13" t="n"/>
      <c r="B21" s="13" t="n"/>
      <c r="C21" s="14" t="n"/>
    </row>
    <row r="22">
      <c r="A22" s="13" t="n"/>
      <c r="B22" s="13" t="n"/>
      <c r="C22" s="14" t="n"/>
    </row>
    <row r="23">
      <c r="A23" s="13" t="n"/>
      <c r="B23" s="13" t="n"/>
      <c r="C23" s="14" t="n"/>
    </row>
    <row r="24">
      <c r="A24" s="13" t="n"/>
      <c r="B24" s="13" t="n"/>
      <c r="C24" s="14" t="n"/>
    </row>
    <row r="25">
      <c r="A25" s="13" t="n"/>
      <c r="B25" s="13" t="n"/>
      <c r="C25" s="14" t="n"/>
    </row>
    <row r="26">
      <c r="A26" s="13" t="n"/>
      <c r="B26" s="13" t="n"/>
      <c r="C26" s="14" t="n"/>
    </row>
    <row r="27">
      <c r="A27" s="13" t="n"/>
      <c r="B27" s="13" t="n"/>
      <c r="C27" s="14" t="n"/>
    </row>
    <row r="28">
      <c r="A28" s="13" t="n"/>
      <c r="B28" s="13" t="n"/>
      <c r="C28" s="14" t="n"/>
    </row>
    <row r="29">
      <c r="A29" s="13" t="n"/>
      <c r="B29" s="13" t="n"/>
      <c r="C29" s="14" t="n"/>
    </row>
    <row r="30">
      <c r="A30" s="13" t="n"/>
      <c r="B30" s="13" t="n"/>
      <c r="C30" s="14" t="n"/>
    </row>
    <row r="31">
      <c r="A31" s="13" t="n"/>
      <c r="B31" s="13" t="n"/>
      <c r="C31" s="14" t="n"/>
    </row>
    <row r="32">
      <c r="A32" s="13" t="n"/>
      <c r="B32" s="13" t="n"/>
      <c r="C32" s="14" t="n"/>
    </row>
    <row r="33">
      <c r="A33" s="13" t="n"/>
      <c r="B33" s="13" t="n"/>
      <c r="C33" s="14" t="n"/>
    </row>
    <row r="34">
      <c r="A34" s="13" t="n"/>
      <c r="B34" s="13" t="n"/>
      <c r="C34" s="14" t="n"/>
    </row>
    <row r="35">
      <c r="A35" s="13" t="n"/>
      <c r="B35" s="13" t="n"/>
      <c r="C35" s="14" t="n"/>
    </row>
    <row r="36">
      <c r="A36" s="13" t="n"/>
      <c r="B36" s="13" t="n"/>
      <c r="C36" s="14" t="n"/>
    </row>
    <row r="37">
      <c r="A37" s="13" t="n"/>
      <c r="B37" s="13" t="n"/>
      <c r="C37" s="14" t="n"/>
    </row>
    <row r="38">
      <c r="A38" s="13" t="n"/>
      <c r="B38" s="13" t="n"/>
      <c r="C38" s="14" t="n"/>
    </row>
    <row r="39">
      <c r="A39" s="13" t="n"/>
      <c r="B39" s="13" t="n"/>
      <c r="C39" s="14" t="n"/>
    </row>
    <row r="40">
      <c r="A40" s="13" t="n"/>
      <c r="B40" s="13" t="n"/>
      <c r="C40" s="14" t="n"/>
    </row>
    <row r="41">
      <c r="A41" s="13" t="n"/>
      <c r="B41" s="13" t="n"/>
      <c r="C41" s="14" t="n"/>
    </row>
    <row r="42">
      <c r="A42" s="13" t="n"/>
      <c r="B42" s="13" t="n"/>
      <c r="C42" s="14" t="n"/>
    </row>
    <row r="43">
      <c r="A43" s="13" t="n"/>
      <c r="B43" s="13" t="n"/>
      <c r="C43" s="14" t="n"/>
    </row>
    <row r="44">
      <c r="A44" s="13" t="n"/>
      <c r="B44" s="13" t="n"/>
      <c r="C44" s="14" t="n"/>
    </row>
  </sheetData>
  <dataValidations count="1">
    <dataValidation sqref="C5:C44" showDropDown="0" showInputMessage="0" showErrorMessage="0" allowBlank="1" type="list">
      <formula1>"kg,g,L,pièce,paquet,boîte,sac"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Janvier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Février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Mars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Avril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Mai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Juin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Juillet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Août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Septembre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2" t="n">
        <v>5</v>
      </c>
      <c r="E7" s="12" t="n">
        <v>10</v>
      </c>
      <c r="F7" s="12" t="n">
        <v>10</v>
      </c>
      <c r="G7" s="12" t="n">
        <v>8</v>
      </c>
      <c r="H7" s="12" t="n">
        <v>10</v>
      </c>
      <c r="I7" s="12" t="n">
        <v>7</v>
      </c>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2" t="n">
        <v>3</v>
      </c>
      <c r="E8" s="12" t="n">
        <v>3</v>
      </c>
      <c r="F8" s="12" t="n">
        <v>3</v>
      </c>
      <c r="G8" s="12" t="n">
        <v>2</v>
      </c>
      <c r="H8" s="12" t="n">
        <v>5</v>
      </c>
      <c r="I8" s="12" t="n">
        <v>5</v>
      </c>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2" t="n">
        <v>7</v>
      </c>
      <c r="E9" s="12" t="n">
        <v>5</v>
      </c>
      <c r="F9" s="12" t="n">
        <v>5</v>
      </c>
      <c r="G9" s="12" t="n">
        <v>6</v>
      </c>
      <c r="H9" s="12" t="n">
        <v>10</v>
      </c>
      <c r="I9" s="12" t="n">
        <v>10</v>
      </c>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2" t="n">
        <v>2</v>
      </c>
      <c r="E10" s="12" t="n">
        <v>0</v>
      </c>
      <c r="F10" s="12" t="n">
        <v>0</v>
      </c>
      <c r="G10" s="12" t="n">
        <v>1</v>
      </c>
      <c r="H10" s="12" t="n">
        <v>3</v>
      </c>
      <c r="I10" s="12" t="n">
        <v>3</v>
      </c>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2" t="n">
        <v>4</v>
      </c>
      <c r="E11" s="12" t="n">
        <v>5</v>
      </c>
      <c r="F11" s="12" t="n">
        <v>5</v>
      </c>
      <c r="G11" s="12" t="n">
        <v>3</v>
      </c>
      <c r="H11" s="12" t="n">
        <v>5</v>
      </c>
      <c r="I11" s="12" t="n">
        <v>5</v>
      </c>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2" t="n">
        <v>5</v>
      </c>
      <c r="E12" s="12" t="n">
        <v>10</v>
      </c>
      <c r="F12" s="12" t="n">
        <v>10</v>
      </c>
      <c r="G12" s="12" t="n">
        <v>4</v>
      </c>
      <c r="H12" s="12" t="n">
        <v>12</v>
      </c>
      <c r="I12" s="12" t="n">
        <v>12</v>
      </c>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2" t="n">
        <v>4</v>
      </c>
      <c r="E13" s="12" t="n">
        <v>6</v>
      </c>
      <c r="F13" s="12" t="n">
        <v>6</v>
      </c>
      <c r="G13" s="12" t="n">
        <v>3</v>
      </c>
      <c r="H13" s="12" t="n">
        <v>6</v>
      </c>
      <c r="I13" s="12" t="n">
        <v>6</v>
      </c>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2" t="n">
        <v>50</v>
      </c>
      <c r="E14" s="12" t="n">
        <v>60</v>
      </c>
      <c r="F14" s="12" t="n">
        <v>60</v>
      </c>
      <c r="G14" s="12" t="n">
        <v>40</v>
      </c>
      <c r="H14" s="12" t="n">
        <v>90</v>
      </c>
      <c r="I14" s="12" t="n">
        <v>90</v>
      </c>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2" t="n">
        <v>2</v>
      </c>
      <c r="E15" s="12" t="n">
        <v>2</v>
      </c>
      <c r="F15" s="12" t="n">
        <v>2</v>
      </c>
      <c r="G15" s="12" t="n">
        <v>1.5</v>
      </c>
      <c r="H15" s="12" t="n">
        <v>3</v>
      </c>
      <c r="I15" s="12" t="n">
        <v>2</v>
      </c>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2" t="n">
        <v>2</v>
      </c>
      <c r="E16" s="12" t="n">
        <v>2</v>
      </c>
      <c r="F16" s="12" t="n">
        <v>2</v>
      </c>
      <c r="G16" s="12" t="n">
        <v>2</v>
      </c>
      <c r="H16" s="12" t="n">
        <v>2</v>
      </c>
      <c r="I16" s="12" t="n">
        <v>2</v>
      </c>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2" t="n">
        <v>0.6</v>
      </c>
      <c r="E17" s="12" t="n">
        <v>0</v>
      </c>
      <c r="F17" s="12" t="n">
        <v>0</v>
      </c>
      <c r="G17" s="12" t="n">
        <v>0.4</v>
      </c>
      <c r="H17" s="12" t="n">
        <v>1</v>
      </c>
      <c r="I17" s="12" t="n">
        <v>1</v>
      </c>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2" t="n">
        <v>6</v>
      </c>
      <c r="E18" s="12" t="n">
        <v>0</v>
      </c>
      <c r="F18" s="12" t="n">
        <v>0</v>
      </c>
      <c r="G18" s="12" t="n">
        <v>6</v>
      </c>
      <c r="H18" s="12" t="n">
        <v>0</v>
      </c>
      <c r="I18" s="12" t="n">
        <v>0</v>
      </c>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Octobre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2" t="n">
        <v>8</v>
      </c>
      <c r="E7" s="12" t="n">
        <v>10</v>
      </c>
      <c r="F7" s="12" t="n">
        <v>7</v>
      </c>
      <c r="G7" s="12" t="n">
        <v>5</v>
      </c>
      <c r="H7" s="12" t="n">
        <v>10</v>
      </c>
      <c r="I7" s="12" t="n">
        <v>10</v>
      </c>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2" t="n">
        <v>2</v>
      </c>
      <c r="E8" s="12" t="n">
        <v>5</v>
      </c>
      <c r="F8" s="12" t="n">
        <v>5</v>
      </c>
      <c r="G8" s="12" t="n">
        <v>3</v>
      </c>
      <c r="H8" s="12" t="n">
        <v>3</v>
      </c>
      <c r="I8" s="12" t="n">
        <v>3</v>
      </c>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2" t="n">
        <v>6</v>
      </c>
      <c r="E9" s="12" t="n">
        <v>10</v>
      </c>
      <c r="F9" s="12" t="n">
        <v>10</v>
      </c>
      <c r="G9" s="12" t="n">
        <v>7</v>
      </c>
      <c r="H9" s="12" t="n">
        <v>5</v>
      </c>
      <c r="I9" s="12" t="n">
        <v>5</v>
      </c>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2" t="n">
        <v>1</v>
      </c>
      <c r="E10" s="12" t="n">
        <v>3</v>
      </c>
      <c r="F10" s="12" t="n">
        <v>3</v>
      </c>
      <c r="G10" s="12" t="n">
        <v>2</v>
      </c>
      <c r="H10" s="12" t="n">
        <v>0</v>
      </c>
      <c r="I10" s="12" t="n">
        <v>0</v>
      </c>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2" t="n">
        <v>3</v>
      </c>
      <c r="E11" s="12" t="n">
        <v>5</v>
      </c>
      <c r="F11" s="12" t="n">
        <v>5</v>
      </c>
      <c r="G11" s="12" t="n">
        <v>4</v>
      </c>
      <c r="H11" s="12" t="n">
        <v>5</v>
      </c>
      <c r="I11" s="12" t="n">
        <v>5</v>
      </c>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2" t="n">
        <v>4</v>
      </c>
      <c r="E12" s="12" t="n">
        <v>12</v>
      </c>
      <c r="F12" s="12" t="n">
        <v>12</v>
      </c>
      <c r="G12" s="12" t="n">
        <v>5</v>
      </c>
      <c r="H12" s="12" t="n">
        <v>10</v>
      </c>
      <c r="I12" s="12" t="n">
        <v>10</v>
      </c>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2" t="n">
        <v>3</v>
      </c>
      <c r="E13" s="12" t="n">
        <v>6</v>
      </c>
      <c r="F13" s="12" t="n">
        <v>6</v>
      </c>
      <c r="G13" s="12" t="n">
        <v>4</v>
      </c>
      <c r="H13" s="12" t="n">
        <v>6</v>
      </c>
      <c r="I13" s="12" t="n">
        <v>6</v>
      </c>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2" t="n">
        <v>40</v>
      </c>
      <c r="E14" s="12" t="n">
        <v>90</v>
      </c>
      <c r="F14" s="12" t="n">
        <v>90</v>
      </c>
      <c r="G14" s="12" t="n">
        <v>50</v>
      </c>
      <c r="H14" s="12" t="n">
        <v>60</v>
      </c>
      <c r="I14" s="12" t="n">
        <v>60</v>
      </c>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2" t="n">
        <v>1.5</v>
      </c>
      <c r="E15" s="12" t="n">
        <v>3</v>
      </c>
      <c r="F15" s="12" t="n">
        <v>2</v>
      </c>
      <c r="G15" s="12" t="n">
        <v>2</v>
      </c>
      <c r="H15" s="12" t="n">
        <v>2</v>
      </c>
      <c r="I15" s="12" t="n">
        <v>2</v>
      </c>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2" t="n">
        <v>2</v>
      </c>
      <c r="E16" s="12" t="n">
        <v>2</v>
      </c>
      <c r="F16" s="12" t="n">
        <v>2</v>
      </c>
      <c r="G16" s="12" t="n">
        <v>2</v>
      </c>
      <c r="H16" s="12" t="n">
        <v>2</v>
      </c>
      <c r="I16" s="12" t="n">
        <v>2</v>
      </c>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2" t="n">
        <v>0.4</v>
      </c>
      <c r="E17" s="12" t="n">
        <v>1</v>
      </c>
      <c r="F17" s="12" t="n">
        <v>1</v>
      </c>
      <c r="G17" s="12" t="n">
        <v>0.6</v>
      </c>
      <c r="H17" s="12" t="n">
        <v>0</v>
      </c>
      <c r="I17" s="12" t="n">
        <v>0</v>
      </c>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2" t="n">
        <v>6</v>
      </c>
      <c r="E18" s="12" t="n">
        <v>0</v>
      </c>
      <c r="F18" s="12" t="n">
        <v>0</v>
      </c>
      <c r="G18" s="12" t="n">
        <v>6</v>
      </c>
      <c r="H18" s="12" t="n">
        <v>0</v>
      </c>
      <c r="I18" s="12" t="n">
        <v>0</v>
      </c>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Novembre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S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2" customWidth="1" min="16" max="16"/>
    <col width="12" customWidth="1" min="17" max="17"/>
    <col width="12" customWidth="1" min="18" max="18"/>
    <col width="12" customWidth="1" min="19" max="19"/>
  </cols>
  <sheetData>
    <row r="1" ht="26" customHeight="1">
      <c r="A1" s="1" t="inlineStr">
        <is>
          <t>Décembre 2026</t>
        </is>
      </c>
    </row>
    <row r="2">
      <c r="A2" s="2" t="inlineStr">
        <is>
          <t>Stock = ce qu'il reste · Commandé = ce que tu demandes · Reçu = ce qui est arrivé</t>
        </is>
      </c>
    </row>
    <row r="4">
      <c r="A4" s="6" t="inlineStr">
        <is>
          <t>Produit</t>
        </is>
      </c>
      <c r="B4" s="6" t="inlineStr">
        <is>
          <t>Fournisseur</t>
        </is>
      </c>
      <c r="C4" s="6" t="inlineStr">
        <is>
          <t>Unité</t>
        </is>
      </c>
      <c r="D4" s="6" t="inlineStr">
        <is>
          <t>Semaine 1</t>
        </is>
      </c>
      <c r="E4" s="15" t="n"/>
      <c r="F4" s="15" t="n"/>
      <c r="G4" s="6" t="inlineStr">
        <is>
          <t>Semaine 2</t>
        </is>
      </c>
      <c r="H4" s="15" t="n"/>
      <c r="I4" s="15" t="n"/>
      <c r="J4" s="6" t="inlineStr">
        <is>
          <t>Semaine 3</t>
        </is>
      </c>
      <c r="K4" s="15" t="n"/>
      <c r="L4" s="15" t="n"/>
      <c r="M4" s="6" t="inlineStr">
        <is>
          <t>Semaine 4</t>
        </is>
      </c>
      <c r="N4" s="15" t="n"/>
      <c r="O4" s="15" t="n"/>
      <c r="P4" s="6" t="inlineStr">
        <is>
          <t>Total du mois</t>
        </is>
      </c>
      <c r="Q4" s="15" t="n"/>
      <c r="R4" s="15" t="n"/>
      <c r="S4" s="15" t="n"/>
    </row>
    <row r="5">
      <c r="A5" s="15" t="n"/>
      <c r="B5" s="15" t="n"/>
      <c r="C5" s="15" t="n"/>
      <c r="D5" s="16" t="n"/>
      <c r="E5" s="17" t="n"/>
      <c r="F5" s="17" t="n"/>
      <c r="G5" s="16" t="n"/>
      <c r="H5" s="17" t="n"/>
      <c r="I5" s="17" t="n"/>
      <c r="J5" s="16" t="n"/>
      <c r="K5" s="17" t="n"/>
      <c r="L5" s="17" t="n"/>
      <c r="M5" s="16" t="n"/>
      <c r="N5" s="17" t="n"/>
      <c r="O5" s="17" t="n"/>
      <c r="P5" s="15" t="n"/>
      <c r="Q5" s="15" t="n"/>
      <c r="R5" s="15" t="n"/>
      <c r="S5" s="15" t="n"/>
    </row>
    <row r="6">
      <c r="A6" s="15" t="n"/>
      <c r="B6" s="15" t="n"/>
      <c r="C6" s="15" t="n"/>
      <c r="D6" s="18" t="inlineStr">
        <is>
          <t>Stock</t>
        </is>
      </c>
      <c r="E6" s="18" t="inlineStr">
        <is>
          <t>Commandé</t>
        </is>
      </c>
      <c r="F6" s="18" t="inlineStr">
        <is>
          <t>Reçu</t>
        </is>
      </c>
      <c r="G6" s="18" t="inlineStr">
        <is>
          <t>Stock</t>
        </is>
      </c>
      <c r="H6" s="18" t="inlineStr">
        <is>
          <t>Commandé</t>
        </is>
      </c>
      <c r="I6" s="18" t="inlineStr">
        <is>
          <t>Reçu</t>
        </is>
      </c>
      <c r="J6" s="18" t="inlineStr">
        <is>
          <t>Stock</t>
        </is>
      </c>
      <c r="K6" s="18" t="inlineStr">
        <is>
          <t>Commandé</t>
        </is>
      </c>
      <c r="L6" s="18" t="inlineStr">
        <is>
          <t>Reçu</t>
        </is>
      </c>
      <c r="M6" s="18" t="inlineStr">
        <is>
          <t>Stock</t>
        </is>
      </c>
      <c r="N6" s="18" t="inlineStr">
        <is>
          <t>Commandé</t>
        </is>
      </c>
      <c r="O6" s="18" t="inlineStr">
        <is>
          <t>Reçu</t>
        </is>
      </c>
      <c r="P6" s="18" t="inlineStr">
        <is>
          <t>Commandé</t>
        </is>
      </c>
      <c r="Q6" s="18" t="inlineStr">
        <is>
          <t>Reçu</t>
        </is>
      </c>
      <c r="R6" s="18" t="inlineStr">
        <is>
          <t>Écart</t>
        </is>
      </c>
      <c r="S6" s="18" t="inlineStr">
        <is>
          <t>Dernier stock</t>
        </is>
      </c>
    </row>
    <row r="7">
      <c r="A7" s="7">
        <f>IF(Produits!$A$5="","",Produits!$A$5)</f>
        <v/>
      </c>
      <c r="B7" s="19">
        <f>IF(Produits!$A$5="","",Produits!$B$5)</f>
        <v/>
      </c>
      <c r="C7" s="8">
        <f>IF(Produits!$A$5="","",Produits!$C$5)</f>
        <v/>
      </c>
      <c r="D7" s="14" t="n"/>
      <c r="E7" s="14" t="n"/>
      <c r="F7" s="14" t="n"/>
      <c r="G7" s="14" t="n"/>
      <c r="H7" s="14" t="n"/>
      <c r="I7" s="14" t="n"/>
      <c r="J7" s="14" t="n"/>
      <c r="K7" s="14" t="n"/>
      <c r="L7" s="14" t="n"/>
      <c r="M7" s="14" t="n"/>
      <c r="N7" s="14" t="n"/>
      <c r="O7" s="14" t="n"/>
      <c r="P7" s="10">
        <f>IF(COUNT(E7,H7,K7,N7)=0,"",SUM(E7,H7,K7,N7))</f>
        <v/>
      </c>
      <c r="Q7" s="10">
        <f>IF(COUNT(F7,I7,L7,O7)=0,"",SUM(F7,I7,L7,O7))</f>
        <v/>
      </c>
      <c r="R7" s="10">
        <f>IF(OR(P7="",Q7=""),"",Q7-P7)</f>
        <v/>
      </c>
      <c r="S7" s="10">
        <f>IF(M7&lt;&gt;"",M7,IF(J7&lt;&gt;"",J7,IF(G7&lt;&gt;"",G7,IF(D7&lt;&gt;"",D7,""))))</f>
        <v/>
      </c>
    </row>
    <row r="8">
      <c r="A8" s="7">
        <f>IF(Produits!$A$6="","",Produits!$A$6)</f>
        <v/>
      </c>
      <c r="B8" s="19">
        <f>IF(Produits!$A$6="","",Produits!$B$6)</f>
        <v/>
      </c>
      <c r="C8" s="8">
        <f>IF(Produits!$A$6="","",Produits!$C$6)</f>
        <v/>
      </c>
      <c r="D8" s="14" t="n"/>
      <c r="E8" s="14" t="n"/>
      <c r="F8" s="14" t="n"/>
      <c r="G8" s="14" t="n"/>
      <c r="H8" s="14" t="n"/>
      <c r="I8" s="14" t="n"/>
      <c r="J8" s="14" t="n"/>
      <c r="K8" s="14" t="n"/>
      <c r="L8" s="14" t="n"/>
      <c r="M8" s="14" t="n"/>
      <c r="N8" s="14" t="n"/>
      <c r="O8" s="14" t="n"/>
      <c r="P8" s="10">
        <f>IF(COUNT(E8,H8,K8,N8)=0,"",SUM(E8,H8,K8,N8))</f>
        <v/>
      </c>
      <c r="Q8" s="10">
        <f>IF(COUNT(F8,I8,L8,O8)=0,"",SUM(F8,I8,L8,O8))</f>
        <v/>
      </c>
      <c r="R8" s="10">
        <f>IF(OR(P8="",Q8=""),"",Q8-P8)</f>
        <v/>
      </c>
      <c r="S8" s="10">
        <f>IF(M8&lt;&gt;"",M8,IF(J8&lt;&gt;"",J8,IF(G8&lt;&gt;"",G8,IF(D8&lt;&gt;"",D8,""))))</f>
        <v/>
      </c>
    </row>
    <row r="9">
      <c r="A9" s="7">
        <f>IF(Produits!$A$7="","",Produits!$A$7)</f>
        <v/>
      </c>
      <c r="B9" s="19">
        <f>IF(Produits!$A$7="","",Produits!$B$7)</f>
        <v/>
      </c>
      <c r="C9" s="8">
        <f>IF(Produits!$A$7="","",Produits!$C$7)</f>
        <v/>
      </c>
      <c r="D9" s="14" t="n"/>
      <c r="E9" s="14" t="n"/>
      <c r="F9" s="14" t="n"/>
      <c r="G9" s="14" t="n"/>
      <c r="H9" s="14" t="n"/>
      <c r="I9" s="14" t="n"/>
      <c r="J9" s="14" t="n"/>
      <c r="K9" s="14" t="n"/>
      <c r="L9" s="14" t="n"/>
      <c r="M9" s="14" t="n"/>
      <c r="N9" s="14" t="n"/>
      <c r="O9" s="14" t="n"/>
      <c r="P9" s="10">
        <f>IF(COUNT(E9,H9,K9,N9)=0,"",SUM(E9,H9,K9,N9))</f>
        <v/>
      </c>
      <c r="Q9" s="10">
        <f>IF(COUNT(F9,I9,L9,O9)=0,"",SUM(F9,I9,L9,O9))</f>
        <v/>
      </c>
      <c r="R9" s="10">
        <f>IF(OR(P9="",Q9=""),"",Q9-P9)</f>
        <v/>
      </c>
      <c r="S9" s="10">
        <f>IF(M9&lt;&gt;"",M9,IF(J9&lt;&gt;"",J9,IF(G9&lt;&gt;"",G9,IF(D9&lt;&gt;"",D9,""))))</f>
        <v/>
      </c>
    </row>
    <row r="10">
      <c r="A10" s="7">
        <f>IF(Produits!$A$8="","",Produits!$A$8)</f>
        <v/>
      </c>
      <c r="B10" s="19">
        <f>IF(Produits!$A$8="","",Produits!$B$8)</f>
        <v/>
      </c>
      <c r="C10" s="8">
        <f>IF(Produits!$A$8="","",Produits!$C$8)</f>
        <v/>
      </c>
      <c r="D10" s="14" t="n"/>
      <c r="E10" s="14" t="n"/>
      <c r="F10" s="14" t="n"/>
      <c r="G10" s="14" t="n"/>
      <c r="H10" s="14" t="n"/>
      <c r="I10" s="14" t="n"/>
      <c r="J10" s="14" t="n"/>
      <c r="K10" s="14" t="n"/>
      <c r="L10" s="14" t="n"/>
      <c r="M10" s="14" t="n"/>
      <c r="N10" s="14" t="n"/>
      <c r="O10" s="14" t="n"/>
      <c r="P10" s="10">
        <f>IF(COUNT(E10,H10,K10,N10)=0,"",SUM(E10,H10,K10,N10))</f>
        <v/>
      </c>
      <c r="Q10" s="10">
        <f>IF(COUNT(F10,I10,L10,O10)=0,"",SUM(F10,I10,L10,O10))</f>
        <v/>
      </c>
      <c r="R10" s="10">
        <f>IF(OR(P10="",Q10=""),"",Q10-P10)</f>
        <v/>
      </c>
      <c r="S10" s="10">
        <f>IF(M10&lt;&gt;"",M10,IF(J10&lt;&gt;"",J10,IF(G10&lt;&gt;"",G10,IF(D10&lt;&gt;"",D10,""))))</f>
        <v/>
      </c>
    </row>
    <row r="11">
      <c r="A11" s="7">
        <f>IF(Produits!$A$9="","",Produits!$A$9)</f>
        <v/>
      </c>
      <c r="B11" s="19">
        <f>IF(Produits!$A$9="","",Produits!$B$9)</f>
        <v/>
      </c>
      <c r="C11" s="8">
        <f>IF(Produits!$A$9="","",Produits!$C$9)</f>
        <v/>
      </c>
      <c r="D11" s="14" t="n"/>
      <c r="E11" s="14" t="n"/>
      <c r="F11" s="14" t="n"/>
      <c r="G11" s="14" t="n"/>
      <c r="H11" s="14" t="n"/>
      <c r="I11" s="14" t="n"/>
      <c r="J11" s="14" t="n"/>
      <c r="K11" s="14" t="n"/>
      <c r="L11" s="14" t="n"/>
      <c r="M11" s="14" t="n"/>
      <c r="N11" s="14" t="n"/>
      <c r="O11" s="14" t="n"/>
      <c r="P11" s="10">
        <f>IF(COUNT(E11,H11,K11,N11)=0,"",SUM(E11,H11,K11,N11))</f>
        <v/>
      </c>
      <c r="Q11" s="10">
        <f>IF(COUNT(F11,I11,L11,O11)=0,"",SUM(F11,I11,L11,O11))</f>
        <v/>
      </c>
      <c r="R11" s="10">
        <f>IF(OR(P11="",Q11=""),"",Q11-P11)</f>
        <v/>
      </c>
      <c r="S11" s="10">
        <f>IF(M11&lt;&gt;"",M11,IF(J11&lt;&gt;"",J11,IF(G11&lt;&gt;"",G11,IF(D11&lt;&gt;"",D11,""))))</f>
        <v/>
      </c>
    </row>
    <row r="12">
      <c r="A12" s="7">
        <f>IF(Produits!$A$10="","",Produits!$A$10)</f>
        <v/>
      </c>
      <c r="B12" s="19">
        <f>IF(Produits!$A$10="","",Produits!$B$10)</f>
        <v/>
      </c>
      <c r="C12" s="8">
        <f>IF(Produits!$A$10="","",Produits!$C$10)</f>
        <v/>
      </c>
      <c r="D12" s="14" t="n"/>
      <c r="E12" s="14" t="n"/>
      <c r="F12" s="14" t="n"/>
      <c r="G12" s="14" t="n"/>
      <c r="H12" s="14" t="n"/>
      <c r="I12" s="14" t="n"/>
      <c r="J12" s="14" t="n"/>
      <c r="K12" s="14" t="n"/>
      <c r="L12" s="14" t="n"/>
      <c r="M12" s="14" t="n"/>
      <c r="N12" s="14" t="n"/>
      <c r="O12" s="14" t="n"/>
      <c r="P12" s="10">
        <f>IF(COUNT(E12,H12,K12,N12)=0,"",SUM(E12,H12,K12,N12))</f>
        <v/>
      </c>
      <c r="Q12" s="10">
        <f>IF(COUNT(F12,I12,L12,O12)=0,"",SUM(F12,I12,L12,O12))</f>
        <v/>
      </c>
      <c r="R12" s="10">
        <f>IF(OR(P12="",Q12=""),"",Q12-P12)</f>
        <v/>
      </c>
      <c r="S12" s="10">
        <f>IF(M12&lt;&gt;"",M12,IF(J12&lt;&gt;"",J12,IF(G12&lt;&gt;"",G12,IF(D12&lt;&gt;"",D12,""))))</f>
        <v/>
      </c>
    </row>
    <row r="13">
      <c r="A13" s="7">
        <f>IF(Produits!$A$11="","",Produits!$A$11)</f>
        <v/>
      </c>
      <c r="B13" s="19">
        <f>IF(Produits!$A$11="","",Produits!$B$11)</f>
        <v/>
      </c>
      <c r="C13" s="8">
        <f>IF(Produits!$A$11="","",Produits!$C$11)</f>
        <v/>
      </c>
      <c r="D13" s="14" t="n"/>
      <c r="E13" s="14" t="n"/>
      <c r="F13" s="14" t="n"/>
      <c r="G13" s="14" t="n"/>
      <c r="H13" s="14" t="n"/>
      <c r="I13" s="14" t="n"/>
      <c r="J13" s="14" t="n"/>
      <c r="K13" s="14" t="n"/>
      <c r="L13" s="14" t="n"/>
      <c r="M13" s="14" t="n"/>
      <c r="N13" s="14" t="n"/>
      <c r="O13" s="14" t="n"/>
      <c r="P13" s="10">
        <f>IF(COUNT(E13,H13,K13,N13)=0,"",SUM(E13,H13,K13,N13))</f>
        <v/>
      </c>
      <c r="Q13" s="10">
        <f>IF(COUNT(F13,I13,L13,O13)=0,"",SUM(F13,I13,L13,O13))</f>
        <v/>
      </c>
      <c r="R13" s="10">
        <f>IF(OR(P13="",Q13=""),"",Q13-P13)</f>
        <v/>
      </c>
      <c r="S13" s="10">
        <f>IF(M13&lt;&gt;"",M13,IF(J13&lt;&gt;"",J13,IF(G13&lt;&gt;"",G13,IF(D13&lt;&gt;"",D13,""))))</f>
        <v/>
      </c>
    </row>
    <row r="14">
      <c r="A14" s="7">
        <f>IF(Produits!$A$12="","",Produits!$A$12)</f>
        <v/>
      </c>
      <c r="B14" s="19">
        <f>IF(Produits!$A$12="","",Produits!$B$12)</f>
        <v/>
      </c>
      <c r="C14" s="8">
        <f>IF(Produits!$A$12="","",Produits!$C$12)</f>
        <v/>
      </c>
      <c r="D14" s="14" t="n"/>
      <c r="E14" s="14" t="n"/>
      <c r="F14" s="14" t="n"/>
      <c r="G14" s="14" t="n"/>
      <c r="H14" s="14" t="n"/>
      <c r="I14" s="14" t="n"/>
      <c r="J14" s="14" t="n"/>
      <c r="K14" s="14" t="n"/>
      <c r="L14" s="14" t="n"/>
      <c r="M14" s="14" t="n"/>
      <c r="N14" s="14" t="n"/>
      <c r="O14" s="14" t="n"/>
      <c r="P14" s="10">
        <f>IF(COUNT(E14,H14,K14,N14)=0,"",SUM(E14,H14,K14,N14))</f>
        <v/>
      </c>
      <c r="Q14" s="10">
        <f>IF(COUNT(F14,I14,L14,O14)=0,"",SUM(F14,I14,L14,O14))</f>
        <v/>
      </c>
      <c r="R14" s="10">
        <f>IF(OR(P14="",Q14=""),"",Q14-P14)</f>
        <v/>
      </c>
      <c r="S14" s="10">
        <f>IF(M14&lt;&gt;"",M14,IF(J14&lt;&gt;"",J14,IF(G14&lt;&gt;"",G14,IF(D14&lt;&gt;"",D14,""))))</f>
        <v/>
      </c>
    </row>
    <row r="15">
      <c r="A15" s="7">
        <f>IF(Produits!$A$13="","",Produits!$A$13)</f>
        <v/>
      </c>
      <c r="B15" s="19">
        <f>IF(Produits!$A$13="","",Produits!$B$13)</f>
        <v/>
      </c>
      <c r="C15" s="8">
        <f>IF(Produits!$A$13="","",Produits!$C$13)</f>
        <v/>
      </c>
      <c r="D15" s="14" t="n"/>
      <c r="E15" s="14" t="n"/>
      <c r="F15" s="14" t="n"/>
      <c r="G15" s="14" t="n"/>
      <c r="H15" s="14" t="n"/>
      <c r="I15" s="14" t="n"/>
      <c r="J15" s="14" t="n"/>
      <c r="K15" s="14" t="n"/>
      <c r="L15" s="14" t="n"/>
      <c r="M15" s="14" t="n"/>
      <c r="N15" s="14" t="n"/>
      <c r="O15" s="14" t="n"/>
      <c r="P15" s="10">
        <f>IF(COUNT(E15,H15,K15,N15)=0,"",SUM(E15,H15,K15,N15))</f>
        <v/>
      </c>
      <c r="Q15" s="10">
        <f>IF(COUNT(F15,I15,L15,O15)=0,"",SUM(F15,I15,L15,O15))</f>
        <v/>
      </c>
      <c r="R15" s="10">
        <f>IF(OR(P15="",Q15=""),"",Q15-P15)</f>
        <v/>
      </c>
      <c r="S15" s="10">
        <f>IF(M15&lt;&gt;"",M15,IF(J15&lt;&gt;"",J15,IF(G15&lt;&gt;"",G15,IF(D15&lt;&gt;"",D15,""))))</f>
        <v/>
      </c>
    </row>
    <row r="16">
      <c r="A16" s="7">
        <f>IF(Produits!$A$14="","",Produits!$A$14)</f>
        <v/>
      </c>
      <c r="B16" s="19">
        <f>IF(Produits!$A$14="","",Produits!$B$14)</f>
        <v/>
      </c>
      <c r="C16" s="8">
        <f>IF(Produits!$A$14="","",Produits!$C$14)</f>
        <v/>
      </c>
      <c r="D16" s="14" t="n"/>
      <c r="E16" s="14" t="n"/>
      <c r="F16" s="14" t="n"/>
      <c r="G16" s="14" t="n"/>
      <c r="H16" s="14" t="n"/>
      <c r="I16" s="14" t="n"/>
      <c r="J16" s="14" t="n"/>
      <c r="K16" s="14" t="n"/>
      <c r="L16" s="14" t="n"/>
      <c r="M16" s="14" t="n"/>
      <c r="N16" s="14" t="n"/>
      <c r="O16" s="14" t="n"/>
      <c r="P16" s="10">
        <f>IF(COUNT(E16,H16,K16,N16)=0,"",SUM(E16,H16,K16,N16))</f>
        <v/>
      </c>
      <c r="Q16" s="10">
        <f>IF(COUNT(F16,I16,L16,O16)=0,"",SUM(F16,I16,L16,O16))</f>
        <v/>
      </c>
      <c r="R16" s="10">
        <f>IF(OR(P16="",Q16=""),"",Q16-P16)</f>
        <v/>
      </c>
      <c r="S16" s="10">
        <f>IF(M16&lt;&gt;"",M16,IF(J16&lt;&gt;"",J16,IF(G16&lt;&gt;"",G16,IF(D16&lt;&gt;"",D16,""))))</f>
        <v/>
      </c>
    </row>
    <row r="17">
      <c r="A17" s="7">
        <f>IF(Produits!$A$15="","",Produits!$A$15)</f>
        <v/>
      </c>
      <c r="B17" s="19">
        <f>IF(Produits!$A$15="","",Produits!$B$15)</f>
        <v/>
      </c>
      <c r="C17" s="8">
        <f>IF(Produits!$A$15="","",Produits!$C$15)</f>
        <v/>
      </c>
      <c r="D17" s="14" t="n"/>
      <c r="E17" s="14" t="n"/>
      <c r="F17" s="14" t="n"/>
      <c r="G17" s="14" t="n"/>
      <c r="H17" s="14" t="n"/>
      <c r="I17" s="14" t="n"/>
      <c r="J17" s="14" t="n"/>
      <c r="K17" s="14" t="n"/>
      <c r="L17" s="14" t="n"/>
      <c r="M17" s="14" t="n"/>
      <c r="N17" s="14" t="n"/>
      <c r="O17" s="14" t="n"/>
      <c r="P17" s="10">
        <f>IF(COUNT(E17,H17,K17,N17)=0,"",SUM(E17,H17,K17,N17))</f>
        <v/>
      </c>
      <c r="Q17" s="10">
        <f>IF(COUNT(F17,I17,L17,O17)=0,"",SUM(F17,I17,L17,O17))</f>
        <v/>
      </c>
      <c r="R17" s="10">
        <f>IF(OR(P17="",Q17=""),"",Q17-P17)</f>
        <v/>
      </c>
      <c r="S17" s="10">
        <f>IF(M17&lt;&gt;"",M17,IF(J17&lt;&gt;"",J17,IF(G17&lt;&gt;"",G17,IF(D17&lt;&gt;"",D17,""))))</f>
        <v/>
      </c>
    </row>
    <row r="18">
      <c r="A18" s="7">
        <f>IF(Produits!$A$16="","",Produits!$A$16)</f>
        <v/>
      </c>
      <c r="B18" s="19">
        <f>IF(Produits!$A$16="","",Produits!$B$16)</f>
        <v/>
      </c>
      <c r="C18" s="8">
        <f>IF(Produits!$A$16="","",Produits!$C$16)</f>
        <v/>
      </c>
      <c r="D18" s="14" t="n"/>
      <c r="E18" s="14" t="n"/>
      <c r="F18" s="14" t="n"/>
      <c r="G18" s="14" t="n"/>
      <c r="H18" s="14" t="n"/>
      <c r="I18" s="14" t="n"/>
      <c r="J18" s="14" t="n"/>
      <c r="K18" s="14" t="n"/>
      <c r="L18" s="14" t="n"/>
      <c r="M18" s="14" t="n"/>
      <c r="N18" s="14" t="n"/>
      <c r="O18" s="14" t="n"/>
      <c r="P18" s="10">
        <f>IF(COUNT(E18,H18,K18,N18)=0,"",SUM(E18,H18,K18,N18))</f>
        <v/>
      </c>
      <c r="Q18" s="10">
        <f>IF(COUNT(F18,I18,L18,O18)=0,"",SUM(F18,I18,L18,O18))</f>
        <v/>
      </c>
      <c r="R18" s="10">
        <f>IF(OR(P18="",Q18=""),"",Q18-P18)</f>
        <v/>
      </c>
      <c r="S18" s="10">
        <f>IF(M18&lt;&gt;"",M18,IF(J18&lt;&gt;"",J18,IF(G18&lt;&gt;"",G18,IF(D18&lt;&gt;"",D18,""))))</f>
        <v/>
      </c>
    </row>
    <row r="19">
      <c r="A19" s="7">
        <f>IF(Produits!$A$17="","",Produits!$A$17)</f>
        <v/>
      </c>
      <c r="B19" s="19">
        <f>IF(Produits!$A$17="","",Produits!$B$17)</f>
        <v/>
      </c>
      <c r="C19" s="8">
        <f>IF(Produits!$A$17="","",Produits!$C$17)</f>
        <v/>
      </c>
      <c r="D19" s="14" t="n"/>
      <c r="E19" s="14" t="n"/>
      <c r="F19" s="14" t="n"/>
      <c r="G19" s="14" t="n"/>
      <c r="H19" s="14" t="n"/>
      <c r="I19" s="14" t="n"/>
      <c r="J19" s="14" t="n"/>
      <c r="K19" s="14" t="n"/>
      <c r="L19" s="14" t="n"/>
      <c r="M19" s="14" t="n"/>
      <c r="N19" s="14" t="n"/>
      <c r="O19" s="14" t="n"/>
      <c r="P19" s="10">
        <f>IF(COUNT(E19,H19,K19,N19)=0,"",SUM(E19,H19,K19,N19))</f>
        <v/>
      </c>
      <c r="Q19" s="10">
        <f>IF(COUNT(F19,I19,L19,O19)=0,"",SUM(F19,I19,L19,O19))</f>
        <v/>
      </c>
      <c r="R19" s="10">
        <f>IF(OR(P19="",Q19=""),"",Q19-P19)</f>
        <v/>
      </c>
      <c r="S19" s="10">
        <f>IF(M19&lt;&gt;"",M19,IF(J19&lt;&gt;"",J19,IF(G19&lt;&gt;"",G19,IF(D19&lt;&gt;"",D19,""))))</f>
        <v/>
      </c>
    </row>
    <row r="20">
      <c r="A20" s="7">
        <f>IF(Produits!$A$18="","",Produits!$A$18)</f>
        <v/>
      </c>
      <c r="B20" s="19">
        <f>IF(Produits!$A$18="","",Produits!$B$18)</f>
        <v/>
      </c>
      <c r="C20" s="8">
        <f>IF(Produits!$A$18="","",Produits!$C$18)</f>
        <v/>
      </c>
      <c r="D20" s="14" t="n"/>
      <c r="E20" s="14" t="n"/>
      <c r="F20" s="14" t="n"/>
      <c r="G20" s="14" t="n"/>
      <c r="H20" s="14" t="n"/>
      <c r="I20" s="14" t="n"/>
      <c r="J20" s="14" t="n"/>
      <c r="K20" s="14" t="n"/>
      <c r="L20" s="14" t="n"/>
      <c r="M20" s="14" t="n"/>
      <c r="N20" s="14" t="n"/>
      <c r="O20" s="14" t="n"/>
      <c r="P20" s="10">
        <f>IF(COUNT(E20,H20,K20,N20)=0,"",SUM(E20,H20,K20,N20))</f>
        <v/>
      </c>
      <c r="Q20" s="10">
        <f>IF(COUNT(F20,I20,L20,O20)=0,"",SUM(F20,I20,L20,O20))</f>
        <v/>
      </c>
      <c r="R20" s="10">
        <f>IF(OR(P20="",Q20=""),"",Q20-P20)</f>
        <v/>
      </c>
      <c r="S20" s="10">
        <f>IF(M20&lt;&gt;"",M20,IF(J20&lt;&gt;"",J20,IF(G20&lt;&gt;"",G20,IF(D20&lt;&gt;"",D20,""))))</f>
        <v/>
      </c>
    </row>
    <row r="21">
      <c r="A21" s="7">
        <f>IF(Produits!$A$19="","",Produits!$A$19)</f>
        <v/>
      </c>
      <c r="B21" s="19">
        <f>IF(Produits!$A$19="","",Produits!$B$19)</f>
        <v/>
      </c>
      <c r="C21" s="8">
        <f>IF(Produits!$A$19="","",Produits!$C$19)</f>
        <v/>
      </c>
      <c r="D21" s="14" t="n"/>
      <c r="E21" s="14" t="n"/>
      <c r="F21" s="14" t="n"/>
      <c r="G21" s="14" t="n"/>
      <c r="H21" s="14" t="n"/>
      <c r="I21" s="14" t="n"/>
      <c r="J21" s="14" t="n"/>
      <c r="K21" s="14" t="n"/>
      <c r="L21" s="14" t="n"/>
      <c r="M21" s="14" t="n"/>
      <c r="N21" s="14" t="n"/>
      <c r="O21" s="14" t="n"/>
      <c r="P21" s="10">
        <f>IF(COUNT(E21,H21,K21,N21)=0,"",SUM(E21,H21,K21,N21))</f>
        <v/>
      </c>
      <c r="Q21" s="10">
        <f>IF(COUNT(F21,I21,L21,O21)=0,"",SUM(F21,I21,L21,O21))</f>
        <v/>
      </c>
      <c r="R21" s="10">
        <f>IF(OR(P21="",Q21=""),"",Q21-P21)</f>
        <v/>
      </c>
      <c r="S21" s="10">
        <f>IF(M21&lt;&gt;"",M21,IF(J21&lt;&gt;"",J21,IF(G21&lt;&gt;"",G21,IF(D21&lt;&gt;"",D21,""))))</f>
        <v/>
      </c>
    </row>
    <row r="22">
      <c r="A22" s="7">
        <f>IF(Produits!$A$20="","",Produits!$A$20)</f>
        <v/>
      </c>
      <c r="B22" s="19">
        <f>IF(Produits!$A$20="","",Produits!$B$20)</f>
        <v/>
      </c>
      <c r="C22" s="8">
        <f>IF(Produits!$A$20="","",Produits!$C$20)</f>
        <v/>
      </c>
      <c r="D22" s="14" t="n"/>
      <c r="E22" s="14" t="n"/>
      <c r="F22" s="14" t="n"/>
      <c r="G22" s="14" t="n"/>
      <c r="H22" s="14" t="n"/>
      <c r="I22" s="14" t="n"/>
      <c r="J22" s="14" t="n"/>
      <c r="K22" s="14" t="n"/>
      <c r="L22" s="14" t="n"/>
      <c r="M22" s="14" t="n"/>
      <c r="N22" s="14" t="n"/>
      <c r="O22" s="14" t="n"/>
      <c r="P22" s="10">
        <f>IF(COUNT(E22,H22,K22,N22)=0,"",SUM(E22,H22,K22,N22))</f>
        <v/>
      </c>
      <c r="Q22" s="10">
        <f>IF(COUNT(F22,I22,L22,O22)=0,"",SUM(F22,I22,L22,O22))</f>
        <v/>
      </c>
      <c r="R22" s="10">
        <f>IF(OR(P22="",Q22=""),"",Q22-P22)</f>
        <v/>
      </c>
      <c r="S22" s="10">
        <f>IF(M22&lt;&gt;"",M22,IF(J22&lt;&gt;"",J22,IF(G22&lt;&gt;"",G22,IF(D22&lt;&gt;"",D22,""))))</f>
        <v/>
      </c>
    </row>
    <row r="23">
      <c r="A23" s="7">
        <f>IF(Produits!$A$21="","",Produits!$A$21)</f>
        <v/>
      </c>
      <c r="B23" s="19">
        <f>IF(Produits!$A$21="","",Produits!$B$21)</f>
        <v/>
      </c>
      <c r="C23" s="8">
        <f>IF(Produits!$A$21="","",Produits!$C$21)</f>
        <v/>
      </c>
      <c r="D23" s="14" t="n"/>
      <c r="E23" s="14" t="n"/>
      <c r="F23" s="14" t="n"/>
      <c r="G23" s="14" t="n"/>
      <c r="H23" s="14" t="n"/>
      <c r="I23" s="14" t="n"/>
      <c r="J23" s="14" t="n"/>
      <c r="K23" s="14" t="n"/>
      <c r="L23" s="14" t="n"/>
      <c r="M23" s="14" t="n"/>
      <c r="N23" s="14" t="n"/>
      <c r="O23" s="14" t="n"/>
      <c r="P23" s="10">
        <f>IF(COUNT(E23,H23,K23,N23)=0,"",SUM(E23,H23,K23,N23))</f>
        <v/>
      </c>
      <c r="Q23" s="10">
        <f>IF(COUNT(F23,I23,L23,O23)=0,"",SUM(F23,I23,L23,O23))</f>
        <v/>
      </c>
      <c r="R23" s="10">
        <f>IF(OR(P23="",Q23=""),"",Q23-P23)</f>
        <v/>
      </c>
      <c r="S23" s="10">
        <f>IF(M23&lt;&gt;"",M23,IF(J23&lt;&gt;"",J23,IF(G23&lt;&gt;"",G23,IF(D23&lt;&gt;"",D23,""))))</f>
        <v/>
      </c>
    </row>
    <row r="24">
      <c r="A24" s="7">
        <f>IF(Produits!$A$22="","",Produits!$A$22)</f>
        <v/>
      </c>
      <c r="B24" s="19">
        <f>IF(Produits!$A$22="","",Produits!$B$22)</f>
        <v/>
      </c>
      <c r="C24" s="8">
        <f>IF(Produits!$A$22="","",Produits!$C$22)</f>
        <v/>
      </c>
      <c r="D24" s="14" t="n"/>
      <c r="E24" s="14" t="n"/>
      <c r="F24" s="14" t="n"/>
      <c r="G24" s="14" t="n"/>
      <c r="H24" s="14" t="n"/>
      <c r="I24" s="14" t="n"/>
      <c r="J24" s="14" t="n"/>
      <c r="K24" s="14" t="n"/>
      <c r="L24" s="14" t="n"/>
      <c r="M24" s="14" t="n"/>
      <c r="N24" s="14" t="n"/>
      <c r="O24" s="14" t="n"/>
      <c r="P24" s="10">
        <f>IF(COUNT(E24,H24,K24,N24)=0,"",SUM(E24,H24,K24,N24))</f>
        <v/>
      </c>
      <c r="Q24" s="10">
        <f>IF(COUNT(F24,I24,L24,O24)=0,"",SUM(F24,I24,L24,O24))</f>
        <v/>
      </c>
      <c r="R24" s="10">
        <f>IF(OR(P24="",Q24=""),"",Q24-P24)</f>
        <v/>
      </c>
      <c r="S24" s="10">
        <f>IF(M24&lt;&gt;"",M24,IF(J24&lt;&gt;"",J24,IF(G24&lt;&gt;"",G24,IF(D24&lt;&gt;"",D24,""))))</f>
        <v/>
      </c>
    </row>
    <row r="25">
      <c r="A25" s="7">
        <f>IF(Produits!$A$23="","",Produits!$A$23)</f>
        <v/>
      </c>
      <c r="B25" s="19">
        <f>IF(Produits!$A$23="","",Produits!$B$23)</f>
        <v/>
      </c>
      <c r="C25" s="8">
        <f>IF(Produits!$A$23="","",Produits!$C$23)</f>
        <v/>
      </c>
      <c r="D25" s="14" t="n"/>
      <c r="E25" s="14" t="n"/>
      <c r="F25" s="14" t="n"/>
      <c r="G25" s="14" t="n"/>
      <c r="H25" s="14" t="n"/>
      <c r="I25" s="14" t="n"/>
      <c r="J25" s="14" t="n"/>
      <c r="K25" s="14" t="n"/>
      <c r="L25" s="14" t="n"/>
      <c r="M25" s="14" t="n"/>
      <c r="N25" s="14" t="n"/>
      <c r="O25" s="14" t="n"/>
      <c r="P25" s="10">
        <f>IF(COUNT(E25,H25,K25,N25)=0,"",SUM(E25,H25,K25,N25))</f>
        <v/>
      </c>
      <c r="Q25" s="10">
        <f>IF(COUNT(F25,I25,L25,O25)=0,"",SUM(F25,I25,L25,O25))</f>
        <v/>
      </c>
      <c r="R25" s="10">
        <f>IF(OR(P25="",Q25=""),"",Q25-P25)</f>
        <v/>
      </c>
      <c r="S25" s="10">
        <f>IF(M25&lt;&gt;"",M25,IF(J25&lt;&gt;"",J25,IF(G25&lt;&gt;"",G25,IF(D25&lt;&gt;"",D25,""))))</f>
        <v/>
      </c>
    </row>
    <row r="26">
      <c r="A26" s="7">
        <f>IF(Produits!$A$24="","",Produits!$A$24)</f>
        <v/>
      </c>
      <c r="B26" s="19">
        <f>IF(Produits!$A$24="","",Produits!$B$24)</f>
        <v/>
      </c>
      <c r="C26" s="8">
        <f>IF(Produits!$A$24="","",Produits!$C$24)</f>
        <v/>
      </c>
      <c r="D26" s="14" t="n"/>
      <c r="E26" s="14" t="n"/>
      <c r="F26" s="14" t="n"/>
      <c r="G26" s="14" t="n"/>
      <c r="H26" s="14" t="n"/>
      <c r="I26" s="14" t="n"/>
      <c r="J26" s="14" t="n"/>
      <c r="K26" s="14" t="n"/>
      <c r="L26" s="14" t="n"/>
      <c r="M26" s="14" t="n"/>
      <c r="N26" s="14" t="n"/>
      <c r="O26" s="14" t="n"/>
      <c r="P26" s="10">
        <f>IF(COUNT(E26,H26,K26,N26)=0,"",SUM(E26,H26,K26,N26))</f>
        <v/>
      </c>
      <c r="Q26" s="10">
        <f>IF(COUNT(F26,I26,L26,O26)=0,"",SUM(F26,I26,L26,O26))</f>
        <v/>
      </c>
      <c r="R26" s="10">
        <f>IF(OR(P26="",Q26=""),"",Q26-P26)</f>
        <v/>
      </c>
      <c r="S26" s="10">
        <f>IF(M26&lt;&gt;"",M26,IF(J26&lt;&gt;"",J26,IF(G26&lt;&gt;"",G26,IF(D26&lt;&gt;"",D26,""))))</f>
        <v/>
      </c>
    </row>
    <row r="27">
      <c r="A27" s="7">
        <f>IF(Produits!$A$25="","",Produits!$A$25)</f>
        <v/>
      </c>
      <c r="B27" s="19">
        <f>IF(Produits!$A$25="","",Produits!$B$25)</f>
        <v/>
      </c>
      <c r="C27" s="8">
        <f>IF(Produits!$A$25="","",Produits!$C$25)</f>
        <v/>
      </c>
      <c r="D27" s="14" t="n"/>
      <c r="E27" s="14" t="n"/>
      <c r="F27" s="14" t="n"/>
      <c r="G27" s="14" t="n"/>
      <c r="H27" s="14" t="n"/>
      <c r="I27" s="14" t="n"/>
      <c r="J27" s="14" t="n"/>
      <c r="K27" s="14" t="n"/>
      <c r="L27" s="14" t="n"/>
      <c r="M27" s="14" t="n"/>
      <c r="N27" s="14" t="n"/>
      <c r="O27" s="14" t="n"/>
      <c r="P27" s="10">
        <f>IF(COUNT(E27,H27,K27,N27)=0,"",SUM(E27,H27,K27,N27))</f>
        <v/>
      </c>
      <c r="Q27" s="10">
        <f>IF(COUNT(F27,I27,L27,O27)=0,"",SUM(F27,I27,L27,O27))</f>
        <v/>
      </c>
      <c r="R27" s="10">
        <f>IF(OR(P27="",Q27=""),"",Q27-P27)</f>
        <v/>
      </c>
      <c r="S27" s="10">
        <f>IF(M27&lt;&gt;"",M27,IF(J27&lt;&gt;"",J27,IF(G27&lt;&gt;"",G27,IF(D27&lt;&gt;"",D27,""))))</f>
        <v/>
      </c>
    </row>
    <row r="28">
      <c r="A28" s="7">
        <f>IF(Produits!$A$26="","",Produits!$A$26)</f>
        <v/>
      </c>
      <c r="B28" s="19">
        <f>IF(Produits!$A$26="","",Produits!$B$26)</f>
        <v/>
      </c>
      <c r="C28" s="8">
        <f>IF(Produits!$A$26="","",Produits!$C$26)</f>
        <v/>
      </c>
      <c r="D28" s="14" t="n"/>
      <c r="E28" s="14" t="n"/>
      <c r="F28" s="14" t="n"/>
      <c r="G28" s="14" t="n"/>
      <c r="H28" s="14" t="n"/>
      <c r="I28" s="14" t="n"/>
      <c r="J28" s="14" t="n"/>
      <c r="K28" s="14" t="n"/>
      <c r="L28" s="14" t="n"/>
      <c r="M28" s="14" t="n"/>
      <c r="N28" s="14" t="n"/>
      <c r="O28" s="14" t="n"/>
      <c r="P28" s="10">
        <f>IF(COUNT(E28,H28,K28,N28)=0,"",SUM(E28,H28,K28,N28))</f>
        <v/>
      </c>
      <c r="Q28" s="10">
        <f>IF(COUNT(F28,I28,L28,O28)=0,"",SUM(F28,I28,L28,O28))</f>
        <v/>
      </c>
      <c r="R28" s="10">
        <f>IF(OR(P28="",Q28=""),"",Q28-P28)</f>
        <v/>
      </c>
      <c r="S28" s="10">
        <f>IF(M28&lt;&gt;"",M28,IF(J28&lt;&gt;"",J28,IF(G28&lt;&gt;"",G28,IF(D28&lt;&gt;"",D28,""))))</f>
        <v/>
      </c>
    </row>
    <row r="29">
      <c r="A29" s="7">
        <f>IF(Produits!$A$27="","",Produits!$A$27)</f>
        <v/>
      </c>
      <c r="B29" s="19">
        <f>IF(Produits!$A$27="","",Produits!$B$27)</f>
        <v/>
      </c>
      <c r="C29" s="8">
        <f>IF(Produits!$A$27="","",Produits!$C$27)</f>
        <v/>
      </c>
      <c r="D29" s="14" t="n"/>
      <c r="E29" s="14" t="n"/>
      <c r="F29" s="14" t="n"/>
      <c r="G29" s="14" t="n"/>
      <c r="H29" s="14" t="n"/>
      <c r="I29" s="14" t="n"/>
      <c r="J29" s="14" t="n"/>
      <c r="K29" s="14" t="n"/>
      <c r="L29" s="14" t="n"/>
      <c r="M29" s="14" t="n"/>
      <c r="N29" s="14" t="n"/>
      <c r="O29" s="14" t="n"/>
      <c r="P29" s="10">
        <f>IF(COUNT(E29,H29,K29,N29)=0,"",SUM(E29,H29,K29,N29))</f>
        <v/>
      </c>
      <c r="Q29" s="10">
        <f>IF(COUNT(F29,I29,L29,O29)=0,"",SUM(F29,I29,L29,O29))</f>
        <v/>
      </c>
      <c r="R29" s="10">
        <f>IF(OR(P29="",Q29=""),"",Q29-P29)</f>
        <v/>
      </c>
      <c r="S29" s="10">
        <f>IF(M29&lt;&gt;"",M29,IF(J29&lt;&gt;"",J29,IF(G29&lt;&gt;"",G29,IF(D29&lt;&gt;"",D29,""))))</f>
        <v/>
      </c>
    </row>
    <row r="30">
      <c r="A30" s="7">
        <f>IF(Produits!$A$28="","",Produits!$A$28)</f>
        <v/>
      </c>
      <c r="B30" s="19">
        <f>IF(Produits!$A$28="","",Produits!$B$28)</f>
        <v/>
      </c>
      <c r="C30" s="8">
        <f>IF(Produits!$A$28="","",Produits!$C$28)</f>
        <v/>
      </c>
      <c r="D30" s="14" t="n"/>
      <c r="E30" s="14" t="n"/>
      <c r="F30" s="14" t="n"/>
      <c r="G30" s="14" t="n"/>
      <c r="H30" s="14" t="n"/>
      <c r="I30" s="14" t="n"/>
      <c r="J30" s="14" t="n"/>
      <c r="K30" s="14" t="n"/>
      <c r="L30" s="14" t="n"/>
      <c r="M30" s="14" t="n"/>
      <c r="N30" s="14" t="n"/>
      <c r="O30" s="14" t="n"/>
      <c r="P30" s="10">
        <f>IF(COUNT(E30,H30,K30,N30)=0,"",SUM(E30,H30,K30,N30))</f>
        <v/>
      </c>
      <c r="Q30" s="10">
        <f>IF(COUNT(F30,I30,L30,O30)=0,"",SUM(F30,I30,L30,O30))</f>
        <v/>
      </c>
      <c r="R30" s="10">
        <f>IF(OR(P30="",Q30=""),"",Q30-P30)</f>
        <v/>
      </c>
      <c r="S30" s="10">
        <f>IF(M30&lt;&gt;"",M30,IF(J30&lt;&gt;"",J30,IF(G30&lt;&gt;"",G30,IF(D30&lt;&gt;"",D30,""))))</f>
        <v/>
      </c>
    </row>
    <row r="31">
      <c r="A31" s="7">
        <f>IF(Produits!$A$29="","",Produits!$A$29)</f>
        <v/>
      </c>
      <c r="B31" s="19">
        <f>IF(Produits!$A$29="","",Produits!$B$29)</f>
        <v/>
      </c>
      <c r="C31" s="8">
        <f>IF(Produits!$A$29="","",Produits!$C$29)</f>
        <v/>
      </c>
      <c r="D31" s="14" t="n"/>
      <c r="E31" s="14" t="n"/>
      <c r="F31" s="14" t="n"/>
      <c r="G31" s="14" t="n"/>
      <c r="H31" s="14" t="n"/>
      <c r="I31" s="14" t="n"/>
      <c r="J31" s="14" t="n"/>
      <c r="K31" s="14" t="n"/>
      <c r="L31" s="14" t="n"/>
      <c r="M31" s="14" t="n"/>
      <c r="N31" s="14" t="n"/>
      <c r="O31" s="14" t="n"/>
      <c r="P31" s="10">
        <f>IF(COUNT(E31,H31,K31,N31)=0,"",SUM(E31,H31,K31,N31))</f>
        <v/>
      </c>
      <c r="Q31" s="10">
        <f>IF(COUNT(F31,I31,L31,O31)=0,"",SUM(F31,I31,L31,O31))</f>
        <v/>
      </c>
      <c r="R31" s="10">
        <f>IF(OR(P31="",Q31=""),"",Q31-P31)</f>
        <v/>
      </c>
      <c r="S31" s="10">
        <f>IF(M31&lt;&gt;"",M31,IF(J31&lt;&gt;"",J31,IF(G31&lt;&gt;"",G31,IF(D31&lt;&gt;"",D31,""))))</f>
        <v/>
      </c>
    </row>
    <row r="32">
      <c r="A32" s="7">
        <f>IF(Produits!$A$30="","",Produits!$A$30)</f>
        <v/>
      </c>
      <c r="B32" s="19">
        <f>IF(Produits!$A$30="","",Produits!$B$30)</f>
        <v/>
      </c>
      <c r="C32" s="8">
        <f>IF(Produits!$A$30="","",Produits!$C$30)</f>
        <v/>
      </c>
      <c r="D32" s="14" t="n"/>
      <c r="E32" s="14" t="n"/>
      <c r="F32" s="14" t="n"/>
      <c r="G32" s="14" t="n"/>
      <c r="H32" s="14" t="n"/>
      <c r="I32" s="14" t="n"/>
      <c r="J32" s="14" t="n"/>
      <c r="K32" s="14" t="n"/>
      <c r="L32" s="14" t="n"/>
      <c r="M32" s="14" t="n"/>
      <c r="N32" s="14" t="n"/>
      <c r="O32" s="14" t="n"/>
      <c r="P32" s="10">
        <f>IF(COUNT(E32,H32,K32,N32)=0,"",SUM(E32,H32,K32,N32))</f>
        <v/>
      </c>
      <c r="Q32" s="10">
        <f>IF(COUNT(F32,I32,L32,O32)=0,"",SUM(F32,I32,L32,O32))</f>
        <v/>
      </c>
      <c r="R32" s="10">
        <f>IF(OR(P32="",Q32=""),"",Q32-P32)</f>
        <v/>
      </c>
      <c r="S32" s="10">
        <f>IF(M32&lt;&gt;"",M32,IF(J32&lt;&gt;"",J32,IF(G32&lt;&gt;"",G32,IF(D32&lt;&gt;"",D32,""))))</f>
        <v/>
      </c>
    </row>
    <row r="33">
      <c r="A33" s="7">
        <f>IF(Produits!$A$31="","",Produits!$A$31)</f>
        <v/>
      </c>
      <c r="B33" s="19">
        <f>IF(Produits!$A$31="","",Produits!$B$31)</f>
        <v/>
      </c>
      <c r="C33" s="8">
        <f>IF(Produits!$A$31="","",Produits!$C$31)</f>
        <v/>
      </c>
      <c r="D33" s="14" t="n"/>
      <c r="E33" s="14" t="n"/>
      <c r="F33" s="14" t="n"/>
      <c r="G33" s="14" t="n"/>
      <c r="H33" s="14" t="n"/>
      <c r="I33" s="14" t="n"/>
      <c r="J33" s="14" t="n"/>
      <c r="K33" s="14" t="n"/>
      <c r="L33" s="14" t="n"/>
      <c r="M33" s="14" t="n"/>
      <c r="N33" s="14" t="n"/>
      <c r="O33" s="14" t="n"/>
      <c r="P33" s="10">
        <f>IF(COUNT(E33,H33,K33,N33)=0,"",SUM(E33,H33,K33,N33))</f>
        <v/>
      </c>
      <c r="Q33" s="10">
        <f>IF(COUNT(F33,I33,L33,O33)=0,"",SUM(F33,I33,L33,O33))</f>
        <v/>
      </c>
      <c r="R33" s="10">
        <f>IF(OR(P33="",Q33=""),"",Q33-P33)</f>
        <v/>
      </c>
      <c r="S33" s="10">
        <f>IF(M33&lt;&gt;"",M33,IF(J33&lt;&gt;"",J33,IF(G33&lt;&gt;"",G33,IF(D33&lt;&gt;"",D33,""))))</f>
        <v/>
      </c>
    </row>
    <row r="34">
      <c r="A34" s="7">
        <f>IF(Produits!$A$32="","",Produits!$A$32)</f>
        <v/>
      </c>
      <c r="B34" s="19">
        <f>IF(Produits!$A$32="","",Produits!$B$32)</f>
        <v/>
      </c>
      <c r="C34" s="8">
        <f>IF(Produits!$A$32="","",Produits!$C$32)</f>
        <v/>
      </c>
      <c r="D34" s="14" t="n"/>
      <c r="E34" s="14" t="n"/>
      <c r="F34" s="14" t="n"/>
      <c r="G34" s="14" t="n"/>
      <c r="H34" s="14" t="n"/>
      <c r="I34" s="14" t="n"/>
      <c r="J34" s="14" t="n"/>
      <c r="K34" s="14" t="n"/>
      <c r="L34" s="14" t="n"/>
      <c r="M34" s="14" t="n"/>
      <c r="N34" s="14" t="n"/>
      <c r="O34" s="14" t="n"/>
      <c r="P34" s="10">
        <f>IF(COUNT(E34,H34,K34,N34)=0,"",SUM(E34,H34,K34,N34))</f>
        <v/>
      </c>
      <c r="Q34" s="10">
        <f>IF(COUNT(F34,I34,L34,O34)=0,"",SUM(F34,I34,L34,O34))</f>
        <v/>
      </c>
      <c r="R34" s="10">
        <f>IF(OR(P34="",Q34=""),"",Q34-P34)</f>
        <v/>
      </c>
      <c r="S34" s="10">
        <f>IF(M34&lt;&gt;"",M34,IF(J34&lt;&gt;"",J34,IF(G34&lt;&gt;"",G34,IF(D34&lt;&gt;"",D34,""))))</f>
        <v/>
      </c>
    </row>
    <row r="35">
      <c r="A35" s="7">
        <f>IF(Produits!$A$33="","",Produits!$A$33)</f>
        <v/>
      </c>
      <c r="B35" s="19">
        <f>IF(Produits!$A$33="","",Produits!$B$33)</f>
        <v/>
      </c>
      <c r="C35" s="8">
        <f>IF(Produits!$A$33="","",Produits!$C$33)</f>
        <v/>
      </c>
      <c r="D35" s="14" t="n"/>
      <c r="E35" s="14" t="n"/>
      <c r="F35" s="14" t="n"/>
      <c r="G35" s="14" t="n"/>
      <c r="H35" s="14" t="n"/>
      <c r="I35" s="14" t="n"/>
      <c r="J35" s="14" t="n"/>
      <c r="K35" s="14" t="n"/>
      <c r="L35" s="14" t="n"/>
      <c r="M35" s="14" t="n"/>
      <c r="N35" s="14" t="n"/>
      <c r="O35" s="14" t="n"/>
      <c r="P35" s="10">
        <f>IF(COUNT(E35,H35,K35,N35)=0,"",SUM(E35,H35,K35,N35))</f>
        <v/>
      </c>
      <c r="Q35" s="10">
        <f>IF(COUNT(F35,I35,L35,O35)=0,"",SUM(F35,I35,L35,O35))</f>
        <v/>
      </c>
      <c r="R35" s="10">
        <f>IF(OR(P35="",Q35=""),"",Q35-P35)</f>
        <v/>
      </c>
      <c r="S35" s="10">
        <f>IF(M35&lt;&gt;"",M35,IF(J35&lt;&gt;"",J35,IF(G35&lt;&gt;"",G35,IF(D35&lt;&gt;"",D35,""))))</f>
        <v/>
      </c>
    </row>
    <row r="36">
      <c r="A36" s="7">
        <f>IF(Produits!$A$34="","",Produits!$A$34)</f>
        <v/>
      </c>
      <c r="B36" s="19">
        <f>IF(Produits!$A$34="","",Produits!$B$34)</f>
        <v/>
      </c>
      <c r="C36" s="8">
        <f>IF(Produits!$A$34="","",Produits!$C$34)</f>
        <v/>
      </c>
      <c r="D36" s="14" t="n"/>
      <c r="E36" s="14" t="n"/>
      <c r="F36" s="14" t="n"/>
      <c r="G36" s="14" t="n"/>
      <c r="H36" s="14" t="n"/>
      <c r="I36" s="14" t="n"/>
      <c r="J36" s="14" t="n"/>
      <c r="K36" s="14" t="n"/>
      <c r="L36" s="14" t="n"/>
      <c r="M36" s="14" t="n"/>
      <c r="N36" s="14" t="n"/>
      <c r="O36" s="14" t="n"/>
      <c r="P36" s="10">
        <f>IF(COUNT(E36,H36,K36,N36)=0,"",SUM(E36,H36,K36,N36))</f>
        <v/>
      </c>
      <c r="Q36" s="10">
        <f>IF(COUNT(F36,I36,L36,O36)=0,"",SUM(F36,I36,L36,O36))</f>
        <v/>
      </c>
      <c r="R36" s="10">
        <f>IF(OR(P36="",Q36=""),"",Q36-P36)</f>
        <v/>
      </c>
      <c r="S36" s="10">
        <f>IF(M36&lt;&gt;"",M36,IF(J36&lt;&gt;"",J36,IF(G36&lt;&gt;"",G36,IF(D36&lt;&gt;"",D36,""))))</f>
        <v/>
      </c>
    </row>
    <row r="37">
      <c r="A37" s="7">
        <f>IF(Produits!$A$35="","",Produits!$A$35)</f>
        <v/>
      </c>
      <c r="B37" s="19">
        <f>IF(Produits!$A$35="","",Produits!$B$35)</f>
        <v/>
      </c>
      <c r="C37" s="8">
        <f>IF(Produits!$A$35="","",Produits!$C$35)</f>
        <v/>
      </c>
      <c r="D37" s="14" t="n"/>
      <c r="E37" s="14" t="n"/>
      <c r="F37" s="14" t="n"/>
      <c r="G37" s="14" t="n"/>
      <c r="H37" s="14" t="n"/>
      <c r="I37" s="14" t="n"/>
      <c r="J37" s="14" t="n"/>
      <c r="K37" s="14" t="n"/>
      <c r="L37" s="14" t="n"/>
      <c r="M37" s="14" t="n"/>
      <c r="N37" s="14" t="n"/>
      <c r="O37" s="14" t="n"/>
      <c r="P37" s="10">
        <f>IF(COUNT(E37,H37,K37,N37)=0,"",SUM(E37,H37,K37,N37))</f>
        <v/>
      </c>
      <c r="Q37" s="10">
        <f>IF(COUNT(F37,I37,L37,O37)=0,"",SUM(F37,I37,L37,O37))</f>
        <v/>
      </c>
      <c r="R37" s="10">
        <f>IF(OR(P37="",Q37=""),"",Q37-P37)</f>
        <v/>
      </c>
      <c r="S37" s="10">
        <f>IF(M37&lt;&gt;"",M37,IF(J37&lt;&gt;"",J37,IF(G37&lt;&gt;"",G37,IF(D37&lt;&gt;"",D37,""))))</f>
        <v/>
      </c>
    </row>
    <row r="38">
      <c r="A38" s="7">
        <f>IF(Produits!$A$36="","",Produits!$A$36)</f>
        <v/>
      </c>
      <c r="B38" s="19">
        <f>IF(Produits!$A$36="","",Produits!$B$36)</f>
        <v/>
      </c>
      <c r="C38" s="8">
        <f>IF(Produits!$A$36="","",Produits!$C$36)</f>
        <v/>
      </c>
      <c r="D38" s="14" t="n"/>
      <c r="E38" s="14" t="n"/>
      <c r="F38" s="14" t="n"/>
      <c r="G38" s="14" t="n"/>
      <c r="H38" s="14" t="n"/>
      <c r="I38" s="14" t="n"/>
      <c r="J38" s="14" t="n"/>
      <c r="K38" s="14" t="n"/>
      <c r="L38" s="14" t="n"/>
      <c r="M38" s="14" t="n"/>
      <c r="N38" s="14" t="n"/>
      <c r="O38" s="14" t="n"/>
      <c r="P38" s="10">
        <f>IF(COUNT(E38,H38,K38,N38)=0,"",SUM(E38,H38,K38,N38))</f>
        <v/>
      </c>
      <c r="Q38" s="10">
        <f>IF(COUNT(F38,I38,L38,O38)=0,"",SUM(F38,I38,L38,O38))</f>
        <v/>
      </c>
      <c r="R38" s="10">
        <f>IF(OR(P38="",Q38=""),"",Q38-P38)</f>
        <v/>
      </c>
      <c r="S38" s="10">
        <f>IF(M38&lt;&gt;"",M38,IF(J38&lt;&gt;"",J38,IF(G38&lt;&gt;"",G38,IF(D38&lt;&gt;"",D38,""))))</f>
        <v/>
      </c>
    </row>
    <row r="39">
      <c r="A39" s="7">
        <f>IF(Produits!$A$37="","",Produits!$A$37)</f>
        <v/>
      </c>
      <c r="B39" s="19">
        <f>IF(Produits!$A$37="","",Produits!$B$37)</f>
        <v/>
      </c>
      <c r="C39" s="8">
        <f>IF(Produits!$A$37="","",Produits!$C$37)</f>
        <v/>
      </c>
      <c r="D39" s="14" t="n"/>
      <c r="E39" s="14" t="n"/>
      <c r="F39" s="14" t="n"/>
      <c r="G39" s="14" t="n"/>
      <c r="H39" s="14" t="n"/>
      <c r="I39" s="14" t="n"/>
      <c r="J39" s="14" t="n"/>
      <c r="K39" s="14" t="n"/>
      <c r="L39" s="14" t="n"/>
      <c r="M39" s="14" t="n"/>
      <c r="N39" s="14" t="n"/>
      <c r="O39" s="14" t="n"/>
      <c r="P39" s="10">
        <f>IF(COUNT(E39,H39,K39,N39)=0,"",SUM(E39,H39,K39,N39))</f>
        <v/>
      </c>
      <c r="Q39" s="10">
        <f>IF(COUNT(F39,I39,L39,O39)=0,"",SUM(F39,I39,L39,O39))</f>
        <v/>
      </c>
      <c r="R39" s="10">
        <f>IF(OR(P39="",Q39=""),"",Q39-P39)</f>
        <v/>
      </c>
      <c r="S39" s="10">
        <f>IF(M39&lt;&gt;"",M39,IF(J39&lt;&gt;"",J39,IF(G39&lt;&gt;"",G39,IF(D39&lt;&gt;"",D39,""))))</f>
        <v/>
      </c>
    </row>
    <row r="40">
      <c r="A40" s="7">
        <f>IF(Produits!$A$38="","",Produits!$A$38)</f>
        <v/>
      </c>
      <c r="B40" s="19">
        <f>IF(Produits!$A$38="","",Produits!$B$38)</f>
        <v/>
      </c>
      <c r="C40" s="8">
        <f>IF(Produits!$A$38="","",Produits!$C$38)</f>
        <v/>
      </c>
      <c r="D40" s="14" t="n"/>
      <c r="E40" s="14" t="n"/>
      <c r="F40" s="14" t="n"/>
      <c r="G40" s="14" t="n"/>
      <c r="H40" s="14" t="n"/>
      <c r="I40" s="14" t="n"/>
      <c r="J40" s="14" t="n"/>
      <c r="K40" s="14" t="n"/>
      <c r="L40" s="14" t="n"/>
      <c r="M40" s="14" t="n"/>
      <c r="N40" s="14" t="n"/>
      <c r="O40" s="14" t="n"/>
      <c r="P40" s="10">
        <f>IF(COUNT(E40,H40,K40,N40)=0,"",SUM(E40,H40,K40,N40))</f>
        <v/>
      </c>
      <c r="Q40" s="10">
        <f>IF(COUNT(F40,I40,L40,O40)=0,"",SUM(F40,I40,L40,O40))</f>
        <v/>
      </c>
      <c r="R40" s="10">
        <f>IF(OR(P40="",Q40=""),"",Q40-P40)</f>
        <v/>
      </c>
      <c r="S40" s="10">
        <f>IF(M40&lt;&gt;"",M40,IF(J40&lt;&gt;"",J40,IF(G40&lt;&gt;"",G40,IF(D40&lt;&gt;"",D40,""))))</f>
        <v/>
      </c>
    </row>
    <row r="41">
      <c r="A41" s="7">
        <f>IF(Produits!$A$39="","",Produits!$A$39)</f>
        <v/>
      </c>
      <c r="B41" s="19">
        <f>IF(Produits!$A$39="","",Produits!$B$39)</f>
        <v/>
      </c>
      <c r="C41" s="8">
        <f>IF(Produits!$A$39="","",Produits!$C$39)</f>
        <v/>
      </c>
      <c r="D41" s="14" t="n"/>
      <c r="E41" s="14" t="n"/>
      <c r="F41" s="14" t="n"/>
      <c r="G41" s="14" t="n"/>
      <c r="H41" s="14" t="n"/>
      <c r="I41" s="14" t="n"/>
      <c r="J41" s="14" t="n"/>
      <c r="K41" s="14" t="n"/>
      <c r="L41" s="14" t="n"/>
      <c r="M41" s="14" t="n"/>
      <c r="N41" s="14" t="n"/>
      <c r="O41" s="14" t="n"/>
      <c r="P41" s="10">
        <f>IF(COUNT(E41,H41,K41,N41)=0,"",SUM(E41,H41,K41,N41))</f>
        <v/>
      </c>
      <c r="Q41" s="10">
        <f>IF(COUNT(F41,I41,L41,O41)=0,"",SUM(F41,I41,L41,O41))</f>
        <v/>
      </c>
      <c r="R41" s="10">
        <f>IF(OR(P41="",Q41=""),"",Q41-P41)</f>
        <v/>
      </c>
      <c r="S41" s="10">
        <f>IF(M41&lt;&gt;"",M41,IF(J41&lt;&gt;"",J41,IF(G41&lt;&gt;"",G41,IF(D41&lt;&gt;"",D41,""))))</f>
        <v/>
      </c>
    </row>
    <row r="42">
      <c r="A42" s="7">
        <f>IF(Produits!$A$40="","",Produits!$A$40)</f>
        <v/>
      </c>
      <c r="B42" s="19">
        <f>IF(Produits!$A$40="","",Produits!$B$40)</f>
        <v/>
      </c>
      <c r="C42" s="8">
        <f>IF(Produits!$A$40="","",Produits!$C$40)</f>
        <v/>
      </c>
      <c r="D42" s="14" t="n"/>
      <c r="E42" s="14" t="n"/>
      <c r="F42" s="14" t="n"/>
      <c r="G42" s="14" t="n"/>
      <c r="H42" s="14" t="n"/>
      <c r="I42" s="14" t="n"/>
      <c r="J42" s="14" t="n"/>
      <c r="K42" s="14" t="n"/>
      <c r="L42" s="14" t="n"/>
      <c r="M42" s="14" t="n"/>
      <c r="N42" s="14" t="n"/>
      <c r="O42" s="14" t="n"/>
      <c r="P42" s="10">
        <f>IF(COUNT(E42,H42,K42,N42)=0,"",SUM(E42,H42,K42,N42))</f>
        <v/>
      </c>
      <c r="Q42" s="10">
        <f>IF(COUNT(F42,I42,L42,O42)=0,"",SUM(F42,I42,L42,O42))</f>
        <v/>
      </c>
      <c r="R42" s="10">
        <f>IF(OR(P42="",Q42=""),"",Q42-P42)</f>
        <v/>
      </c>
      <c r="S42" s="10">
        <f>IF(M42&lt;&gt;"",M42,IF(J42&lt;&gt;"",J42,IF(G42&lt;&gt;"",G42,IF(D42&lt;&gt;"",D42,""))))</f>
        <v/>
      </c>
    </row>
    <row r="43">
      <c r="A43" s="7">
        <f>IF(Produits!$A$41="","",Produits!$A$41)</f>
        <v/>
      </c>
      <c r="B43" s="19">
        <f>IF(Produits!$A$41="","",Produits!$B$41)</f>
        <v/>
      </c>
      <c r="C43" s="8">
        <f>IF(Produits!$A$41="","",Produits!$C$41)</f>
        <v/>
      </c>
      <c r="D43" s="14" t="n"/>
      <c r="E43" s="14" t="n"/>
      <c r="F43" s="14" t="n"/>
      <c r="G43" s="14" t="n"/>
      <c r="H43" s="14" t="n"/>
      <c r="I43" s="14" t="n"/>
      <c r="J43" s="14" t="n"/>
      <c r="K43" s="14" t="n"/>
      <c r="L43" s="14" t="n"/>
      <c r="M43" s="14" t="n"/>
      <c r="N43" s="14" t="n"/>
      <c r="O43" s="14" t="n"/>
      <c r="P43" s="10">
        <f>IF(COUNT(E43,H43,K43,N43)=0,"",SUM(E43,H43,K43,N43))</f>
        <v/>
      </c>
      <c r="Q43" s="10">
        <f>IF(COUNT(F43,I43,L43,O43)=0,"",SUM(F43,I43,L43,O43))</f>
        <v/>
      </c>
      <c r="R43" s="10">
        <f>IF(OR(P43="",Q43=""),"",Q43-P43)</f>
        <v/>
      </c>
      <c r="S43" s="10">
        <f>IF(M43&lt;&gt;"",M43,IF(J43&lt;&gt;"",J43,IF(G43&lt;&gt;"",G43,IF(D43&lt;&gt;"",D43,""))))</f>
        <v/>
      </c>
    </row>
    <row r="44">
      <c r="A44" s="7">
        <f>IF(Produits!$A$42="","",Produits!$A$42)</f>
        <v/>
      </c>
      <c r="B44" s="19">
        <f>IF(Produits!$A$42="","",Produits!$B$42)</f>
        <v/>
      </c>
      <c r="C44" s="8">
        <f>IF(Produits!$A$42="","",Produits!$C$42)</f>
        <v/>
      </c>
      <c r="D44" s="14" t="n"/>
      <c r="E44" s="14" t="n"/>
      <c r="F44" s="14" t="n"/>
      <c r="G44" s="14" t="n"/>
      <c r="H44" s="14" t="n"/>
      <c r="I44" s="14" t="n"/>
      <c r="J44" s="14" t="n"/>
      <c r="K44" s="14" t="n"/>
      <c r="L44" s="14" t="n"/>
      <c r="M44" s="14" t="n"/>
      <c r="N44" s="14" t="n"/>
      <c r="O44" s="14" t="n"/>
      <c r="P44" s="10">
        <f>IF(COUNT(E44,H44,K44,N44)=0,"",SUM(E44,H44,K44,N44))</f>
        <v/>
      </c>
      <c r="Q44" s="10">
        <f>IF(COUNT(F44,I44,L44,O44)=0,"",SUM(F44,I44,L44,O44))</f>
        <v/>
      </c>
      <c r="R44" s="10">
        <f>IF(OR(P44="",Q44=""),"",Q44-P44)</f>
        <v/>
      </c>
      <c r="S44" s="10">
        <f>IF(M44&lt;&gt;"",M44,IF(J44&lt;&gt;"",J44,IF(G44&lt;&gt;"",G44,IF(D44&lt;&gt;"",D44,""))))</f>
        <v/>
      </c>
    </row>
    <row r="45">
      <c r="A45" s="7">
        <f>IF(Produits!$A$43="","",Produits!$A$43)</f>
        <v/>
      </c>
      <c r="B45" s="19">
        <f>IF(Produits!$A$43="","",Produits!$B$43)</f>
        <v/>
      </c>
      <c r="C45" s="8">
        <f>IF(Produits!$A$43="","",Produits!$C$43)</f>
        <v/>
      </c>
      <c r="D45" s="14" t="n"/>
      <c r="E45" s="14" t="n"/>
      <c r="F45" s="14" t="n"/>
      <c r="G45" s="14" t="n"/>
      <c r="H45" s="14" t="n"/>
      <c r="I45" s="14" t="n"/>
      <c r="J45" s="14" t="n"/>
      <c r="K45" s="14" t="n"/>
      <c r="L45" s="14" t="n"/>
      <c r="M45" s="14" t="n"/>
      <c r="N45" s="14" t="n"/>
      <c r="O45" s="14" t="n"/>
      <c r="P45" s="10">
        <f>IF(COUNT(E45,H45,K45,N45)=0,"",SUM(E45,H45,K45,N45))</f>
        <v/>
      </c>
      <c r="Q45" s="10">
        <f>IF(COUNT(F45,I45,L45,O45)=0,"",SUM(F45,I45,L45,O45))</f>
        <v/>
      </c>
      <c r="R45" s="10">
        <f>IF(OR(P45="",Q45=""),"",Q45-P45)</f>
        <v/>
      </c>
      <c r="S45" s="10">
        <f>IF(M45&lt;&gt;"",M45,IF(J45&lt;&gt;"",J45,IF(G45&lt;&gt;"",G45,IF(D45&lt;&gt;"",D45,""))))</f>
        <v/>
      </c>
    </row>
    <row r="46">
      <c r="A46" s="7">
        <f>IF(Produits!$A$44="","",Produits!$A$44)</f>
        <v/>
      </c>
      <c r="B46" s="19">
        <f>IF(Produits!$A$44="","",Produits!$B$44)</f>
        <v/>
      </c>
      <c r="C46" s="8">
        <f>IF(Produits!$A$44="","",Produits!$C$44)</f>
        <v/>
      </c>
      <c r="D46" s="14" t="n"/>
      <c r="E46" s="14" t="n"/>
      <c r="F46" s="14" t="n"/>
      <c r="G46" s="14" t="n"/>
      <c r="H46" s="14" t="n"/>
      <c r="I46" s="14" t="n"/>
      <c r="J46" s="14" t="n"/>
      <c r="K46" s="14" t="n"/>
      <c r="L46" s="14" t="n"/>
      <c r="M46" s="14" t="n"/>
      <c r="N46" s="14" t="n"/>
      <c r="O46" s="14" t="n"/>
      <c r="P46" s="10">
        <f>IF(COUNT(E46,H46,K46,N46)=0,"",SUM(E46,H46,K46,N46))</f>
        <v/>
      </c>
      <c r="Q46" s="10">
        <f>IF(COUNT(F46,I46,L46,O46)=0,"",SUM(F46,I46,L46,O46))</f>
        <v/>
      </c>
      <c r="R46" s="10">
        <f>IF(OR(P46="",Q46=""),"",Q46-P46)</f>
        <v/>
      </c>
      <c r="S46" s="10">
        <f>IF(M46&lt;&gt;"",M46,IF(J46&lt;&gt;"",J46,IF(G46&lt;&gt;"",G46,IF(D46&lt;&gt;"",D46,""))))</f>
        <v/>
      </c>
    </row>
  </sheetData>
  <mergeCells count="12">
    <mergeCell ref="J5:L5"/>
    <mergeCell ref="A4:A6"/>
    <mergeCell ref="D5:F5"/>
    <mergeCell ref="B4:B6"/>
    <mergeCell ref="G5:I5"/>
    <mergeCell ref="D4:F4"/>
    <mergeCell ref="M4:O4"/>
    <mergeCell ref="M5:O5"/>
    <mergeCell ref="G4:I4"/>
    <mergeCell ref="J4:L4"/>
    <mergeCell ref="P4:S5"/>
    <mergeCell ref="C4:C6"/>
  </mergeCells>
  <conditionalFormatting sqref="R7:R46">
    <cfRule type="expression" priority="1" dxfId="0">
      <formula>AND(ISNUMBER(R7),R7&lt;0)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G7:G46" showDropDown="0" showInputMessage="0" showErrorMessage="1" allowBlank="1" errorTitle="Valeur invalide" error="Entre un nombre positif (ou laisse vide)." type="decimal" operator="greaterThanOrEqual">
      <formula1>0</formula1>
    </dataValidation>
    <dataValidation sqref="H7:H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L7:L46" showDropDown="0" showInputMessage="0" showErrorMessage="1" allowBlank="1" errorTitle="Valeur invalide" error="Entre un nombre positif (ou laisse vide)." type="decimal" operator="greaterThanOrEqual">
      <formula1>0</formula1>
    </dataValidation>
    <dataValidation sqref="M7:M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2026-09-24T19:35:41Z</dcterms:created>
  <dcterms:modified xmlns:dcterms="http://purl.org/dc/terms/" xmlns:xsi="http://www.w3.org/2001/XMLSchema-instance" xsi:type="dcterms:W3CDTF">2026-09-24T19:35:42Z</dcterms:modified>
</cp:coreProperties>
</file>